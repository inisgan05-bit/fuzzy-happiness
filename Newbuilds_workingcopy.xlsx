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09" firstSheet="0" activeTab="0" autoFilterDateGrouping="1"/>
  </bookViews>
  <sheets>
    <sheet name="Projects" sheetId="1" state="visible" r:id="rId1"/>
    <sheet name="Insights" sheetId="2" state="visible" r:id="rId2"/>
    <sheet name="📊 Fleet Summary" sheetId="3" state="visible" r:id="rId3"/>
    <sheet name="Glovis Lander" sheetId="4" state="visible" r:id="rId4"/>
    <sheet name="Glovis Luminous" sheetId="5" state="visible" r:id="rId5"/>
    <sheet name="Glovis Lighthouse" sheetId="6" state="visible" r:id="rId6"/>
    <sheet name="Glovis Link" sheetId="7" state="visible" r:id="rId7"/>
    <sheet name="Glovis Logos" sheetId="8" state="visible" r:id="rId8"/>
    <sheet name="Glovis Loyal" sheetId="9" state="visible" r:id="rId9"/>
    <sheet name="tbc_project 2" sheetId="10" state="visible" r:id="rId10"/>
    <sheet name="Vessel 7" sheetId="11" state="visible" r:id="rId11"/>
    <sheet name="Vessel 8" sheetId="12" state="visible" r:id="rId12"/>
  </sheets>
  <definedNames>
    <definedName name="Status">Projects!$P$6</definedName>
    <definedName name="_xlnm._FilterDatabase" localSheetId="0" hidden="1">'Projects'!$A$5:$P$676</definedName>
    <definedName name="_xlnm._FilterDatabase" localSheetId="3" hidden="1">'Glovis Lander'!$A$10:$M$139</definedName>
    <definedName name="_xlnm._FilterDatabase" localSheetId="4" hidden="1">'Glovis Luminous'!$A$10:$H$110</definedName>
    <definedName name="_xlnm._FilterDatabase" localSheetId="5" hidden="1">'Glovis Lighthouse'!$A$10:$Q$150</definedName>
    <definedName name="_xlnm._FilterDatabase" localSheetId="6" hidden="1">'Glovis Link'!$A$10:$K$113</definedName>
    <definedName name="_xlnm._FilterDatabase" localSheetId="7" hidden="1">'Glovis Logos'!$A$10:$K$113</definedName>
    <definedName name="_xlnm._FilterDatabase" localSheetId="8" hidden="1">'Glovis Loyal'!$A$10:$K$111</definedName>
  </definedNames>
  <calcPr calcId="191029" fullCalcOnLoad="1"/>
  <pivotCaches>
    <pivotCache cacheId="0" r:id="rId13"/>
  </pivotCaches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[$-14009]dd\ mmmm\ yyyy;@"/>
    <numFmt numFmtId="166" formatCode="_-&quot;$&quot;* #,##0_-;\-&quot;$&quot;* #,##0_-;_-&quot;$&quot;* &quot;-&quot;??_-;_-@_-"/>
    <numFmt numFmtId="167" formatCode="&quot;$&quot;#,##0;[Red]\-&quot;$&quot;#,##0"/>
    <numFmt numFmtId="168" formatCode="_-&quot;$&quot;* #,##0_-;\-&quot;$&quot;* #,##0_-;_-&quot;$&quot;* &quot;-&quot;_-;_-@_-"/>
  </numFmts>
  <fonts count="37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i val="1"/>
      <color rgb="FF888888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404040"/>
      <sz val="10"/>
    </font>
    <font>
      <name val="Arial"/>
      <family val="2"/>
      <b val="1"/>
      <color rgb="FF1F4E79"/>
      <sz val="10"/>
    </font>
    <font>
      <name val="Arial"/>
      <family val="2"/>
      <color rgb="FF40404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5"/>
    </font>
    <font>
      <name val="Arial"/>
      <family val="2"/>
      <i val="1"/>
      <color rgb="FFAAAAAA"/>
      <sz val="8"/>
    </font>
    <font>
      <name val="Arial"/>
      <family val="2"/>
      <b val="1"/>
      <color rgb="FF404040"/>
      <sz val="8"/>
    </font>
    <font>
      <name val="Arial"/>
      <family val="2"/>
      <b val="1"/>
      <color rgb="FFFFFFFF"/>
      <sz val="8"/>
    </font>
    <font>
      <name val="Arial"/>
      <family val="2"/>
      <b val="1"/>
      <color rgb="FF404040"/>
      <sz val="11"/>
    </font>
    <font>
      <name val="Arial"/>
      <family val="2"/>
      <i val="1"/>
      <color rgb="FF555555"/>
      <sz val="9"/>
    </font>
    <font>
      <name val="Arial"/>
      <family val="2"/>
      <color rgb="FFAAAAAA"/>
      <sz val="9"/>
    </font>
    <font>
      <name val="Calibri"/>
      <family val="2"/>
      <color theme="1"/>
      <sz val="12"/>
      <scheme val="minor"/>
    </font>
    <font>
      <name val="Aptos"/>
      <family val="2"/>
      <color rgb="FFFF0000"/>
      <sz val="10"/>
    </font>
    <font>
      <name val="Aptos"/>
      <family val="2"/>
      <color theme="1"/>
      <sz val="10"/>
    </font>
    <font>
      <name val="Aptos"/>
      <family val="2"/>
      <color theme="1"/>
      <sz val="10"/>
      <vertAlign val="superscript"/>
    </font>
    <font>
      <name val="Aptos"/>
      <family val="2"/>
      <color rgb="FF4EA72E"/>
      <sz val="10"/>
    </font>
    <font>
      <name val="Aptos"/>
      <family val="2"/>
      <color rgb="FF00B0F0"/>
      <sz val="10"/>
    </font>
    <font>
      <name val="Aptos"/>
      <family val="2"/>
      <color rgb="FF00B050"/>
      <sz val="10"/>
    </font>
    <font>
      <name val="Aptos"/>
      <family val="2"/>
      <color theme="9" tint="-0.249977111117893"/>
      <sz val="10"/>
    </font>
    <font>
      <name val="Calibri"/>
      <charset val="1"/>
      <family val="2"/>
      <sz val="8"/>
    </font>
    <font>
      <name val="Aptos"/>
      <family val="2"/>
      <color rgb="FF000000"/>
      <sz val="10"/>
    </font>
    <font>
      <name val="Times New Roman"/>
      <family val="1"/>
      <sz val="9"/>
    </font>
    <font>
      <name val="Times New Roman"/>
      <family val="1"/>
      <b val="1"/>
      <sz val="9"/>
    </font>
    <font>
      <name val="Roboto"/>
      <color rgb="FF171C3A"/>
      <sz val="7"/>
    </font>
    <font>
      <name val="Calibri"/>
      <charset val="1"/>
      <family val="2"/>
      <color theme="1"/>
      <sz val="11"/>
    </font>
    <font>
      <name val="Calibri"/>
      <charset val="1"/>
      <family val="2"/>
      <color theme="1"/>
      <sz val="14"/>
    </font>
    <font>
      <name val="Calibri"/>
      <family val="2"/>
      <b val="1"/>
      <color theme="1"/>
      <sz val="14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23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0F4F8"/>
        <bgColor rgb="FFF0F6FC"/>
      </patternFill>
    </fill>
    <fill>
      <patternFill patternType="solid">
        <fgColor rgb="FFBFBFBF"/>
        <bgColor rgb="FFAAAAAA"/>
      </patternFill>
    </fill>
    <fill>
      <patternFill patternType="solid">
        <fgColor rgb="FFFFD966"/>
        <bgColor rgb="FFFFE0B2"/>
      </patternFill>
    </fill>
    <fill>
      <patternFill patternType="solid">
        <fgColor rgb="FFF4B942"/>
        <bgColor rgb="FFFFD966"/>
      </patternFill>
    </fill>
    <fill>
      <patternFill patternType="solid">
        <fgColor rgb="FF9DC3E6"/>
        <bgColor rgb="FFBFBFBF"/>
      </patternFill>
    </fill>
    <fill>
      <patternFill patternType="solid">
        <fgColor rgb="FF70AD47"/>
        <bgColor rgb="FF888888"/>
      </patternFill>
    </fill>
    <fill>
      <patternFill patternType="solid">
        <fgColor rgb="FF375623"/>
        <bgColor rgb="FF40404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0F6FC"/>
      </patternFill>
    </fill>
    <fill>
      <patternFill patternType="solid">
        <fgColor rgb="FFD6E4F0"/>
        <bgColor rgb="FFEBF3FB"/>
      </patternFill>
    </fill>
    <fill>
      <patternFill patternType="solid">
        <fgColor rgb="FFFFF2CC"/>
        <bgColor rgb="FFFFE0B2"/>
      </patternFill>
    </fill>
    <fill>
      <patternFill patternType="solid">
        <fgColor rgb="FFFFE0B2"/>
        <bgColor rgb="FFFFF2CC"/>
      </patternFill>
    </fill>
    <fill>
      <patternFill patternType="solid">
        <fgColor rgb="FFEBF3FB"/>
        <bgColor rgb="FFF0F4F8"/>
      </patternFill>
    </fill>
    <fill>
      <patternFill patternType="solid">
        <fgColor rgb="FFF0F6FC"/>
        <bgColor rgb="FFF0F4F8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3">
    <xf numFmtId="0" fontId="28" fillId="0" borderId="0"/>
    <xf numFmtId="0" fontId="15" fillId="0" borderId="0"/>
    <xf numFmtId="44" fontId="28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9" fontId="4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9" fontId="4" fillId="1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164" fontId="4" fillId="14" borderId="1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9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164" fontId="6" fillId="16" borderId="1" applyAlignment="1" pivotButton="0" quotePrefix="0" xfId="0">
      <alignment horizontal="center" vertical="center"/>
    </xf>
    <xf numFmtId="0" fontId="16" fillId="0" borderId="3" applyAlignment="1" pivotButton="0" quotePrefix="0" xfId="1">
      <alignment horizontal="left" vertical="top" wrapText="1"/>
    </xf>
    <xf numFmtId="0" fontId="17" fillId="0" borderId="4" applyAlignment="1" pivotButton="0" quotePrefix="0" xfId="1">
      <alignment vertical="center" wrapText="1"/>
    </xf>
    <xf numFmtId="0" fontId="15" fillId="0" borderId="3" pivotButton="0" quotePrefix="0" xfId="1"/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19" fillId="0" borderId="3" applyAlignment="1" pivotButton="0" quotePrefix="0" xfId="1">
      <alignment horizontal="left" vertical="top" wrapText="1"/>
    </xf>
    <xf numFmtId="0" fontId="20" fillId="0" borderId="3" applyAlignment="1" pivotButton="0" quotePrefix="0" xfId="1">
      <alignment horizontal="left" vertical="top" wrapText="1"/>
    </xf>
    <xf numFmtId="0" fontId="21" fillId="0" borderId="3" applyAlignment="1" pivotButton="0" quotePrefix="0" xfId="1">
      <alignment horizontal="left" vertical="top" wrapText="1"/>
    </xf>
    <xf numFmtId="0" fontId="22" fillId="0" borderId="3" applyAlignment="1" pivotButton="0" quotePrefix="0" xfId="1">
      <alignment horizontal="left" vertical="top" wrapText="1"/>
    </xf>
    <xf numFmtId="0" fontId="15" fillId="0" borderId="0" pivotButton="0" quotePrefix="0" xfId="1"/>
    <xf numFmtId="0" fontId="14" fillId="12" borderId="3" applyAlignment="1" pivotButton="0" quotePrefix="0" xfId="0">
      <alignment horizontal="center" vertical="center"/>
    </xf>
    <xf numFmtId="0" fontId="6" fillId="11" borderId="3" applyAlignment="1" pivotButton="0" quotePrefix="0" xfId="0">
      <alignment horizontal="left" vertical="center" indent="1"/>
    </xf>
    <xf numFmtId="0" fontId="6" fillId="11" borderId="3" applyAlignment="1" pivotButton="0" quotePrefix="0" xfId="0">
      <alignment horizontal="center" vertical="center"/>
    </xf>
    <xf numFmtId="164" fontId="6" fillId="11" borderId="3" applyAlignment="1" pivotButton="0" quotePrefix="0" xfId="0">
      <alignment horizontal="center" vertical="center"/>
    </xf>
    <xf numFmtId="0" fontId="6" fillId="16" borderId="3" applyAlignment="1" pivotButton="0" quotePrefix="0" xfId="0">
      <alignment horizontal="left" vertical="center" indent="1"/>
    </xf>
    <xf numFmtId="0" fontId="6" fillId="16" borderId="3" applyAlignment="1" pivotButton="0" quotePrefix="0" xfId="0">
      <alignment horizontal="center" vertical="center"/>
    </xf>
    <xf numFmtId="164" fontId="6" fillId="16" borderId="3" applyAlignment="1" pivotButton="0" quotePrefix="0" xfId="0">
      <alignment horizontal="center" vertical="center"/>
    </xf>
    <xf numFmtId="164" fontId="4" fillId="14" borderId="0" applyAlignment="1" pivotButton="0" quotePrefix="0" xfId="0">
      <alignment horizontal="left" vertical="center" indent="1"/>
    </xf>
    <xf numFmtId="0" fontId="20" fillId="0" borderId="0" applyAlignment="1" pivotButton="0" quotePrefix="0" xfId="1">
      <alignment horizontal="left" vertical="top" wrapText="1"/>
    </xf>
    <xf numFmtId="0" fontId="19" fillId="0" borderId="0" applyAlignment="1" pivotButton="0" quotePrefix="0" xfId="1">
      <alignment horizontal="left" vertical="top" wrapText="1"/>
    </xf>
    <xf numFmtId="0" fontId="16" fillId="0" borderId="0" applyAlignment="1" pivotButton="0" quotePrefix="0" xfId="1">
      <alignment horizontal="left" vertical="top" wrapText="1"/>
    </xf>
    <xf numFmtId="0" fontId="21" fillId="0" borderId="0" applyAlignment="1" pivotButton="0" quotePrefix="0" xfId="1">
      <alignment horizontal="left" vertical="top" wrapText="1"/>
    </xf>
    <xf numFmtId="0" fontId="22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vertical="center" wrapText="1"/>
    </xf>
    <xf numFmtId="0" fontId="6" fillId="16" borderId="3" applyAlignment="1" pivotButton="0" quotePrefix="0" xfId="0">
      <alignment horizontal="left" vertical="center"/>
    </xf>
    <xf numFmtId="14" fontId="0" fillId="0" borderId="0" pivotButton="0" quotePrefix="0" xfId="0"/>
    <xf numFmtId="0" fontId="17" fillId="0" borderId="0" applyAlignment="1" pivotButton="0" quotePrefix="0" xfId="0">
      <alignment vertical="center"/>
    </xf>
    <xf numFmtId="0" fontId="25" fillId="0" borderId="3" applyAlignment="1" pivotButton="0" quotePrefix="0" xfId="0">
      <alignment horizontal="left"/>
    </xf>
    <xf numFmtId="15" fontId="25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4" fillId="14" borderId="1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10" fillId="4" borderId="1" applyAlignment="1" pivotButton="0" quotePrefix="0" xfId="0">
      <alignment horizontal="left" wrapText="1"/>
    </xf>
    <xf numFmtId="0" fontId="10" fillId="5" borderId="1" applyAlignment="1" pivotButton="0" quotePrefix="0" xfId="0">
      <alignment horizontal="left" wrapText="1"/>
    </xf>
    <xf numFmtId="0" fontId="10" fillId="6" borderId="1" applyAlignment="1" pivotButton="0" quotePrefix="0" xfId="0">
      <alignment horizontal="left" wrapText="1"/>
    </xf>
    <xf numFmtId="0" fontId="11" fillId="7" borderId="1" applyAlignment="1" pivotButton="0" quotePrefix="0" xfId="0">
      <alignment horizontal="left" wrapText="1"/>
    </xf>
    <xf numFmtId="0" fontId="11" fillId="8" borderId="1" applyAlignment="1" pivotButton="0" quotePrefix="0" xfId="0">
      <alignment horizontal="left" wrapText="1"/>
    </xf>
    <xf numFmtId="165" fontId="11" fillId="9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3" fillId="9" borderId="1" applyAlignment="1" pivotButton="0" quotePrefix="0" xfId="0">
      <alignment horizontal="left" wrapText="1"/>
    </xf>
    <xf numFmtId="0" fontId="12" fillId="12" borderId="1" applyAlignment="1" pivotButton="0" quotePrefix="0" xfId="0">
      <alignment horizontal="left"/>
    </xf>
    <xf numFmtId="9" fontId="12" fillId="12" borderId="1" applyAlignment="1" pivotButton="0" quotePrefix="0" xfId="0">
      <alignment horizontal="left"/>
    </xf>
    <xf numFmtId="0" fontId="3" fillId="2" borderId="3" applyAlignment="1" pivotButton="0" quotePrefix="0" xfId="0">
      <alignment horizontal="left" wrapText="1"/>
    </xf>
    <xf numFmtId="165" fontId="3" fillId="2" borderId="3" applyAlignment="1" pivotButton="0" quotePrefix="0" xfId="0">
      <alignment horizontal="left" wrapText="1"/>
    </xf>
    <xf numFmtId="165" fontId="25" fillId="0" borderId="3" applyAlignment="1" pivotButton="0" quotePrefix="0" xfId="0">
      <alignment horizontal="left"/>
    </xf>
    <xf numFmtId="164" fontId="25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6" fillId="0" borderId="3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3" pivotButton="0" quotePrefix="0" xfId="0"/>
    <xf numFmtId="0" fontId="14" fillId="12" borderId="3" applyAlignment="1" pivotButton="0" quotePrefix="0" xfId="0">
      <alignment horizontal="left"/>
    </xf>
    <xf numFmtId="0" fontId="27" fillId="0" borderId="3" pivotButton="0" quotePrefix="0" xfId="0"/>
    <xf numFmtId="166" fontId="0" fillId="0" borderId="0" applyAlignment="1" pivotButton="0" quotePrefix="0" xfId="2">
      <alignment horizontal="left"/>
    </xf>
    <xf numFmtId="166" fontId="3" fillId="2" borderId="3" applyAlignment="1" pivotButton="0" quotePrefix="0" xfId="2">
      <alignment horizontal="left" wrapText="1"/>
    </xf>
    <xf numFmtId="166" fontId="0" fillId="0" borderId="3" applyAlignment="1" pivotButton="0" quotePrefix="0" xfId="2">
      <alignment horizontal="left"/>
    </xf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17" borderId="0" applyAlignment="1" pivotButton="0" quotePrefix="0" xfId="0">
      <alignment horizontal="center" vertical="center" wrapText="1"/>
    </xf>
    <xf numFmtId="15" fontId="29" fillId="0" borderId="0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30" fillId="17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0" fillId="18" borderId="0" applyAlignment="1" pivotButton="0" quotePrefix="0" xfId="0">
      <alignment horizontal="center" vertical="center" wrapText="1"/>
    </xf>
    <xf numFmtId="0" fontId="30" fillId="18" borderId="0" applyAlignment="1" pivotButton="0" quotePrefix="0" xfId="0">
      <alignment horizontal="center" vertical="center"/>
    </xf>
    <xf numFmtId="14" fontId="29" fillId="0" borderId="0" applyAlignment="1" pivotButton="0" quotePrefix="0" xfId="0">
      <alignment horizontal="center" vertical="center" wrapText="1"/>
    </xf>
    <xf numFmtId="167" fontId="29" fillId="0" borderId="0" applyAlignment="1" pivotButton="0" quotePrefix="0" xfId="0">
      <alignment horizontal="center" vertical="center" wrapText="1"/>
    </xf>
    <xf numFmtId="0" fontId="29" fillId="19" borderId="0" applyAlignment="1" pivotButton="0" quotePrefix="0" xfId="0">
      <alignment horizontal="center" vertical="center"/>
    </xf>
    <xf numFmtId="0" fontId="29" fillId="19" borderId="0" applyAlignment="1" pivotButton="0" quotePrefix="0" xfId="0">
      <alignment horizontal="center" vertical="center" wrapText="1"/>
    </xf>
    <xf numFmtId="0" fontId="29" fillId="19" borderId="6" applyAlignment="1" pivotButton="0" quotePrefix="0" xfId="0">
      <alignment horizontal="center" vertical="center"/>
    </xf>
    <xf numFmtId="0" fontId="29" fillId="19" borderId="6" applyAlignment="1" pivotButton="0" quotePrefix="0" xfId="0">
      <alignment horizontal="center" vertical="center" wrapText="1"/>
    </xf>
    <xf numFmtId="0" fontId="0" fillId="19" borderId="6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168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6" applyAlignment="1" pivotButton="0" quotePrefix="0" xfId="0">
      <alignment horizontal="left" indent="1"/>
    </xf>
    <xf numFmtId="168" fontId="0" fillId="0" borderId="6" pivotButton="0" quotePrefix="0" xfId="0"/>
    <xf numFmtId="0" fontId="0" fillId="21" borderId="0" applyAlignment="1" pivotButton="0" quotePrefix="0" xfId="0">
      <alignment horizontal="left"/>
    </xf>
    <xf numFmtId="168" fontId="0" fillId="21" borderId="0" pivotButton="0" quotePrefix="0" xfId="0"/>
    <xf numFmtId="0" fontId="0" fillId="0" borderId="0" applyAlignment="1" pivotButton="0" quotePrefix="0" xfId="0">
      <alignment vertical="top" wrapText="1"/>
    </xf>
    <xf numFmtId="0" fontId="33" fillId="0" borderId="0" pivotButton="0" quotePrefix="0" xfId="0"/>
    <xf numFmtId="0" fontId="34" fillId="2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3" fillId="0" borderId="6" applyAlignment="1" pivotButton="0" quotePrefix="0" xfId="0">
      <alignment horizontal="center"/>
    </xf>
    <xf numFmtId="0" fontId="36" fillId="0" borderId="0" applyAlignment="1" pivotButton="0" quotePrefix="0" xfId="0">
      <alignment horizontal="left" vertical="top" wrapText="1"/>
    </xf>
    <xf numFmtId="0" fontId="36" fillId="22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right" vertical="center"/>
    </xf>
    <xf numFmtId="0" fontId="6" fillId="13" borderId="2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13" fillId="15" borderId="2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3" fillId="15" borderId="5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6" fillId="13" borderId="2" applyAlignment="1" pivotButton="0" quotePrefix="0" xfId="0">
      <alignment horizontal="left"/>
    </xf>
    <xf numFmtId="0" fontId="29" fillId="0" borderId="0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167" fontId="29" fillId="0" borderId="0" applyAlignment="1" pivotButton="0" quotePrefix="0" xfId="0">
      <alignment horizontal="center" vertical="center" wrapText="1"/>
    </xf>
    <xf numFmtId="168" fontId="0" fillId="21" borderId="0" pivotButton="0" quotePrefix="0" xfId="0"/>
    <xf numFmtId="168" fontId="0" fillId="0" borderId="0" pivotButton="0" quotePrefix="0" xfId="0"/>
    <xf numFmtId="168" fontId="0" fillId="0" borderId="6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9" pivotButton="0" quotePrefix="0" xfId="0"/>
  </cellXfs>
  <cellStyles count="3">
    <cellStyle name="Normal" xfId="0" builtinId="0"/>
    <cellStyle name="Normal 2" xfId="1"/>
    <cellStyle name="Currency" xfId="2" builtinId="4"/>
  </cellStyles>
  <dxfs count="6"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6FC"/>
      <rgbColor rgb="FFF0F4F8"/>
      <rgbColor rgb="FFFFD966"/>
      <rgbColor rgb="FF9DC3E6"/>
      <rgbColor rgb="FFFF99CC"/>
      <rgbColor rgb="FFCC99FF"/>
      <rgbColor rgb="FFFFE0B2"/>
      <rgbColor rgb="FF2E75B6"/>
      <rgbColor rgb="FF33CCCC"/>
      <rgbColor rgb="FF99CC00"/>
      <rgbColor rgb="FFF4B942"/>
      <rgbColor rgb="FFFF9900"/>
      <rgbColor rgb="FFFF6600"/>
      <rgbColor rgb="FF555555"/>
      <rgbColor rgb="FFAAAAAA"/>
      <rgbColor rgb="FF003366"/>
      <rgbColor rgb="FF70AD47"/>
      <rgbColor rgb="FF003300"/>
      <rgbColor rgb="FF375623"/>
      <rgbColor rgb="FF9933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pivotCacheDefinition" Target="/xl/pivotCache/pivotCacheDefinition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Inis Gan</author>
  </authors>
  <commentList>
    <comment ref="E5" authorId="0" shapeId="0">
      <text>
        <t>Inis Gan:
N/As for suppliers etc as they are not yet quoted but will be needed for newbuilds anyways</t>
      </text>
    </comment>
    <comment ref="M5" authorId="0" shapeId="0">
      <text>
        <t>Inis Gan:
Fixed but empy names as they are standard items for newbuilds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Inis Gan" refreshedDate="46147.71545266204" createdVersion="8" refreshedVersion="8" minRefreshableVersion="3" recordCount="687" r:id="rId1">
  <cacheSource type="worksheet">
    <worksheetSource ref="A5:P1048576" sheet="Projects"/>
  </cacheSource>
  <cacheFields count="16">
    <cacheField name="Project" uniqueList="1" numFmtId="0" sqlType="0" hierarchy="0" level="0" databaseField="1">
      <sharedItems count="8" containsBlank="1">
        <s v="Glovis Luminous"/>
        <s v="Glovis LightHouse"/>
        <m/>
        <s v="Glovis Lander"/>
        <s v="Glovis Link"/>
        <s v="Glovis Logos"/>
        <s v="Glovis Loyal"/>
        <s v="OOCL Chancay "/>
      </sharedItems>
    </cacheField>
    <cacheField name="S/N" uniqueList="1" numFmtId="0" sqlType="0" hierarchy="0" level="0" databaseField="1">
      <sharedItems count="0" containsBlank="1" containsNonDate="0" containsString="0"/>
    </cacheField>
    <cacheField name="PO Number" uniqueList="1" numFmtId="0" sqlType="0" hierarchy="0" level="0" databaseField="1">
      <sharedItems count="0" containsBlank="1"/>
    </cacheField>
    <cacheField name="Delivery Stage" uniqueList="1" numFmtId="0" sqlType="0" hierarchy="0" level="0" databaseField="1">
      <sharedItems count="0" containsBlank="1"/>
    </cacheField>
    <cacheField name="PO Name" uniqueList="1" numFmtId="0" sqlType="0" hierarchy="0" level="0" databaseField="1">
      <sharedItems count="310" containsBlank="1">
        <s v="PD - RSC Envirologic"/>
        <s v="FS-ITBP  -luminous"/>
        <s v="FS-X10-SILVERPEAK"/>
        <s v="Service: LNG OPERATION MANUAL Development"/>
        <s v="Shipyard Extra Buyers Supply - Tripods and Spray Pipes"/>
        <s v="Shipyard Extra (buyer Supply) - QCDC -GSI"/>
        <s v="Reliabiltiy Spares - Gas Detection System"/>
        <s v="Shipyard Extra Buyers Supply - Hinas SVM SEASPAN 10.8K PCTC"/>
        <s v="FS-ITBP Additional Item"/>
        <s v="Pre Delivery - FLIR Camera"/>
        <s v="Shipyard Extra Owner supply - Captains Eye"/>
        <s v="Reliability Spares - Fire detection system"/>
        <s v="FS-KVH-GSI"/>
        <s v="Pre Delivery - Sample Cooler"/>
        <s v="FS-ITBP CABLES"/>
        <s v="FS-LENOVO-Luminous"/>
        <s v="FS-ITBP MISC LAB KIT"/>
        <s v="Pre Delivery - Cryogenic PPE"/>
        <s v="Pre Delivery - LNG Bunkering Equipment"/>
        <s v="Pre Delivery - Seatab"/>
        <s v="Pre Delivery - Garbage Compactor"/>
        <s v="SHIPYARD EXTRA ONWER SUPPLY - Abanaki Skimmers"/>
        <s v="Reliability Spares - PCTC-Seaspan - Boilers QUOT26012103"/>
        <s v="Ultrasonic Cleaner"/>
        <s v="OPA 90 KIT - 12-barrel kit"/>
        <s v="H.P machine - 2pcs (prefer Branded - Karcher/ KEW)"/>
        <s v="Steam Splash Suit"/>
        <s v="Gas Meter"/>
        <s v="Oily Water Separator"/>
        <s v="BWTS Spares"/>
        <s v="EV Lance"/>
        <s v="Jonghap - PCTC Loose Fittings Procurement"/>
        <s v="Pre Delivery Lubes Order# 3 (5714478288)"/>
        <s v="FS-Interface-Light house"/>
        <s v="Main Engine Spares"/>
        <s v="Aux. Engine Spares"/>
        <s v="Sewage Traetment Plant"/>
        <s v="Sewage Discharge P/P"/>
        <s v="Pre-Delivery - Lubes"/>
        <s v="Mooring Rope"/>
        <s v="Shipyard Extra Buyer Supply - HiNAS SVM 10800 A-Q-2025-09-02_R0"/>
        <s v="Interface PO"/>
        <s v="RSC Lube oil - qty / Total for Glovis Lighthouse"/>
        <s v="Lubricants - Pre Delivery"/>
        <s v="FS-LENOVO-Lighthouse"/>
        <s v="Buyer Supply - 10,800 PCTC Citadel VHF/GPS and UHF ANTENNA system"/>
        <s v="UHF Radio (Handheld)"/>
        <s v="Pre Delivery - Welding Equipment"/>
        <s v="Final Sailing Qty of Lubes"/>
        <s v="FS-ITBP  -glovis lighthouse"/>
        <s v="FS-VLINK-H1610"/>
        <s v="Pre Delivery - Engineering Products &amp; Kits (DREW)"/>
        <s v="DF Tools"/>
        <s v="FS-SIHUI"/>
        <s v="SHIPYARD EXTRA OWNER SUPPLY - SWS-10.8k CEU extra cost for SMiG application"/>
        <s v="Reliability Nitrogen Generator"/>
        <s v="Wartsila Training PCTC"/>
        <s v="Interface -equipment-lighthouse"/>
        <s v="FS-KVH-LIGHTHOUSE"/>
        <s v="Sihui Marine-light house"/>
        <s v="FS-X10"/>
        <s v="FS-ITBP  -1"/>
        <s v="FS services"/>
        <s v="FS-VLINK-Starlink Accessories"/>
        <s v="fs interface"/>
        <s v="FS-ITBP-LICENSES"/>
        <s v="FS"/>
        <s v="FS-ITBP tax invoice"/>
        <s v="fs-x10 sample test"/>
        <s v="SHIPYARD EXTRA OWNER SUPPLY- Abanaki Skimmers"/>
        <s v="Pre Delivery - Treatment Chemical"/>
        <s v="Publications"/>
        <s v="Refrigerant Equipment"/>
        <s v="Reliability - Donghwa Spares for BOG Compressor"/>
        <s v="IMPA Stores - BA Compressor"/>
        <s v="FS-KVH -LIGHTHOUSE UPDATED"/>
        <s v="IMPA Stores - Engine"/>
        <s v="Temperature Calibrators"/>
        <s v="Pressure Calibrators"/>
        <s v="AST PO"/>
        <s v="Maintenance Chemicals"/>
        <s v="Gases"/>
        <s v="Cryogenic PPE - Scandia"/>
        <s v="IMPA Stores - ACC"/>
        <s v="Seatrial Stores"/>
        <s v="PD Lubes - VLSQ61941 - Kaeser Fluid Rotary S-46X"/>
        <s v="Garbage Compactor"/>
        <m/>
        <s v="Citadel VHF/GPS and UHF ANTENNA system"/>
        <s v="Air driven HP Pump - For hydraulic nuts for M/E"/>
        <s v="Reliability RO-RO Equipment (Main &amp; Centre Ramp spares + inner Ramp spares)"/>
        <s v="Reliability HP Pump Skid"/>
        <s v="Reefer cable and plugs extensions"/>
        <s v="Gas Cylinders"/>
        <s v="Thermal Stop PO"/>
        <s v="Receptacles"/>
        <s v="Trelleborg Safe lanes"/>
        <s v="Main Engine - Additional Spares"/>
        <s v="Seatab"/>
        <s v="Pre-Delivery - OPA 90"/>
        <s v="Crew Care"/>
        <s v="IMPA Stores Stationery"/>
        <s v="Reliability Spares - 10,8K CEU SWS - GVT- Eltronic"/>
        <s v="Gas meters"/>
        <s v="Glycol"/>
        <s v="FS-Interface MTA adapter"/>
        <s v="Ultrasonic Cleaning system - 230V"/>
        <s v="Chemical tags"/>
        <s v="VISWA Line Samplers"/>
        <s v="FLIR ESPro and E6 Pro"/>
        <s v="IMPA Stores - Galley"/>
        <s v="IMPA Stores - Bridge"/>
        <s v="IMPA Stores - Company Stationery"/>
        <s v="LOTO Stickers"/>
        <s v="IMPA Stores - FFE"/>
        <s v="Garbage Refrigerator"/>
        <s v="??"/>
        <s v="IMPA Stores - Engine 1"/>
        <s v="IMPA Stores - Gym"/>
        <s v="IMPA Stores - Deck"/>
        <s v="IMPA Stores - Electric"/>
        <s v="IMPA Stores - Crew"/>
        <s v="IMPA Stores - SOPEP"/>
        <s v="IMPA Stores - Instrumenation"/>
        <s v="Explosion Proof Camera"/>
        <s v="Domestic refrigerators 200 litres for rec rooms to be added to stores supplies"/>
        <s v="Ozone sterliser"/>
        <s v="Suez light"/>
        <s v="Manual chain blocks "/>
        <s v="Welding machine in Workshop 440 v"/>
        <s v="Service Car"/>
        <s v="Forlift"/>
        <s v="Alcometer"/>
        <s v="Bosch GLM-50 or Laser Distance Measuring Tool"/>
        <s v="Stanchions"/>
        <s v="Deck Sweeper"/>
        <s v="Provisions and Bonds"/>
        <s v="Medicines"/>
        <s v="Medox and Equipments"/>
        <s v="Soot Releasing Dosing Unit"/>
        <s v="Naoh"/>
        <s v="Rubber Matting"/>
        <s v="Nitrogen Hose"/>
        <s v="FS-VLINK-Accessories"/>
        <s v="FS-VLINK CABLE"/>
        <s v="Soot "/>
        <s v="PPE - RMS"/>
        <s v="Buyer Supply - New Positioning System for Transiting Panama ( inc. Anti Jamming) (SAAB R6 NAV NEO)"/>
        <s v="Immersion Suit"/>
        <s v="Fire Mans Outfit"/>
        <s v="Iron Test Kit from CMT"/>
        <s v="Oil Test Kit"/>
        <s v="Manuals for all equipment- priority for BWTS, STP, OWS, EMGCY AC, EMCY GEN"/>
        <s v="FS-VLINK-2411005"/>
        <s v="Shipyard Extra Buyer Supply - Hinas SVM SEASPAN 10.8K PCTC"/>
        <s v="FS-X10-LANDER"/>
        <s v="Interface PO -24110005"/>
        <s v="Predelivery - Additional Grades"/>
        <s v="Predelivery Lubes - Order # 2 (5713853485)"/>
        <s v="FS-SIHUI-lander"/>
        <s v="Pre Delivery - Lubes Order# 3 (5715069528)"/>
        <s v="Pre Delivery - Spray Pipes"/>
        <s v="Pre Delivery - Additional Grade Copco Roto-XtendDuty"/>
        <s v="FS-LENOVO-Lander"/>
        <s v="FS-ITBP  -lander"/>
        <s v="Pre Delivery - QCDC"/>
        <s v="FS-KVH-LANDER UPDATED"/>
        <s v="FS -AST-LANDER"/>
        <s v="FS-Interface-Lander"/>
        <s v="Reliability Spares - 10,8K CEU SWS - GVT- Korval"/>
        <s v="PCTC Loose Fittings Procurement"/>
        <s v="Shipyard Extra (Owner supply) - 10800 CEU LNG PCTC _x0013_ Consilium SMiG Integration"/>
        <s v="2. LOTO Stickers"/>
        <s v="3. Steam Splash Suit"/>
        <s v="4. Chemical tags"/>
        <s v="5. Trelleborg Safe lanes"/>
        <s v="8. Explosion Proof Camera"/>
        <s v="10. Temperature &amp; Pressure Calibrators"/>
        <s v="11. VISWA Line Samplers"/>
        <s v="12. Standard Chinese stationery "/>
        <s v="13. Air driven HP Pump - For hydraulic nuts for M/E - From Dan Marine or VLINK"/>
        <s v="Chemical"/>
        <s v="UHF Radio"/>
        <s v="UHF Antenna"/>
        <s v="Citadel Items"/>
        <s v="Reliability Spares - PCTC-Seaspan - Boilers QUOT26012103_R00"/>
        <s v="FS-ITBP  -glovis link"/>
        <s v="FS-SIHUI-link"/>
        <s v="FS-LENOVO-Link"/>
        <s v="FS-VLINK-H1612"/>
        <s v="Interface PO-H1612"/>
        <s v="FS-KVH-SWS"/>
        <s v="FS -AST-LINK"/>
        <s v="Predelivery - Visga 46 5715010143"/>
        <s v="LNG OPERATION MANUAL Development"/>
        <s v="Main Engine  "/>
        <s v="Aux. Engine"/>
        <s v="RO-RO Equipment (Main &amp; Centre Ramp spares + inner Ramp spares)"/>
        <s v="HP Pump Skid"/>
        <s v="Nitrogen Generator"/>
        <s v="RSC Lube oil - qty "/>
        <s v="QC DC "/>
        <s v="Breathing air compressor"/>
        <s v="Item no 11, loose equipment for emergency operation of roro equipment"/>
        <s v="Service Car and Forlift"/>
        <s v="DF Tools for Methanol Project"/>
        <s v="FS-KVH-SWS-LOGOS"/>
        <s v="FS-AST-SAMPLE"/>
        <s v="FS-AST-LOGOS"/>
        <s v="FS-ITBP  -LOGOS"/>
        <s v="Shipyard Extra (owner supply) 10800 CEU LNG PCTC _x0013_ Consilium SMiG Integration"/>
        <s v="FS-LENOVO-Logos"/>
        <s v="FS-KVH-SWS-LOYAL"/>
        <s v="FS-AST-LOYOL"/>
        <s v="FS-ITBP  -LOYAL"/>
        <s v="SHIPYARD EXTRA OWNER SUPLPY - 10800 CEU LNG PCTC _x0013_ Consilium SMiG Integration"/>
        <s v="FS-LENOVO-Loyal"/>
        <s v="Seatrial"/>
        <s v="FS-FortiPAM"/>
        <s v="Pre Delivery - Abanaki skimmers supply"/>
        <s v="Buyer Supply - J-Marine NeCST 55&quot; Route Planner"/>
        <s v="FS-AST -UPDATED PO"/>
        <s v="Pre Delivery Lubes - Order No. 5715387651"/>
        <s v="FS-KVH"/>
        <s v="FS-VLINK-H1943A"/>
        <s v="FS-ITBP  -CHANCAY"/>
        <s v="Pre Delivery Lubes - Order No. 5715441952"/>
        <s v="FS-LENOVO-Chancay"/>
        <s v="PD - SIT Equipment"/>
        <s v="(OOCL CHANCAY) Order # 4 - 5601988545"/>
        <s v="Interface PO-H1943A"/>
        <s v="Pre Delivery - (OOCL CHANCAY) Order # 2"/>
        <s v="FS-Vlink"/>
        <s v="13601 TEU - Lashing RFP -  SEC"/>
        <s v="FS-SIHUI-Chancay"/>
        <s v="Pre Delivery (OOCL CHANCAY) Order # A 5715663906"/>
        <s v="Pre-Delivery - Navis"/>
        <s v="Reliability Spares - Main Engine"/>
        <s v="Reliability Spares - Aux Engine"/>
        <s v="Reliability Spares - Boilers"/>
        <s v="Shipyard Extra Buyer Supply - HiNAS SVM 10800 A-Q-2025-09-02_R1"/>
        <s v="Pre-Delivery - OPA 91"/>
        <s v="AIS MOB"/>
        <s v="Gas Detector"/>
        <s v="Reefer Container Socket System"/>
        <s v="Inline Foam Eductor"/>
        <s v="Fire Suppression Unit"/>
        <s v="Seals"/>
        <s v="Cold Fire "/>
        <s v="15001 - SHI - LNG - Wires"/>
        <s v="Goggle for Cryogenic PPE"/>
        <s v="Stationery"/>
        <s v="Water Bottles"/>
        <s v="GoPro Hero 10"/>
        <s v="Fuel Additiove"/>
        <s v="Inspection Gauge for Container Socket"/>
        <s v="PD - Sewage Treatment Plant Fittings (Accom)"/>
        <s v="Universal Calibrator"/>
        <s v="Gas Measuring Equipment - RKI GX-8001"/>
        <s v="Lost Time Ijury"/>
        <s v="Urea"/>
        <s v="Hydropen"/>
        <s v="Lub Oil Test Kit (VISWA)"/>
        <s v="Stores- Instrumentation"/>
        <s v="VISWA Line Sampler"/>
        <s v="Walkie Talkie"/>
        <s v="Lighting Installations"/>
        <s v="ISPS Light"/>
        <s v=" New Positioning System for Transiting Neopanamax  Safepilot P3 navigation System"/>
        <s v="One (1) garbage compactor"/>
        <s v="Lubricating Oil and Grease  consumable "/>
        <s v=" Loose fittings for container securing "/>
        <s v="Fully automatic twist locks shall be stowed in stowage bins (Buyer supply)"/>
        <s v="Soot Release Dosing Device"/>
        <s v="Reefer container Monitoring System"/>
        <s v="Reefer Cables  and plug extensions _x000a_ Extension cores with plug for reefer container between reefer container and socket. "/>
        <s v=" Loose equipment for emergency operation such as chain block and shackle."/>
        <s v="Charts in general and all nautical instruments and books "/>
        <s v="Flags"/>
        <s v="All office machine "/>
        <s v="Hobby, sport and entertainment equipment (in excess of those specified in the Specification)."/>
        <s v="All medicine and medical equipment except those for lifeboat."/>
        <s v="All cook’s and steward’s utensils (crockery, cutlery, silverware, earthenware, glassware, pots, pans, etc.)"/>
        <s v=" Linen including blanket, carpets, bed sheets, towels and table cloth, etc."/>
        <s v="Bedding clothes (blankets, sheets, covers, etc.) except mattresses."/>
        <s v="Painting and pictures including frames and other decorations."/>
        <s v="Brooms, brushes, vacuum cleaners, waste baskets, etc. for accommodation and all portable hoses and clean devices not mentioned in the specification."/>
        <s v="Consumable stores including sanitary, all chandlery (soap, lamp oil, serviettes, table cloth etc.)."/>
        <s v="TV sets, Hi-Fi stereo sets and DVD etc. recreation equipment shall be supplied by the Buyer.( 220VAC) "/>
        <s v="Three (3) sets of Muster List (Buyer’s supply)"/>
        <s v="Hospital and dispensary O2 bottle rack with fastening belt "/>
        <s v="Gymnasium equipment ( also to indicate power supply) ( 220VAC) "/>
        <s v="FLAGS. SIGNAL ETC. "/>
        <s v="Boatswain’s and carpenter’s tools and inventory other than those specified in the Specification."/>
        <s v="Boiler feed water test kit and chemical compounds "/>
        <s v="Test Kit for Fuel Oil, Lube Oil and Hydraulic Oil"/>
        <s v="Test kit for shaft condition monitor"/>
        <s v="Mooring ropes including towing lines and fire wires addtional to spec "/>
        <s v="Each one (1) test equipment for temperature and pressure to be provided by buyer."/>
        <s v="One (1) portable lantern for each person (Buyer’s supply)."/>
        <s v="Large binoculars"/>
        <s v="Food rations, 10,000kJ for each person (Buyer’s supply)."/>
        <s v="Fresh water, 3L for each person (Buyer’s supply)."/>
        <s v="First-aid kit (Buyer’s supply)."/>
        <s v="Portable toilet (Buyer’s supply) for Citadel "/>
        <s v="Portable atmosphere testing instrument for measuring concentration of oxygen, flammable gases or vapors, hydrogen sulphide and carbon monoxide "/>
        <s v="One (1) set of UHF walkie-talkie transceiver system"/>
        <s v="PORTABLE UHF RADIO DEVICE (intrincaly safe) for crew operation  WITH chargers  ( 220VAC) addtional to rule "/>
        <s v="Breathing air compressor in Engine casing fire control station ( 220VAC) "/>
        <s v="Drew filters for drinking water coolers  (Sampling Cooler)( 220VAC) "/>
      </sharedItems>
    </cacheField>
    <cacheField name="PO Name [Standardized]" uniqueList="1" numFmtId="0" sqlType="0" hierarchy="0" level="0" databaseField="1">
      <sharedItems count="0" containsBlank="1"/>
    </cacheField>
    <cacheField name="Account Code" uniqueList="1" numFmtId="0" sqlType="0" hierarchy="0" level="0" databaseField="1">
      <sharedItems count="0" containsBlank="1" containsNonDate="0" containsString="0"/>
    </cacheField>
    <cacheField name="Category" uniqueList="1" numFmtId="0" sqlType="0" hierarchy="0" level="0" databaseField="1">
      <sharedItems count="8" containsBlank="1">
        <s v="Spares"/>
        <s v="Stores"/>
        <s v="Alfa Laval"/>
        <s v="Lube Oil"/>
        <s v="Others"/>
        <s v="CSSC Nanjing"/>
        <s v="Chemicals"/>
        <m/>
      </sharedItems>
    </cacheField>
    <cacheField name="Status" uniqueList="1" numFmtId="0" sqlType="0" hierarchy="0" level="0" databaseField="1">
      <sharedItems count="0" containsBlank="1"/>
    </cacheField>
    <cacheField name="PO Issue Date" uniqueList="1" numFmtId="0" sqlType="0" hierarchy="0" level="0" databaseField="1">
      <sharedItems count="0" containsBlank="1" containsDate="1" containsMixedTypes="1" minDate="2025-11-25T00:00:00" maxDate="2026-04-01T00:00:00"/>
    </cacheField>
    <cacheField name="Req. Delivery Date" uniqueList="1" numFmtId="0" sqlType="0" hierarchy="0" level="0" databaseField="1">
      <sharedItems count="0" containsBlank="1" containsDate="1" containsMixedTypes="1" minDate="2026-02-26T00:00:00" maxDate="2026-04-16T00:00:00"/>
    </cacheField>
    <cacheField name="Vessel Category" uniqueList="1" numFmtId="0" sqlType="0" hierarchy="0" level="0" databaseField="1">
      <sharedItems count="0" containsBlank="1"/>
    </cacheField>
    <cacheField name="Po Value" uniqueList="1" numFmtId="0" sqlType="0" hierarchy="0" level="0" databaseField="1">
      <sharedItems count="0" containsBlank="1" containsInteger="1" containsMixedTypes="1" containsNumber="1" minValue="63" maxValue="1794590"/>
    </cacheField>
    <cacheField name="Po Currency" uniqueList="1" numFmtId="0" sqlType="0" hierarchy="0" level="0" databaseField="1">
      <sharedItems count="0" containsBlank="1"/>
    </cacheField>
    <cacheField name="Supplier Name" uniqueList="1" numFmtId="0" sqlType="0" hierarchy="0" level="0" databaseField="1">
      <sharedItems count="38" containsBlank="1">
        <s v="#N/A "/>
        <e v="#N/A"/>
        <s v="MOL Techno Trade Ltd"/>
        <s v="Jonghap Maritime Engineering Inc."/>
        <s v="TotalEnergies Lubrifiants"/>
        <s v="Interface Computer System Co. Ltd."/>
        <s v="Captain's Eye"/>
        <s v="MAN B and W Diesel-Copenhagen Denmark"/>
        <s v="Wartsila Canada Inc."/>
        <s v="Shiva Enterprises"/>
        <s v="XINGLUN ROPE CABLE CO.,LTD"/>
        <s v="Avikus Co., Ltd."/>
        <s v="IT Blueprint Solutions Consulting Inc"/>
        <s v="West Nautical Pte Ltd"/>
        <s v="Vessel Link Marine Supply &amp; Service Ltd"/>
        <s v="Drew Marine USA, Inc"/>
        <s v="Consilium Marine and Safety Canada"/>
        <s v="Kangrim Industries Company Limited"/>
        <s v="VMT Co., Ltd"/>
        <s v="SIHUI MARINE CO LTD"/>
        <s v="Air Products AS"/>
        <s v="Hermont Marine Inc"/>
        <s v="Yinxiang Industrial HK Co Limited"/>
        <s v="DONGHWA ENTEC CO. ,LTD"/>
        <s v="Dan Marine Group Ltd."/>
        <s v="KVH Industries Inc"/>
        <s v="Fuji Marine Logistics Shunyang(Shanghai) Co., LIMITED"/>
        <s v="Applied Satellite Technology Systems US LLC (AST Americas)"/>
        <s v="Scandia Gear Asia Pte Ltd"/>
        <s v="X10 Networks Inc."/>
        <s v="OneOcean AS"/>
        <s v="RMS Marine Service Company Ltd."/>
        <s v="Eltronic FuelTech A/S"/>
        <s v="POSEIDON MARINE SUPPLIES LTD"/>
        <s v="HONGKONG LONGWIND MARINE SERVICE CO LIMITED"/>
        <s v="Viswam Limited"/>
        <s v="Loto Master Inc"/>
        <m/>
      </sharedItems>
    </cacheField>
    <cacheField name="Contract Status" uniqueList="1" numFmtId="0" sqlType="0" hierarchy="0" level="0" databaseField="1">
      <sharedItems count="4" containsBlank="1">
        <s v="#N/A "/>
        <s v="Checking "/>
        <s v="Contracted 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687">
  <r>
    <x v="0"/>
    <m/>
    <s v="GLUM-60015/26-1"/>
    <s v="Pre-Delivery"/>
    <x v="0"/>
    <s v="Lubricants"/>
    <m/>
    <x v="0"/>
    <s v="PO Created"/>
    <m/>
    <m/>
    <s v="PCTC"/>
    <s v="#N/A "/>
    <s v="#N/A "/>
    <x v="0"/>
    <x v="0"/>
  </r>
  <r>
    <x v="0"/>
    <m/>
    <s v="GLUM-60003/26-1"/>
    <s v=""/>
    <x v="1"/>
    <s v="IT Equipment - ITBP"/>
    <m/>
    <x v="0"/>
    <s v="Pending Delivery"/>
    <d v="2026-02-02T00:00:00"/>
    <m/>
    <s v="PCTC"/>
    <s v="#N/A "/>
    <s v="#N/A "/>
    <x v="0"/>
    <x v="0"/>
  </r>
  <r>
    <x v="0"/>
    <m/>
    <s v="GLUM-MVSP-60002/26-1"/>
    <s v=""/>
    <x v="2"/>
    <s v="IT Equipment - X10 System"/>
    <m/>
    <x v="0"/>
    <s v="Pending Supplier Confirmation"/>
    <d v="2026-03-20T00:00:00"/>
    <m/>
    <s v="PCTC"/>
    <s v="#N/A "/>
    <s v="#N/A "/>
    <x v="0"/>
    <x v="0"/>
  </r>
  <r>
    <x v="0"/>
    <m/>
    <s v="GLUM-60024/26-1"/>
    <s v=""/>
    <x v="3"/>
    <s v="LNG Operation Manual"/>
    <m/>
    <x v="0"/>
    <s v="PO Created"/>
    <m/>
    <m/>
    <s v="PCTC"/>
    <s v="#N/A "/>
    <s v="#N/A "/>
    <x v="0"/>
    <x v="0"/>
  </r>
  <r>
    <x v="0"/>
    <m/>
    <s v="GLUM-60006/26-1"/>
    <s v=""/>
    <x v="4"/>
    <s v="Tripods &amp; Spray Pipes"/>
    <m/>
    <x v="0"/>
    <s v="Pending Delivery"/>
    <d v="2026-03-10T00:00:00"/>
    <m/>
    <s v="PCTC"/>
    <s v="#N/A "/>
    <s v="#N/A "/>
    <x v="0"/>
    <x v="0"/>
  </r>
  <r>
    <x v="0"/>
    <m/>
    <s v="GLUM-60019/26-1"/>
    <s v=""/>
    <x v="5"/>
    <s v="QCDC"/>
    <m/>
    <x v="0"/>
    <s v="Pending Supplier Confirmation"/>
    <d v="2026-03-20T00:00:00"/>
    <m/>
    <s v="PCTC"/>
    <s v="#N/A "/>
    <s v="#N/A "/>
    <x v="0"/>
    <x v="0"/>
  </r>
  <r>
    <x v="0"/>
    <m/>
    <s v="GLUM-60016/26-1"/>
    <s v=""/>
    <x v="6"/>
    <s v="Gas Detection System"/>
    <m/>
    <x v="0"/>
    <s v="Pending Delivery"/>
    <d v="2026-03-06T00:00:00"/>
    <m/>
    <s v="PCTC"/>
    <s v="#N/A "/>
    <s v="#N/A "/>
    <x v="0"/>
    <x v="0"/>
  </r>
  <r>
    <x v="0"/>
    <m/>
    <s v="GLUM-60008/26-1"/>
    <s v=""/>
    <x v="7"/>
    <s v="Navigation - HiNAS SVM"/>
    <m/>
    <x v="0"/>
    <s v="Pending Supplier Confirmation"/>
    <d v="2026-02-17T00:00:00"/>
    <m/>
    <s v="PCTC"/>
    <s v="#N/A "/>
    <s v="#N/A "/>
    <x v="0"/>
    <x v="0"/>
  </r>
  <r>
    <x v="0"/>
    <m/>
    <s v="GLUM-60010/26-1"/>
    <s v=""/>
    <x v="8"/>
    <s v="IT Equipment - ITBP Additional Items"/>
    <m/>
    <x v="0"/>
    <s v="Pending Delivery"/>
    <d v="2026-02-19T00:00:00"/>
    <m/>
    <s v="PCTC"/>
    <s v="#N/A "/>
    <s v="#N/A "/>
    <x v="0"/>
    <x v="0"/>
  </r>
  <r>
    <x v="0"/>
    <m/>
    <s v="GLUM-60023/26-1"/>
    <s v="Pre-Delivery"/>
    <x v="9"/>
    <s v="Thermal Camera (FLIR)"/>
    <m/>
    <x v="0"/>
    <s v="Pending Delivery"/>
    <d v="2026-03-18T00:00:00"/>
    <m/>
    <s v="PCTC"/>
    <s v="#N/A "/>
    <s v="#N/A "/>
    <x v="0"/>
    <x v="0"/>
  </r>
  <r>
    <x v="0"/>
    <m/>
    <s v="GLUM-60001/26-1"/>
    <s v=""/>
    <x v="10"/>
    <s v="Navigation - Captains Eye"/>
    <m/>
    <x v="0"/>
    <s v="Pending Delivery"/>
    <d v="2026-01-15T00:00:00"/>
    <m/>
    <s v="PCTC"/>
    <s v="#N/A "/>
    <s v="#N/A "/>
    <x v="0"/>
    <x v="0"/>
  </r>
  <r>
    <x v="0"/>
    <m/>
    <s v="GLUM-60017/26-1"/>
    <s v=""/>
    <x v="11"/>
    <s v="Fire Detection System"/>
    <m/>
    <x v="0"/>
    <s v="Pending Delivery"/>
    <d v="2026-03-06T00:00:00"/>
    <m/>
    <s v="PCTC"/>
    <s v="#N/A "/>
    <s v="#N/A "/>
    <x v="0"/>
    <x v="0"/>
  </r>
  <r>
    <x v="0"/>
    <m/>
    <s v="GLUM-60002/26-1"/>
    <s v=""/>
    <x v="12"/>
    <s v="Communications - VSAT (KVH)"/>
    <m/>
    <x v="0"/>
    <s v="Pending Delivery"/>
    <d v="2026-01-26T00:00:00"/>
    <m/>
    <s v="PCTC"/>
    <s v="#N/A "/>
    <s v="#N/A "/>
    <x v="0"/>
    <x v="0"/>
  </r>
  <r>
    <x v="0"/>
    <m/>
    <s v="GLUM-60022/26-1"/>
    <s v="Pre-Delivery"/>
    <x v="13"/>
    <s v="Sample Cooler"/>
    <m/>
    <x v="0"/>
    <s v="Pending Supplier Confirmation"/>
    <d v="2026-03-20T00:00:00"/>
    <m/>
    <s v="PCTC"/>
    <s v="#N/A "/>
    <s v="#N/A "/>
    <x v="0"/>
    <x v="0"/>
  </r>
  <r>
    <x v="0"/>
    <m/>
    <s v="GLUM-60009/26-1"/>
    <s v=""/>
    <x v="14"/>
    <s v="IT Equipment - ITBP Cables"/>
    <m/>
    <x v="0"/>
    <s v="Pending Supplier Confirmation"/>
    <d v="2026-02-18T00:00:00"/>
    <m/>
    <s v="PCTC"/>
    <s v="#N/A "/>
    <s v="#N/A "/>
    <x v="0"/>
    <x v="0"/>
  </r>
  <r>
    <x v="0"/>
    <m/>
    <s v="GLUM-60007/26-1"/>
    <s v=""/>
    <x v="15"/>
    <s v="IT Equipment - Computers (Lenovo)"/>
    <m/>
    <x v="0"/>
    <s v="Pending Delivery"/>
    <d v="2026-02-13T00:00:00"/>
    <m/>
    <s v="PCTC"/>
    <s v="#N/A "/>
    <s v="#N/A "/>
    <x v="0"/>
    <x v="0"/>
  </r>
  <r>
    <x v="0"/>
    <m/>
    <s v="GLUM-60012/26-1"/>
    <s v=""/>
    <x v="16"/>
    <s v="IT Equipment - ITBP Lab Kit"/>
    <m/>
    <x v="0"/>
    <s v="Pending Delivery"/>
    <d v="2026-02-26T00:00:00"/>
    <m/>
    <s v="PCTC"/>
    <s v="#N/A "/>
    <s v="#N/A "/>
    <x v="0"/>
    <x v="0"/>
  </r>
  <r>
    <x v="0"/>
    <m/>
    <s v="GLUM-60020/26-1"/>
    <s v="Pre-Delivery"/>
    <x v="17"/>
    <s v="Cryogenic PPE"/>
    <m/>
    <x v="0"/>
    <s v="Pending Supplier Confirmation"/>
    <d v="2026-03-17T00:00:00"/>
    <m/>
    <s v="PCTC"/>
    <s v="#N/A "/>
    <s v="#N/A "/>
    <x v="0"/>
    <x v="0"/>
  </r>
  <r>
    <x v="0"/>
    <m/>
    <s v="GLUM-60018/26-1"/>
    <s v="Pre-Delivery"/>
    <x v="18"/>
    <s v="LNG Bunkering Equipment"/>
    <m/>
    <x v="0"/>
    <s v="Pending Supplier Confirmation"/>
    <d v="2026-03-19T00:00:00"/>
    <m/>
    <s v="PCTC"/>
    <s v="#N/A "/>
    <s v="#N/A "/>
    <x v="0"/>
    <x v="0"/>
  </r>
  <r>
    <x v="0"/>
    <m/>
    <s v="GLUM-60021/26-1"/>
    <s v="Pre-Delivery"/>
    <x v="19"/>
    <s v="Seatab"/>
    <m/>
    <x v="0"/>
    <s v="Pending Supplier Confirmation"/>
    <d v="2026-03-18T00:00:00"/>
    <m/>
    <s v="PCTC"/>
    <s v="#N/A "/>
    <s v="#N/A "/>
    <x v="0"/>
    <x v="0"/>
  </r>
  <r>
    <x v="0"/>
    <m/>
    <s v="GLUM-60004/26-1"/>
    <s v="Pre-Delivery"/>
    <x v="20"/>
    <s v="Garbage Compactor"/>
    <m/>
    <x v="0"/>
    <s v="Pending Delivery"/>
    <d v="2026-02-06T00:00:00"/>
    <m/>
    <s v="PCTC"/>
    <s v="#N/A "/>
    <s v="#N/A "/>
    <x v="0"/>
    <x v="0"/>
  </r>
  <r>
    <x v="0"/>
    <m/>
    <s v="GLUM-60005/26-1"/>
    <s v=""/>
    <x v="21"/>
    <s v="Oil Skimmers - Abanaki"/>
    <m/>
    <x v="0"/>
    <s v="Pending Supplier Confirmation"/>
    <d v="2026-02-12T00:00:00"/>
    <m/>
    <s v="PCTC"/>
    <s v="#N/A "/>
    <s v="#N/A "/>
    <x v="0"/>
    <x v="0"/>
  </r>
  <r>
    <x v="0"/>
    <m/>
    <s v="GLUM-60014/26"/>
    <s v=""/>
    <x v="22"/>
    <s v="Boiler Spares"/>
    <m/>
    <x v="0"/>
    <s v="Pending Approval"/>
    <d v="2026-02-25T00:00:00"/>
    <s v="To be Approved"/>
    <s v="PCTC"/>
    <s v="#N/A "/>
    <s v="#N/A "/>
    <x v="0"/>
    <x v="0"/>
  </r>
  <r>
    <x v="0"/>
    <m/>
    <s v="GLUM-60025/26"/>
    <s v=""/>
    <x v="23"/>
    <s v="Ultrasonic Cleaner"/>
    <m/>
    <x v="1"/>
    <s v="Pending Approval"/>
    <m/>
    <s v="To be Approved"/>
    <s v="PCTC"/>
    <s v="#N/A "/>
    <s v="#N/A "/>
    <x v="0"/>
    <x v="0"/>
  </r>
  <r>
    <x v="0"/>
    <m/>
    <s v="GLUM-60026/26"/>
    <s v=""/>
    <x v="24"/>
    <s v="OPA 90 Kit"/>
    <m/>
    <x v="1"/>
    <s v="Pending Approval"/>
    <m/>
    <s v="To be Approved"/>
    <s v="PCTC"/>
    <s v="#N/A "/>
    <s v="#N/A "/>
    <x v="0"/>
    <x v="0"/>
  </r>
  <r>
    <x v="0"/>
    <m/>
    <s v="GLUM-60027/26"/>
    <s v=""/>
    <x v="25"/>
    <s v="High Pressure Washer"/>
    <m/>
    <x v="1"/>
    <s v="Pending Approval"/>
    <m/>
    <s v="To be Approved"/>
    <s v="PCTC"/>
    <s v="#N/A "/>
    <s v="#N/A "/>
    <x v="0"/>
    <x v="0"/>
  </r>
  <r>
    <x v="0"/>
    <m/>
    <s v="GLUM-60028/26"/>
    <s v=""/>
    <x v="26"/>
    <s v="Steam Splash Suit"/>
    <m/>
    <x v="1"/>
    <s v="Pending Approval"/>
    <m/>
    <s v="To be Approved"/>
    <s v="PCTC"/>
    <s v="#N/A "/>
    <s v="#N/A "/>
    <x v="0"/>
    <x v="0"/>
  </r>
  <r>
    <x v="0"/>
    <m/>
    <s v="GLUM-60033/26"/>
    <s v=""/>
    <x v="27"/>
    <s v="Gas Meters"/>
    <m/>
    <x v="1"/>
    <m/>
    <m/>
    <m/>
    <s v="PCTC"/>
    <s v="#N/A "/>
    <s v="#N/A "/>
    <x v="0"/>
    <x v="0"/>
  </r>
  <r>
    <x v="1"/>
    <m/>
    <m/>
    <s v=""/>
    <x v="28"/>
    <s v="Oily Water Separator"/>
    <m/>
    <x v="2"/>
    <m/>
    <m/>
    <m/>
    <s v="PCTC"/>
    <s v="#N/A "/>
    <e v="#N/A"/>
    <x v="1"/>
    <x v="0"/>
  </r>
  <r>
    <x v="1"/>
    <m/>
    <m/>
    <s v=""/>
    <x v="29"/>
    <s v="BWTS Spares"/>
    <m/>
    <x v="2"/>
    <m/>
    <m/>
    <m/>
    <s v="PCTC"/>
    <s v=" #N/A "/>
    <e v="#N/A"/>
    <x v="1"/>
    <x v="0"/>
  </r>
  <r>
    <x v="1"/>
    <m/>
    <s v="GLIG-60094/26-1"/>
    <s v=""/>
    <x v="30"/>
    <s v="EV Lance"/>
    <m/>
    <x v="0"/>
    <m/>
    <m/>
    <m/>
    <s v="PCTC"/>
    <n v="1794590"/>
    <s v="JPY"/>
    <x v="2"/>
    <x v="1"/>
  </r>
  <r>
    <x v="1"/>
    <m/>
    <s v="GLIG-60034/26-1"/>
    <s v=""/>
    <x v="31"/>
    <s v="RO-RO Equipment - Loose Fittings"/>
    <m/>
    <x v="0"/>
    <m/>
    <m/>
    <m/>
    <s v="PCTC"/>
    <n v="486174"/>
    <s v="USD"/>
    <x v="3"/>
    <x v="2"/>
  </r>
  <r>
    <x v="1"/>
    <m/>
    <s v="GLIG-60030/26-1"/>
    <s v="Pre-Delivery"/>
    <x v="32"/>
    <s v="Lubricants"/>
    <m/>
    <x v="3"/>
    <m/>
    <m/>
    <m/>
    <s v="PCTC"/>
    <n v="305941"/>
    <s v="USD"/>
    <x v="4"/>
    <x v="2"/>
  </r>
  <r>
    <x v="1"/>
    <m/>
    <s v="GLIG-60021/26-1"/>
    <s v=""/>
    <x v="33"/>
    <s v="IT Equipment - Interface / Integration"/>
    <m/>
    <x v="4"/>
    <m/>
    <m/>
    <m/>
    <s v="PCTC"/>
    <n v="260191"/>
    <s v="HKD"/>
    <x v="5"/>
    <x v="1"/>
  </r>
  <r>
    <x v="1"/>
    <m/>
    <s v="GLIG-60005/26-1"/>
    <s v=""/>
    <x v="10"/>
    <s v="Navigation - Captains Eye"/>
    <m/>
    <x v="0"/>
    <m/>
    <m/>
    <m/>
    <s v="PCTC"/>
    <n v="224200"/>
    <s v="USD"/>
    <x v="6"/>
    <x v="2"/>
  </r>
  <r>
    <x v="1"/>
    <m/>
    <s v="GLIG-60079/26-1"/>
    <s v=""/>
    <x v="34"/>
    <s v="Engine Spares - Main Engine"/>
    <m/>
    <x v="0"/>
    <m/>
    <m/>
    <m/>
    <s v="PCTC"/>
    <n v="215083"/>
    <s v="EUR"/>
    <x v="7"/>
    <x v="1"/>
  </r>
  <r>
    <x v="1"/>
    <m/>
    <s v="GLIG-60080/26-1"/>
    <s v=""/>
    <x v="35"/>
    <s v="Engine Spares - Auxiliary Engine"/>
    <m/>
    <x v="0"/>
    <m/>
    <m/>
    <m/>
    <s v="PCTC"/>
    <n v="113839"/>
    <s v="EUR"/>
    <x v="8"/>
    <x v="1"/>
  </r>
  <r>
    <x v="1"/>
    <m/>
    <m/>
    <s v=""/>
    <x v="36"/>
    <s v="Sewage Treatment Plant"/>
    <m/>
    <x v="5"/>
    <m/>
    <m/>
    <m/>
    <s v="PCTC"/>
    <s v=" #N/A "/>
    <e v="#N/A"/>
    <x v="1"/>
    <x v="0"/>
  </r>
  <r>
    <x v="1"/>
    <m/>
    <m/>
    <s v=""/>
    <x v="37"/>
    <s v="Sewage Discharge Pump"/>
    <m/>
    <x v="5"/>
    <m/>
    <m/>
    <m/>
    <s v="PCTC"/>
    <s v=" #N/A "/>
    <e v="#N/A"/>
    <x v="1"/>
    <x v="0"/>
  </r>
  <r>
    <x v="1"/>
    <m/>
    <s v="GLIG-60002/25-1"/>
    <s v="Pre-Delivery"/>
    <x v="38"/>
    <s v="Lubricants"/>
    <m/>
    <x v="3"/>
    <m/>
    <m/>
    <m/>
    <s v="PCTC"/>
    <n v="83443"/>
    <s v="USD"/>
    <x v="4"/>
    <x v="2"/>
  </r>
  <r>
    <x v="1"/>
    <m/>
    <s v="GLIG-60076/26-1"/>
    <s v=""/>
    <x v="26"/>
    <s v="Steam Splash Suit"/>
    <m/>
    <x v="1"/>
    <m/>
    <m/>
    <m/>
    <s v="PCTC"/>
    <n v="83000"/>
    <s v="INR"/>
    <x v="9"/>
    <x v="1"/>
  </r>
  <r>
    <x v="1"/>
    <m/>
    <s v="GLIG-60066/26-1"/>
    <s v=""/>
    <x v="39"/>
    <s v="Mooring Ropes"/>
    <m/>
    <x v="0"/>
    <m/>
    <m/>
    <m/>
    <s v="PCTC"/>
    <n v="80788"/>
    <s v="USD"/>
    <x v="10"/>
    <x v="2"/>
  </r>
  <r>
    <x v="1"/>
    <m/>
    <s v="GLIG-60024/26-1"/>
    <s v=""/>
    <x v="40"/>
    <s v="Navigation - HiNAS SVM"/>
    <m/>
    <x v="0"/>
    <m/>
    <m/>
    <m/>
    <s v="PCTC"/>
    <n v="63600"/>
    <s v="USD"/>
    <x v="11"/>
    <x v="2"/>
  </r>
  <r>
    <x v="1"/>
    <m/>
    <s v="GLIG-60003/26-1"/>
    <s v=""/>
    <x v="41"/>
    <s v="IT Equipment - Interface / Integration"/>
    <m/>
    <x v="4"/>
    <m/>
    <m/>
    <m/>
    <s v="PCTC"/>
    <n v="55710"/>
    <s v="HKD"/>
    <x v="5"/>
    <x v="1"/>
  </r>
  <r>
    <x v="1"/>
    <m/>
    <m/>
    <s v=""/>
    <x v="42"/>
    <s v="Lubricants"/>
    <m/>
    <x v="3"/>
    <m/>
    <m/>
    <m/>
    <s v="PCTC"/>
    <s v=" #N/A "/>
    <e v="#N/A"/>
    <x v="1"/>
    <x v="0"/>
  </r>
  <r>
    <x v="1"/>
    <m/>
    <s v="GLIG-60001/25-1"/>
    <s v="Pre-Delivery"/>
    <x v="43"/>
    <s v="Lubricants"/>
    <m/>
    <x v="3"/>
    <m/>
    <m/>
    <m/>
    <s v="PCTC"/>
    <n v="51230"/>
    <s v="USD"/>
    <x v="4"/>
    <x v="2"/>
  </r>
  <r>
    <x v="1"/>
    <m/>
    <s v="GLIG-60022/26-1"/>
    <s v=""/>
    <x v="44"/>
    <s v="IT Equipment - Computers (Lenovo)"/>
    <m/>
    <x v="4"/>
    <m/>
    <m/>
    <m/>
    <s v="PCTC"/>
    <n v="49419"/>
    <s v="CAD"/>
    <x v="12"/>
    <x v="1"/>
  </r>
  <r>
    <x v="1"/>
    <m/>
    <s v="GLIG-60087/26-1"/>
    <s v=""/>
    <x v="45"/>
    <s v="Citadel VHF/GPS/UHF System"/>
    <m/>
    <x v="0"/>
    <m/>
    <m/>
    <m/>
    <s v="PCTC"/>
    <n v="39000"/>
    <s v="USD"/>
    <x v="13"/>
    <x v="2"/>
  </r>
  <r>
    <x v="1"/>
    <m/>
    <s v="GLIG-60100/26-1"/>
    <s v=""/>
    <x v="46"/>
    <s v="UHF Radio"/>
    <m/>
    <x v="0"/>
    <m/>
    <m/>
    <m/>
    <s v="PCTC"/>
    <n v="32128"/>
    <s v="USD"/>
    <x v="14"/>
    <x v="2"/>
  </r>
  <r>
    <x v="1"/>
    <m/>
    <s v="GLIG-60078/26-1"/>
    <s v="Pre-Delivery"/>
    <x v="47"/>
    <s v="Welding Equipment"/>
    <m/>
    <x v="6"/>
    <m/>
    <m/>
    <m/>
    <s v="PCTC"/>
    <n v="30943"/>
    <s v="USD"/>
    <x v="15"/>
    <x v="2"/>
  </r>
  <r>
    <x v="1"/>
    <m/>
    <s v="GLIG-60096/26-1"/>
    <s v=""/>
    <x v="48"/>
    <s v="Lubricants"/>
    <m/>
    <x v="3"/>
    <m/>
    <m/>
    <m/>
    <s v="PCTC"/>
    <n v="30700"/>
    <s v="USD"/>
    <x v="4"/>
    <x v="2"/>
  </r>
  <r>
    <x v="1"/>
    <m/>
    <s v="GLIG-60012/26-1"/>
    <s v=""/>
    <x v="49"/>
    <s v="IT Equipment - ITBP"/>
    <m/>
    <x v="4"/>
    <m/>
    <m/>
    <m/>
    <s v="PCTC"/>
    <n v="29716"/>
    <s v="USD"/>
    <x v="12"/>
    <x v="2"/>
  </r>
  <r>
    <x v="1"/>
    <m/>
    <s v="GLIG-60037/26-1"/>
    <s v=""/>
    <x v="6"/>
    <s v="Gas Detection System"/>
    <m/>
    <x v="0"/>
    <m/>
    <m/>
    <m/>
    <s v="PCTC"/>
    <n v="28136"/>
    <s v="USD"/>
    <x v="16"/>
    <x v="2"/>
  </r>
  <r>
    <x v="1"/>
    <m/>
    <s v="GLIG-60010/26-1"/>
    <s v=""/>
    <x v="50"/>
    <s v="Communications - VLINK"/>
    <m/>
    <x v="4"/>
    <m/>
    <m/>
    <m/>
    <s v="PCTC"/>
    <n v="25285"/>
    <s v="USD"/>
    <x v="14"/>
    <x v="2"/>
  </r>
  <r>
    <x v="1"/>
    <m/>
    <s v="GLIG-60033/26-1"/>
    <s v=""/>
    <x v="22"/>
    <s v="Boiler Spares"/>
    <m/>
    <x v="0"/>
    <m/>
    <m/>
    <m/>
    <s v="PCTC"/>
    <n v="23968"/>
    <s v="USD"/>
    <x v="17"/>
    <x v="2"/>
  </r>
  <r>
    <x v="1"/>
    <m/>
    <s v="GLIG-60067/26-1"/>
    <s v=""/>
    <x v="3"/>
    <s v="LNG Operation Manual"/>
    <m/>
    <x v="4"/>
    <m/>
    <m/>
    <m/>
    <s v="PCTC"/>
    <n v="21500"/>
    <s v="USD"/>
    <x v="18"/>
    <x v="2"/>
  </r>
  <r>
    <x v="1"/>
    <m/>
    <s v="GLIG-60075/26-1"/>
    <s v="Pre-Delivery"/>
    <x v="51"/>
    <s v="Engineering Products &amp; Chemicals"/>
    <m/>
    <x v="6"/>
    <m/>
    <m/>
    <m/>
    <s v="PCTC"/>
    <n v="20709"/>
    <s v="USD"/>
    <x v="15"/>
    <x v="2"/>
  </r>
  <r>
    <x v="1"/>
    <m/>
    <s v="GLIG-60084/26-1"/>
    <s v=""/>
    <x v="52"/>
    <s v="Dual Fuel Tools"/>
    <m/>
    <x v="1"/>
    <m/>
    <m/>
    <m/>
    <s v="PCTC"/>
    <n v="20589"/>
    <s v="USD"/>
    <x v="14"/>
    <x v="2"/>
  </r>
  <r>
    <x v="1"/>
    <m/>
    <s v="GLIG-60017/26-1"/>
    <s v=""/>
    <x v="53"/>
    <s v="IT Equipment - Sihui Marine"/>
    <m/>
    <x v="4"/>
    <m/>
    <m/>
    <m/>
    <s v="PCTC"/>
    <n v="20000"/>
    <s v="USD"/>
    <x v="19"/>
    <x v="2"/>
  </r>
  <r>
    <x v="1"/>
    <m/>
    <s v="GLIG-60005/25-1"/>
    <s v=""/>
    <x v="54"/>
    <s v="Safety Integration - SMiG"/>
    <m/>
    <x v="0"/>
    <m/>
    <m/>
    <m/>
    <s v="PCTC"/>
    <n v="19300"/>
    <s v="USD"/>
    <x v="16"/>
    <x v="2"/>
  </r>
  <r>
    <x v="1"/>
    <m/>
    <s v="GLIG-60098/26-1"/>
    <s v=""/>
    <x v="55"/>
    <s v="Nitrogen Generator"/>
    <m/>
    <x v="0"/>
    <m/>
    <m/>
    <m/>
    <s v="PCTC"/>
    <n v="12020"/>
    <s v="USD"/>
    <x v="20"/>
    <x v="2"/>
  </r>
  <r>
    <x v="1"/>
    <m/>
    <s v="GLIG-60036/26-1"/>
    <s v=""/>
    <x v="56"/>
    <s v="Training - Wartsila"/>
    <m/>
    <x v="4"/>
    <m/>
    <m/>
    <m/>
    <s v="PCTC"/>
    <n v="11760"/>
    <s v="EUR"/>
    <x v="8"/>
    <x v="1"/>
  </r>
  <r>
    <x v="1"/>
    <m/>
    <s v="GLIG-60047/26-1"/>
    <s v="Pre-Delivery"/>
    <x v="13"/>
    <s v="Sample Cooler"/>
    <m/>
    <x v="0"/>
    <m/>
    <m/>
    <m/>
    <s v="PCTC"/>
    <n v="10858"/>
    <s v="USD"/>
    <x v="15"/>
    <x v="2"/>
  </r>
  <r>
    <x v="1"/>
    <m/>
    <s v="GLIG-60020/26"/>
    <s v=""/>
    <x v="57"/>
    <s v="IT Equipment - Interface / Integration"/>
    <m/>
    <x v="4"/>
    <m/>
    <m/>
    <m/>
    <s v="PCTC"/>
    <s v=" #N/A "/>
    <e v="#N/A"/>
    <x v="1"/>
    <x v="0"/>
  </r>
  <r>
    <x v="1"/>
    <m/>
    <s v="GLIG-60018/26"/>
    <s v=""/>
    <x v="58"/>
    <s v="Communications - VSAT (KVH)"/>
    <m/>
    <x v="4"/>
    <m/>
    <m/>
    <m/>
    <s v="PCTC"/>
    <s v=" #N/A "/>
    <e v="#N/A"/>
    <x v="1"/>
    <x v="0"/>
  </r>
  <r>
    <x v="1"/>
    <m/>
    <s v="GLIG-60016/26"/>
    <s v=""/>
    <x v="59"/>
    <s v="IT Equipment - Sihui Marine"/>
    <m/>
    <x v="4"/>
    <m/>
    <m/>
    <m/>
    <s v="PCTC"/>
    <s v=" #N/A "/>
    <e v="#N/A"/>
    <x v="1"/>
    <x v="0"/>
  </r>
  <r>
    <x v="1"/>
    <m/>
    <s v="GLIG-60014/26"/>
    <s v=""/>
    <x v="60"/>
    <s v="IT Equipment - X10 System"/>
    <m/>
    <x v="4"/>
    <m/>
    <m/>
    <m/>
    <s v="PCTC"/>
    <s v=" #N/A "/>
    <e v="#N/A"/>
    <x v="1"/>
    <x v="0"/>
  </r>
  <r>
    <x v="1"/>
    <m/>
    <s v="GLIG-60009/26"/>
    <s v=""/>
    <x v="61"/>
    <s v="IT Equipment - ITBP"/>
    <m/>
    <x v="4"/>
    <m/>
    <m/>
    <m/>
    <s v="PCTC"/>
    <s v=" #N/A "/>
    <e v="#N/A"/>
    <x v="1"/>
    <x v="0"/>
  </r>
  <r>
    <x v="1"/>
    <m/>
    <s v="GLIG-60007/25"/>
    <s v=""/>
    <x v="62"/>
    <s v="Fleet Systems - Services"/>
    <m/>
    <x v="4"/>
    <m/>
    <m/>
    <m/>
    <s v="PCTC"/>
    <s v=" #N/A "/>
    <e v="#N/A"/>
    <x v="1"/>
    <x v="0"/>
  </r>
  <r>
    <x v="1"/>
    <m/>
    <s v="GLIG-60040/26-1"/>
    <s v=""/>
    <x v="63"/>
    <s v="Communications - Starlink Accessories"/>
    <m/>
    <x v="4"/>
    <m/>
    <m/>
    <m/>
    <s v="PCTC"/>
    <s v=" #N/A "/>
    <e v="#N/A"/>
    <x v="1"/>
    <x v="0"/>
  </r>
  <r>
    <x v="1"/>
    <m/>
    <s v="GLIG-60002/26"/>
    <s v=""/>
    <x v="64"/>
    <s v="IT Equipment - Interface / Integration"/>
    <m/>
    <x v="4"/>
    <m/>
    <m/>
    <m/>
    <s v="PCTC"/>
    <s v=" #N/A "/>
    <e v="#N/A"/>
    <x v="1"/>
    <x v="0"/>
  </r>
  <r>
    <x v="1"/>
    <m/>
    <s v="GLIG-60032/26"/>
    <s v=""/>
    <x v="65"/>
    <s v="IT Equipment - ITBP Licenses"/>
    <m/>
    <x v="4"/>
    <m/>
    <m/>
    <m/>
    <s v="PCTC"/>
    <s v=" #N/A "/>
    <e v="#N/A"/>
    <x v="1"/>
    <x v="0"/>
  </r>
  <r>
    <x v="1"/>
    <m/>
    <s v="GLIG-60001/26"/>
    <s v=""/>
    <x v="66"/>
    <s v="Fleet Systems - General"/>
    <m/>
    <x v="4"/>
    <m/>
    <m/>
    <m/>
    <s v="PCTC"/>
    <s v=" #N/A "/>
    <e v="#N/A"/>
    <x v="1"/>
    <x v="0"/>
  </r>
  <r>
    <x v="1"/>
    <m/>
    <s v="GLIG-60081/26"/>
    <s v=""/>
    <x v="67"/>
    <s v="IT Equipment - ITBP Tax Invoice"/>
    <m/>
    <x v="4"/>
    <m/>
    <m/>
    <m/>
    <s v="PCTC"/>
    <s v=" #N/A "/>
    <e v="#N/A"/>
    <x v="1"/>
    <x v="0"/>
  </r>
  <r>
    <x v="1"/>
    <m/>
    <s v="GLIG-60082/26"/>
    <s v=""/>
    <x v="68"/>
    <s v="IT Equipment - X10 System"/>
    <m/>
    <x v="4"/>
    <m/>
    <m/>
    <m/>
    <s v="PCTC"/>
    <s v=" #N/A "/>
    <e v="#N/A"/>
    <x v="1"/>
    <x v="0"/>
  </r>
  <r>
    <x v="1"/>
    <m/>
    <s v="GLIG-60042/26-1"/>
    <s v=""/>
    <x v="69"/>
    <s v="Oil Skimmers - Abanaki"/>
    <m/>
    <x v="0"/>
    <m/>
    <m/>
    <m/>
    <s v="PCTC"/>
    <n v="10325"/>
    <s v="USD"/>
    <x v="21"/>
    <x v="2"/>
  </r>
  <r>
    <x v="1"/>
    <m/>
    <s v="GLIG-60038/26-1"/>
    <s v=""/>
    <x v="11"/>
    <s v="Fire Detection System"/>
    <m/>
    <x v="0"/>
    <m/>
    <m/>
    <m/>
    <s v="PCTC"/>
    <n v="9933"/>
    <s v="USD"/>
    <x v="16"/>
    <x v="2"/>
  </r>
  <r>
    <x v="1"/>
    <m/>
    <s v="GLIG-60068/26-1"/>
    <s v="Pre-Delivery"/>
    <x v="70"/>
    <s v="Treatment Chemicals"/>
    <m/>
    <x v="6"/>
    <m/>
    <m/>
    <m/>
    <s v="PCTC"/>
    <n v="9266"/>
    <s v="USD"/>
    <x v="15"/>
    <x v="2"/>
  </r>
  <r>
    <x v="1"/>
    <m/>
    <s v="GLIG-60092/26-1"/>
    <s v=""/>
    <x v="71"/>
    <s v="Publications &amp; Manuals"/>
    <m/>
    <x v="1"/>
    <m/>
    <m/>
    <m/>
    <s v="PCTC"/>
    <n v="9105"/>
    <s v="USD"/>
    <x v="22"/>
    <x v="2"/>
  </r>
  <r>
    <x v="1"/>
    <m/>
    <s v="GLIG-60071/26-1"/>
    <s v=""/>
    <x v="72"/>
    <s v="Refrigerant Equipment"/>
    <m/>
    <x v="6"/>
    <m/>
    <m/>
    <m/>
    <s v="PCTC"/>
    <n v="7740"/>
    <s v="USD"/>
    <x v="15"/>
    <x v="2"/>
  </r>
  <r>
    <x v="1"/>
    <m/>
    <s v="GLIG-60048/26-1"/>
    <s v=""/>
    <x v="73"/>
    <s v="BOG Compressor Spares"/>
    <m/>
    <x v="0"/>
    <m/>
    <m/>
    <m/>
    <s v="PCTC"/>
    <n v="7060"/>
    <s v="USD"/>
    <x v="23"/>
    <x v="2"/>
  </r>
  <r>
    <x v="1"/>
    <m/>
    <s v="GLIG-60103/26-1"/>
    <s v=""/>
    <x v="74"/>
    <s v="IMPA Stores - BA Compressor"/>
    <m/>
    <x v="1"/>
    <m/>
    <m/>
    <m/>
    <s v="PCTC"/>
    <n v="6929"/>
    <s v="USD"/>
    <x v="24"/>
    <x v="2"/>
  </r>
  <r>
    <x v="1"/>
    <m/>
    <s v="GLIG-60019/26-1"/>
    <s v=""/>
    <x v="75"/>
    <s v="Communications - VSAT (KVH)"/>
    <m/>
    <x v="4"/>
    <m/>
    <m/>
    <m/>
    <s v="PCTC"/>
    <n v="6775"/>
    <s v="USD"/>
    <x v="25"/>
    <x v="2"/>
  </r>
  <r>
    <x v="1"/>
    <m/>
    <s v="GLIG-60060/26-1"/>
    <s v=""/>
    <x v="76"/>
    <s v="IMPA Stores - Engine"/>
    <m/>
    <x v="1"/>
    <m/>
    <m/>
    <m/>
    <s v="PCTC"/>
    <n v="6363"/>
    <s v="USD"/>
    <x v="26"/>
    <x v="2"/>
  </r>
  <r>
    <x v="1"/>
    <m/>
    <s v="GLIG-60063/26-1"/>
    <s v=""/>
    <x v="76"/>
    <s v="IMPA Stores - Engine"/>
    <m/>
    <x v="1"/>
    <m/>
    <m/>
    <m/>
    <s v="PCTC"/>
    <n v="6224"/>
    <s v="USD"/>
    <x v="26"/>
    <x v="2"/>
  </r>
  <r>
    <x v="1"/>
    <m/>
    <s v="GLIG-60102/26-1"/>
    <s v=""/>
    <x v="77"/>
    <s v="Temperature Calibrators"/>
    <m/>
    <x v="1"/>
    <m/>
    <m/>
    <m/>
    <s v="PCTC"/>
    <n v="5860"/>
    <s v="USD"/>
    <x v="24"/>
    <x v="2"/>
  </r>
  <r>
    <x v="1"/>
    <m/>
    <s v="GLIG-60102/26-1"/>
    <s v=""/>
    <x v="78"/>
    <s v="Pressure Calibrators"/>
    <m/>
    <x v="1"/>
    <m/>
    <m/>
    <m/>
    <s v="PCTC"/>
    <n v="5860"/>
    <s v="USD"/>
    <x v="24"/>
    <x v="2"/>
  </r>
  <r>
    <x v="1"/>
    <m/>
    <s v="GLIG-60008/26-1"/>
    <s v=""/>
    <x v="79"/>
    <s v="IT Equipment - Interface / Integration"/>
    <m/>
    <x v="4"/>
    <m/>
    <m/>
    <m/>
    <s v="PCTC"/>
    <n v="5766"/>
    <s v="USD"/>
    <x v="27"/>
    <x v="2"/>
  </r>
  <r>
    <x v="1"/>
    <m/>
    <s v="GLIG-60045/26-1"/>
    <s v=""/>
    <x v="80"/>
    <s v="Maintenance Chemicals"/>
    <m/>
    <x v="6"/>
    <m/>
    <m/>
    <m/>
    <s v="PCTC"/>
    <n v="5339"/>
    <s v="USD"/>
    <x v="15"/>
    <x v="2"/>
  </r>
  <r>
    <x v="1"/>
    <m/>
    <s v="GLIG-60070/26-1"/>
    <s v=""/>
    <x v="81"/>
    <s v="Industrial Gases"/>
    <m/>
    <x v="6"/>
    <m/>
    <m/>
    <m/>
    <s v="PCTC"/>
    <n v="5327"/>
    <s v="USD"/>
    <x v="15"/>
    <x v="2"/>
  </r>
  <r>
    <x v="1"/>
    <m/>
    <s v="GLIG-60044/26-1"/>
    <s v=""/>
    <x v="82"/>
    <s v="Cryogenic PPE"/>
    <m/>
    <x v="1"/>
    <m/>
    <m/>
    <m/>
    <s v="PCTC"/>
    <n v="5272"/>
    <s v="USD"/>
    <x v="28"/>
    <x v="2"/>
  </r>
  <r>
    <x v="1"/>
    <m/>
    <s v="GLIG-60058/26-1"/>
    <s v=""/>
    <x v="83"/>
    <s v="IMPA Stores - Accommodation"/>
    <m/>
    <x v="1"/>
    <m/>
    <m/>
    <m/>
    <s v="PCTC"/>
    <n v="4987"/>
    <s v="USD"/>
    <x v="26"/>
    <x v="2"/>
  </r>
  <r>
    <x v="1"/>
    <m/>
    <s v="GLIG-60099/26-1"/>
    <s v=""/>
    <x v="84"/>
    <s v="Sea Trial"/>
    <m/>
    <x v="1"/>
    <m/>
    <m/>
    <m/>
    <s v="PCTC"/>
    <n v="4758"/>
    <s v="USD"/>
    <x v="14"/>
    <x v="2"/>
  </r>
  <r>
    <x v="1"/>
    <m/>
    <s v="GLIG-60025/26-1"/>
    <s v="Pre-Delivery"/>
    <x v="85"/>
    <s v="Lubricants"/>
    <m/>
    <x v="3"/>
    <m/>
    <m/>
    <m/>
    <s v="PCTC"/>
    <n v="4414"/>
    <s v="USD"/>
    <x v="14"/>
    <x v="2"/>
  </r>
  <r>
    <x v="1"/>
    <m/>
    <s v="GLIG-60043/26-1"/>
    <s v=""/>
    <x v="86"/>
    <s v="Garbage Compactor"/>
    <m/>
    <x v="0"/>
    <m/>
    <m/>
    <m/>
    <s v="PCTC"/>
    <n v="4350"/>
    <s v="USD"/>
    <x v="14"/>
    <x v="2"/>
  </r>
  <r>
    <x v="1"/>
    <m/>
    <s v="GLIG-60015/26-1"/>
    <s v=""/>
    <x v="60"/>
    <s v="IT Equipment - X10 System"/>
    <m/>
    <x v="4"/>
    <m/>
    <m/>
    <m/>
    <s v="PCTC"/>
    <n v="4281"/>
    <s v="CAD"/>
    <x v="29"/>
    <x v="1"/>
  </r>
  <r>
    <x v="1"/>
    <m/>
    <s v="GLIG-60097/26-1"/>
    <s v=""/>
    <x v="87"/>
    <m/>
    <m/>
    <x v="4"/>
    <m/>
    <m/>
    <m/>
    <s v="PCTC"/>
    <n v="4040"/>
    <s v="USD"/>
    <x v="25"/>
    <x v="2"/>
  </r>
  <r>
    <x v="1"/>
    <m/>
    <s v="GLIG-60003/25"/>
    <s v=""/>
    <x v="88"/>
    <s v="Citadel VHF/GPS/UHF System"/>
    <m/>
    <x v="0"/>
    <m/>
    <m/>
    <m/>
    <s v="PCTC"/>
    <s v=" #N/A "/>
    <e v="#N/A"/>
    <x v="1"/>
    <x v="0"/>
  </r>
  <r>
    <x v="1"/>
    <m/>
    <s v="GLIG-60085/26-1"/>
    <s v=""/>
    <x v="89"/>
    <s v="HP Pump (Hydraulic Nuts)"/>
    <m/>
    <x v="0"/>
    <m/>
    <m/>
    <m/>
    <s v="PCTC"/>
    <s v=" #N/A "/>
    <e v="#N/A"/>
    <x v="1"/>
    <x v="0"/>
  </r>
  <r>
    <x v="1"/>
    <m/>
    <m/>
    <s v=""/>
    <x v="90"/>
    <s v="RO-RO Equipment - Ramp Spares"/>
    <m/>
    <x v="0"/>
    <m/>
    <m/>
    <m/>
    <s v="PCTC"/>
    <s v=" #N/A "/>
    <e v="#N/A"/>
    <x v="1"/>
    <x v="0"/>
  </r>
  <r>
    <x v="1"/>
    <m/>
    <m/>
    <s v=""/>
    <x v="91"/>
    <s v="HP Pump Skid"/>
    <m/>
    <x v="0"/>
    <m/>
    <m/>
    <m/>
    <s v="PCTC"/>
    <s v=" #N/A "/>
    <e v="#N/A"/>
    <x v="1"/>
    <x v="0"/>
  </r>
  <r>
    <x v="1"/>
    <m/>
    <m/>
    <s v=""/>
    <x v="92"/>
    <s v="Reefer Cables &amp; Plugs"/>
    <m/>
    <x v="0"/>
    <m/>
    <m/>
    <m/>
    <s v="PCTC"/>
    <s v=" #N/A "/>
    <e v="#N/A"/>
    <x v="1"/>
    <x v="0"/>
  </r>
  <r>
    <x v="1"/>
    <m/>
    <s v="GLIG-60115/26"/>
    <s v=""/>
    <x v="93"/>
    <s v="Gas Cylinders"/>
    <m/>
    <x v="0"/>
    <m/>
    <m/>
    <m/>
    <s v="PCTC"/>
    <s v=" #N/A "/>
    <e v="#N/A"/>
    <x v="1"/>
    <x v="0"/>
  </r>
  <r>
    <x v="1"/>
    <m/>
    <m/>
    <s v=""/>
    <x v="94"/>
    <s v="Thermal Stop"/>
    <m/>
    <x v="0"/>
    <m/>
    <m/>
    <m/>
    <s v="PCTC"/>
    <s v=" #N/A "/>
    <e v="#N/A"/>
    <x v="1"/>
    <x v="0"/>
  </r>
  <r>
    <x v="1"/>
    <m/>
    <m/>
    <s v=""/>
    <x v="95"/>
    <s v="Receptacles"/>
    <m/>
    <x v="0"/>
    <m/>
    <m/>
    <m/>
    <s v="PCTC"/>
    <s v=" #N/A "/>
    <e v="#N/A"/>
    <x v="1"/>
    <x v="0"/>
  </r>
  <r>
    <x v="1"/>
    <m/>
    <m/>
    <s v=""/>
    <x v="96"/>
    <s v="Safe Lanes (Trelleborg)"/>
    <m/>
    <x v="0"/>
    <m/>
    <m/>
    <m/>
    <s v="PCTC"/>
    <s v=" #N/A "/>
    <e v="#N/A"/>
    <x v="1"/>
    <x v="0"/>
  </r>
  <r>
    <x v="1"/>
    <m/>
    <s v="GLIG-60101/26"/>
    <s v=""/>
    <x v="97"/>
    <s v="Engine Spares - Main Engine"/>
    <m/>
    <x v="0"/>
    <m/>
    <m/>
    <m/>
    <s v="PCTC"/>
    <s v=" #N/A "/>
    <e v="#N/A"/>
    <x v="1"/>
    <x v="0"/>
  </r>
  <r>
    <x v="1"/>
    <m/>
    <s v="GLIG-60046/26-1"/>
    <s v=""/>
    <x v="98"/>
    <s v="Seatab"/>
    <m/>
    <x v="0"/>
    <m/>
    <m/>
    <m/>
    <s v="PCTC"/>
    <n v="3887"/>
    <s v="USD"/>
    <x v="30"/>
    <x v="2"/>
  </r>
  <r>
    <x v="1"/>
    <m/>
    <s v="GLIG-60073/26-1"/>
    <s v="Pre-Delivery"/>
    <x v="99"/>
    <s v="OPA 90 Kit"/>
    <m/>
    <x v="1"/>
    <m/>
    <m/>
    <m/>
    <s v="PCTC"/>
    <n v="3400"/>
    <s v="USD"/>
    <x v="14"/>
    <x v="2"/>
  </r>
  <r>
    <x v="1"/>
    <m/>
    <s v="GLIG-60077/26-1"/>
    <s v=""/>
    <x v="100"/>
    <s v="Crew Welfare"/>
    <m/>
    <x v="6"/>
    <m/>
    <m/>
    <m/>
    <s v="PCTC"/>
    <n v="3075"/>
    <s v="USD"/>
    <x v="15"/>
    <x v="2"/>
  </r>
  <r>
    <x v="1"/>
    <m/>
    <s v="GLIG-60050/26-1"/>
    <s v=""/>
    <x v="101"/>
    <s v="IMPA Stores - Stationery"/>
    <m/>
    <x v="1"/>
    <m/>
    <m/>
    <m/>
    <s v="PCTC"/>
    <n v="2698"/>
    <s v="USD"/>
    <x v="31"/>
    <x v="2"/>
  </r>
  <r>
    <x v="1"/>
    <m/>
    <s v="GLIG-60026/26-2"/>
    <s v=""/>
    <x v="102"/>
    <s v="GVT Electronics"/>
    <m/>
    <x v="0"/>
    <m/>
    <m/>
    <m/>
    <s v="PCTC"/>
    <n v="2431"/>
    <s v="EUR"/>
    <x v="32"/>
    <x v="1"/>
  </r>
  <r>
    <x v="1"/>
    <m/>
    <s v="GLIG-60088/26-1"/>
    <s v=""/>
    <x v="103"/>
    <s v="Gas Meters"/>
    <m/>
    <x v="0"/>
    <m/>
    <m/>
    <m/>
    <s v="PCTC"/>
    <n v="2400"/>
    <s v="EUR"/>
    <x v="33"/>
    <x v="1"/>
  </r>
  <r>
    <x v="1"/>
    <m/>
    <s v="GLIG-60104/26-1"/>
    <s v=""/>
    <x v="104"/>
    <s v="Glycol"/>
    <m/>
    <x v="1"/>
    <m/>
    <m/>
    <m/>
    <s v="PCTC"/>
    <n v="2260"/>
    <s v="USD"/>
    <x v="31"/>
    <x v="2"/>
  </r>
  <r>
    <x v="1"/>
    <m/>
    <s v="GLIG-MVSP-60003/26-1"/>
    <s v=""/>
    <x v="105"/>
    <s v="IT Equipment - Interface / Integration"/>
    <m/>
    <x v="4"/>
    <m/>
    <m/>
    <m/>
    <s v="PCTC"/>
    <n v="1911"/>
    <s v="HKD"/>
    <x v="5"/>
    <x v="1"/>
  </r>
  <r>
    <x v="1"/>
    <m/>
    <s v="GLIG-60072/26-1"/>
    <s v=""/>
    <x v="106"/>
    <s v="Ultrasonic Cleaner"/>
    <m/>
    <x v="1"/>
    <m/>
    <m/>
    <m/>
    <s v="PCTC"/>
    <n v="1890"/>
    <s v="USD"/>
    <x v="14"/>
    <x v="2"/>
  </r>
  <r>
    <x v="1"/>
    <m/>
    <s v="GLIG-60091/26-1"/>
    <s v=""/>
    <x v="107"/>
    <s v="Chemical Tags"/>
    <m/>
    <x v="1"/>
    <m/>
    <m/>
    <m/>
    <s v="PCTC"/>
    <n v="1889"/>
    <s v="USD"/>
    <x v="34"/>
    <x v="2"/>
  </r>
  <r>
    <x v="1"/>
    <m/>
    <s v="GLIG-60074/26-1"/>
    <s v=""/>
    <x v="25"/>
    <s v="High Pressure Washer"/>
    <m/>
    <x v="1"/>
    <m/>
    <m/>
    <m/>
    <s v="PCTC"/>
    <n v="1700"/>
    <s v="USD"/>
    <x v="14"/>
    <x v="2"/>
  </r>
  <r>
    <x v="1"/>
    <m/>
    <s v="GLIG-60093/26-1"/>
    <s v=""/>
    <x v="108"/>
    <s v="VISWA Line Samplers"/>
    <m/>
    <x v="0"/>
    <m/>
    <m/>
    <m/>
    <s v="PCTC"/>
    <n v="1630"/>
    <s v="USD"/>
    <x v="35"/>
    <x v="2"/>
  </r>
  <r>
    <x v="1"/>
    <m/>
    <s v="GLIG-60049/26-1"/>
    <s v=""/>
    <x v="109"/>
    <s v="Thermal Camera (FLIR)"/>
    <m/>
    <x v="1"/>
    <m/>
    <m/>
    <m/>
    <s v="PCTC"/>
    <n v="1590"/>
    <s v="USD"/>
    <x v="14"/>
    <x v="2"/>
  </r>
  <r>
    <x v="1"/>
    <m/>
    <s v="GLIG-60059/26-1"/>
    <s v=""/>
    <x v="110"/>
    <s v="IMPA Stores - Galley"/>
    <m/>
    <x v="1"/>
    <m/>
    <m/>
    <m/>
    <s v="PCTC"/>
    <n v="1518"/>
    <s v="USD"/>
    <x v="26"/>
    <x v="2"/>
  </r>
  <r>
    <x v="1"/>
    <m/>
    <s v="GLIG-60028/26-1"/>
    <s v=""/>
    <x v="8"/>
    <s v="IT Equipment - ITBP Additional Items"/>
    <m/>
    <x v="4"/>
    <m/>
    <m/>
    <m/>
    <s v="PCTC"/>
    <n v="1494"/>
    <s v="USD"/>
    <x v="12"/>
    <x v="2"/>
  </r>
  <r>
    <x v="1"/>
    <m/>
    <s v="GLIG-60108/26-1"/>
    <s v=""/>
    <x v="87"/>
    <m/>
    <m/>
    <x v="1"/>
    <m/>
    <m/>
    <m/>
    <s v="PCTC"/>
    <n v="1460"/>
    <s v="HKD"/>
    <x v="5"/>
    <x v="1"/>
  </r>
  <r>
    <x v="1"/>
    <m/>
    <s v="GLIG-60053/26-1"/>
    <s v=""/>
    <x v="111"/>
    <s v="IMPA Stores - Bridge"/>
    <m/>
    <x v="1"/>
    <m/>
    <m/>
    <m/>
    <s v="PCTC"/>
    <n v="1145"/>
    <s v="USD"/>
    <x v="26"/>
    <x v="2"/>
  </r>
  <r>
    <x v="1"/>
    <m/>
    <s v="GLIG-60023/26-1"/>
    <s v=""/>
    <x v="14"/>
    <s v="IT Equipment - ITBP Cables"/>
    <m/>
    <x v="4"/>
    <m/>
    <m/>
    <m/>
    <s v="PCTC"/>
    <n v="1101"/>
    <s v="USD"/>
    <x v="12"/>
    <x v="2"/>
  </r>
  <r>
    <x v="1"/>
    <m/>
    <s v="GLIG-60057/26-1"/>
    <s v=""/>
    <x v="112"/>
    <s v="IMPA Stores - Company Stationery"/>
    <m/>
    <x v="1"/>
    <m/>
    <m/>
    <m/>
    <s v="PCTC"/>
    <n v="386"/>
    <s v="USD"/>
    <x v="34"/>
    <x v="2"/>
  </r>
  <r>
    <x v="1"/>
    <m/>
    <s v="GLIG-60106/26-1"/>
    <s v=""/>
    <x v="113"/>
    <s v="LOTO Stickers"/>
    <m/>
    <x v="1"/>
    <m/>
    <m/>
    <m/>
    <s v="PCTC"/>
    <n v="386"/>
    <s v="USD"/>
    <x v="36"/>
    <x v="2"/>
  </r>
  <r>
    <x v="1"/>
    <m/>
    <s v="GLIG-60056/26-1"/>
    <s v=""/>
    <x v="114"/>
    <s v="IMPA Stores - Firefighting Equipment"/>
    <m/>
    <x v="1"/>
    <m/>
    <m/>
    <m/>
    <s v="PCTC"/>
    <n v="378"/>
    <s v="USD"/>
    <x v="14"/>
    <x v="2"/>
  </r>
  <r>
    <x v="1"/>
    <m/>
    <s v="GLIG-60105/26-1"/>
    <s v=""/>
    <x v="115"/>
    <s v="Garbage Refrigerator"/>
    <m/>
    <x v="1"/>
    <m/>
    <m/>
    <m/>
    <s v="PCTC"/>
    <n v="330"/>
    <s v="USD"/>
    <x v="14"/>
    <x v="2"/>
  </r>
  <r>
    <x v="1"/>
    <m/>
    <s v="GLIG-MVSP-60007/26-1"/>
    <s v=""/>
    <x v="116"/>
    <m/>
    <m/>
    <x v="1"/>
    <m/>
    <m/>
    <m/>
    <s v="PCTC"/>
    <n v="250"/>
    <s v="USD"/>
    <x v="12"/>
    <x v="2"/>
  </r>
  <r>
    <x v="1"/>
    <m/>
    <s v="GLIG-60029/26-1"/>
    <s v=""/>
    <x v="16"/>
    <s v="IT Equipment - ITBP Lab Kit"/>
    <m/>
    <x v="4"/>
    <m/>
    <m/>
    <m/>
    <s v="PCTC"/>
    <n v="201"/>
    <s v="USD"/>
    <x v="12"/>
    <x v="2"/>
  </r>
  <r>
    <x v="1"/>
    <m/>
    <s v="GLIG-60061/26-1"/>
    <s v=""/>
    <x v="117"/>
    <s v="IMPA Stores - Engine"/>
    <m/>
    <x v="1"/>
    <m/>
    <m/>
    <m/>
    <s v="PCTC"/>
    <s v=" #N/A "/>
    <e v="#N/A"/>
    <x v="1"/>
    <x v="0"/>
  </r>
  <r>
    <x v="1"/>
    <m/>
    <s v=" GLIG-60054/26"/>
    <s v=""/>
    <x v="118"/>
    <s v="IMPA Stores - Gym"/>
    <m/>
    <x v="1"/>
    <m/>
    <m/>
    <m/>
    <s v="PCTC"/>
    <s v=" #N/A "/>
    <e v="#N/A"/>
    <x v="1"/>
    <x v="0"/>
  </r>
  <r>
    <x v="1"/>
    <m/>
    <s v=" GLIG-60052/26"/>
    <s v=""/>
    <x v="119"/>
    <s v="IMPA Stores - Deck"/>
    <m/>
    <x v="1"/>
    <m/>
    <m/>
    <m/>
    <s v="PCTC"/>
    <s v=" #N/A "/>
    <e v="#N/A"/>
    <x v="1"/>
    <x v="0"/>
  </r>
  <r>
    <x v="1"/>
    <m/>
    <s v="GLIG-60064/26"/>
    <s v=""/>
    <x v="120"/>
    <s v="IMPA Stores - Electrical"/>
    <m/>
    <x v="1"/>
    <m/>
    <m/>
    <m/>
    <s v="PCTC"/>
    <s v=" #N/A "/>
    <e v="#N/A"/>
    <x v="1"/>
    <x v="0"/>
  </r>
  <r>
    <x v="1"/>
    <m/>
    <s v="GLIG-60062/26-1"/>
    <s v=""/>
    <x v="76"/>
    <s v="IMPA Stores - Engine"/>
    <m/>
    <x v="1"/>
    <m/>
    <m/>
    <m/>
    <s v="PCTC"/>
    <s v=" #N/A "/>
    <e v="#N/A"/>
    <x v="1"/>
    <x v="0"/>
  </r>
  <r>
    <x v="1"/>
    <m/>
    <s v="GLIG-60055/26-1"/>
    <s v=""/>
    <x v="121"/>
    <s v="IMPA Stores - Crew"/>
    <m/>
    <x v="1"/>
    <m/>
    <m/>
    <m/>
    <s v="PCTC"/>
    <s v=" #N/A "/>
    <e v="#N/A"/>
    <x v="1"/>
    <x v="0"/>
  </r>
  <r>
    <x v="1"/>
    <m/>
    <s v="GLIG-60051/26-1"/>
    <s v=""/>
    <x v="122"/>
    <s v="IMPA Stores - SOPEP"/>
    <m/>
    <x v="1"/>
    <m/>
    <m/>
    <m/>
    <s v="PCTC"/>
    <s v=" #N/A "/>
    <e v="#N/A"/>
    <x v="1"/>
    <x v="0"/>
  </r>
  <r>
    <x v="1"/>
    <m/>
    <m/>
    <s v=""/>
    <x v="123"/>
    <s v="IMPA Stores - General"/>
    <m/>
    <x v="1"/>
    <m/>
    <m/>
    <m/>
    <s v="PCTC"/>
    <s v=" #N/A "/>
    <e v="#N/A"/>
    <x v="1"/>
    <x v="0"/>
  </r>
  <r>
    <x v="1"/>
    <m/>
    <s v="GLIG-60109/26-1"/>
    <s v=""/>
    <x v="124"/>
    <s v="Explosion Proof Camera"/>
    <m/>
    <x v="1"/>
    <m/>
    <m/>
    <m/>
    <s v="PCTC"/>
    <s v=" #N/A "/>
    <e v="#N/A"/>
    <x v="1"/>
    <x v="0"/>
  </r>
  <r>
    <x v="1"/>
    <m/>
    <m/>
    <s v=""/>
    <x v="125"/>
    <s v="Crew Welfare - Refrigerators"/>
    <m/>
    <x v="1"/>
    <m/>
    <m/>
    <m/>
    <s v="PCTC"/>
    <s v=" #N/A "/>
    <e v="#N/A"/>
    <x v="1"/>
    <x v="0"/>
  </r>
  <r>
    <x v="1"/>
    <m/>
    <m/>
    <s v=""/>
    <x v="126"/>
    <s v="Ozone Steriliser"/>
    <m/>
    <x v="1"/>
    <m/>
    <m/>
    <m/>
    <s v="PCTC"/>
    <s v=" #N/A "/>
    <e v="#N/A"/>
    <x v="1"/>
    <x v="0"/>
  </r>
  <r>
    <x v="1"/>
    <m/>
    <m/>
    <s v=""/>
    <x v="127"/>
    <s v="Suez Light"/>
    <m/>
    <x v="1"/>
    <m/>
    <m/>
    <m/>
    <s v="PCTC"/>
    <s v=" #N/A "/>
    <e v="#N/A"/>
    <x v="1"/>
    <x v="0"/>
  </r>
  <r>
    <x v="1"/>
    <m/>
    <m/>
    <s v=""/>
    <x v="128"/>
    <s v="Chain Blocks"/>
    <m/>
    <x v="1"/>
    <m/>
    <m/>
    <m/>
    <s v="PCTC"/>
    <s v=" #N/A "/>
    <e v="#N/A"/>
    <x v="1"/>
    <x v="0"/>
  </r>
  <r>
    <x v="1"/>
    <m/>
    <m/>
    <s v=""/>
    <x v="129"/>
    <s v="Welding Equipment"/>
    <m/>
    <x v="1"/>
    <m/>
    <m/>
    <m/>
    <s v="PCTC"/>
    <s v=" #N/A "/>
    <e v="#N/A"/>
    <x v="1"/>
    <x v="0"/>
  </r>
  <r>
    <x v="1"/>
    <m/>
    <s v="GLIG-60114/26-1"/>
    <s v=""/>
    <x v="130"/>
    <s v="Service Car"/>
    <m/>
    <x v="1"/>
    <m/>
    <m/>
    <m/>
    <s v="PCTC"/>
    <s v=" #N/A "/>
    <e v="#N/A"/>
    <x v="1"/>
    <x v="0"/>
  </r>
  <r>
    <x v="1"/>
    <m/>
    <s v="GLIG-60113/26"/>
    <s v=""/>
    <x v="131"/>
    <s v="Forklift"/>
    <m/>
    <x v="1"/>
    <m/>
    <m/>
    <m/>
    <s v="PCTC"/>
    <s v=" #N/A "/>
    <e v="#N/A"/>
    <x v="1"/>
    <x v="0"/>
  </r>
  <r>
    <x v="1"/>
    <m/>
    <m/>
    <s v=""/>
    <x v="132"/>
    <s v="Alcometer"/>
    <m/>
    <x v="1"/>
    <m/>
    <m/>
    <m/>
    <s v="PCTC"/>
    <s v=" #N/A "/>
    <e v="#N/A"/>
    <x v="1"/>
    <x v="0"/>
  </r>
  <r>
    <x v="1"/>
    <m/>
    <m/>
    <s v=""/>
    <x v="133"/>
    <s v="Laser Distance Measurer"/>
    <m/>
    <x v="1"/>
    <m/>
    <m/>
    <m/>
    <s v="PCTC"/>
    <s v=" #N/A "/>
    <e v="#N/A"/>
    <x v="1"/>
    <x v="0"/>
  </r>
  <r>
    <x v="1"/>
    <m/>
    <m/>
    <s v=""/>
    <x v="134"/>
    <s v="Stanchions"/>
    <m/>
    <x v="1"/>
    <m/>
    <m/>
    <m/>
    <s v="PCTC"/>
    <s v=" #N/A "/>
    <e v="#N/A"/>
    <x v="1"/>
    <x v="0"/>
  </r>
  <r>
    <x v="1"/>
    <m/>
    <m/>
    <s v=""/>
    <x v="135"/>
    <s v="Deck Sweeper"/>
    <m/>
    <x v="1"/>
    <m/>
    <m/>
    <m/>
    <s v="PCTC"/>
    <s v=" #N/A "/>
    <e v="#N/A"/>
    <x v="1"/>
    <x v="0"/>
  </r>
  <r>
    <x v="1"/>
    <m/>
    <m/>
    <s v=""/>
    <x v="136"/>
    <s v="Provisions &amp; Bonded Stores"/>
    <m/>
    <x v="1"/>
    <m/>
    <m/>
    <m/>
    <s v="PCTC"/>
    <s v=" #N/A "/>
    <e v="#N/A"/>
    <x v="1"/>
    <x v="0"/>
  </r>
  <r>
    <x v="1"/>
    <m/>
    <s v="GLIG-60110/26"/>
    <s v=""/>
    <x v="137"/>
    <s v="Medicines"/>
    <m/>
    <x v="1"/>
    <m/>
    <m/>
    <m/>
    <s v="PCTC"/>
    <s v=" #N/A "/>
    <e v="#N/A"/>
    <x v="1"/>
    <x v="0"/>
  </r>
  <r>
    <x v="1"/>
    <m/>
    <s v="GLIG-60110/26"/>
    <s v=""/>
    <x v="138"/>
    <s v="Medical Equipment (Medox)"/>
    <m/>
    <x v="1"/>
    <m/>
    <m/>
    <m/>
    <s v="PCTC"/>
    <s v=" #N/A "/>
    <e v="#N/A"/>
    <x v="1"/>
    <x v="0"/>
  </r>
  <r>
    <x v="1"/>
    <m/>
    <m/>
    <s v=""/>
    <x v="139"/>
    <s v="Soot Treatment"/>
    <m/>
    <x v="1"/>
    <m/>
    <m/>
    <m/>
    <s v="PCTC"/>
    <s v=" #N/A "/>
    <e v="#N/A"/>
    <x v="1"/>
    <x v="0"/>
  </r>
  <r>
    <x v="1"/>
    <m/>
    <m/>
    <s v=""/>
    <x v="140"/>
    <s v="NaOH (Sodium Hydroxide)"/>
    <m/>
    <x v="1"/>
    <m/>
    <m/>
    <m/>
    <s v="PCTC"/>
    <s v=" #N/A "/>
    <e v="#N/A"/>
    <x v="1"/>
    <x v="0"/>
  </r>
  <r>
    <x v="1"/>
    <m/>
    <s v="GLIG-60111/26-1"/>
    <s v=""/>
    <x v="141"/>
    <s v="Rubber Matting"/>
    <m/>
    <x v="1"/>
    <m/>
    <m/>
    <m/>
    <s v="PCTC"/>
    <s v=" #N/A "/>
    <e v="#N/A"/>
    <x v="1"/>
    <x v="0"/>
  </r>
  <r>
    <x v="1"/>
    <m/>
    <s v="GLIG-60112/26-1"/>
    <s v=""/>
    <x v="142"/>
    <s v="Nitrogen Hose"/>
    <m/>
    <x v="1"/>
    <m/>
    <m/>
    <m/>
    <s v="PCTC"/>
    <s v=" #N/A "/>
    <e v="#N/A"/>
    <x v="1"/>
    <x v="0"/>
  </r>
  <r>
    <x v="1"/>
    <m/>
    <s v="GLIG-60013/26-1"/>
    <s v=""/>
    <x v="143"/>
    <s v="Communications - VLINK Accessories"/>
    <m/>
    <x v="4"/>
    <m/>
    <m/>
    <m/>
    <s v="PCTC"/>
    <n v="168"/>
    <s v="USD"/>
    <x v="14"/>
    <x v="2"/>
  </r>
  <r>
    <x v="1"/>
    <m/>
    <s v="GLIG-60107/26-1"/>
    <s v=""/>
    <x v="87"/>
    <s v="Soot Treatment"/>
    <m/>
    <x v="1"/>
    <m/>
    <m/>
    <m/>
    <s v="PCTC"/>
    <n v="120"/>
    <s v="USD"/>
    <x v="34"/>
    <x v="2"/>
  </r>
  <r>
    <x v="1"/>
    <m/>
    <s v="GLIG-60027/26-1"/>
    <s v=""/>
    <x v="144"/>
    <s v="PPE"/>
    <m/>
    <x v="4"/>
    <m/>
    <m/>
    <m/>
    <s v="PCTC"/>
    <n v="63"/>
    <s v="USD"/>
    <x v="14"/>
    <x v="2"/>
  </r>
  <r>
    <x v="1"/>
    <m/>
    <m/>
    <s v=""/>
    <x v="145"/>
    <s v="Navigation - Positioning System"/>
    <m/>
    <x v="1"/>
    <m/>
    <m/>
    <m/>
    <s v="PCTC"/>
    <s v=" #N/A "/>
    <e v="#N/A"/>
    <x v="1"/>
    <x v="0"/>
  </r>
  <r>
    <x v="1"/>
    <m/>
    <s v="LIST-GLIG-60120/26 "/>
    <s v=""/>
    <x v="146"/>
    <s v="Immersion Suits"/>
    <m/>
    <x v="1"/>
    <m/>
    <m/>
    <m/>
    <s v="PCTC"/>
    <s v=" #N/A "/>
    <e v="#N/A"/>
    <x v="1"/>
    <x v="0"/>
  </r>
  <r>
    <x v="1"/>
    <m/>
    <m/>
    <s v=""/>
    <x v="147"/>
    <s v="Firemans Outfit"/>
    <m/>
    <x v="1"/>
    <m/>
    <m/>
    <m/>
    <s v="PCTC"/>
    <s v=" #N/A "/>
    <e v="#N/A"/>
    <x v="1"/>
    <x v="0"/>
  </r>
  <r>
    <x v="1"/>
    <m/>
    <m/>
    <s v=""/>
    <x v="148"/>
    <s v="Iron Test Kit"/>
    <m/>
    <x v="1"/>
    <m/>
    <m/>
    <m/>
    <s v="PCTC"/>
    <s v=" #N/A "/>
    <e v="#N/A"/>
    <x v="1"/>
    <x v="0"/>
  </r>
  <r>
    <x v="1"/>
    <m/>
    <m/>
    <s v=""/>
    <x v="149"/>
    <s v="Oil Test Kit"/>
    <m/>
    <x v="1"/>
    <m/>
    <m/>
    <m/>
    <s v="PCTC"/>
    <s v=" #N/A "/>
    <e v="#N/A"/>
    <x v="1"/>
    <x v="0"/>
  </r>
  <r>
    <x v="1"/>
    <m/>
    <m/>
    <s v=""/>
    <x v="150"/>
    <s v="BWTS Spares"/>
    <m/>
    <x v="1"/>
    <m/>
    <m/>
    <m/>
    <s v="PCTC"/>
    <s v=" #N/A "/>
    <e v="#N/A"/>
    <x v="1"/>
    <x v="0"/>
  </r>
  <r>
    <x v="1"/>
    <m/>
    <m/>
    <s v=""/>
    <x v="151"/>
    <s v="Gas Detection System"/>
    <m/>
    <x v="1"/>
    <m/>
    <m/>
    <m/>
    <s v="PCTC"/>
    <s v=" #N/A "/>
    <e v="#N/A"/>
    <x v="1"/>
    <x v="0"/>
  </r>
  <r>
    <x v="2"/>
    <m/>
    <m/>
    <s v=""/>
    <x v="152"/>
    <s v="IT Equipment - ITBP Lab Kit"/>
    <m/>
    <x v="4"/>
    <m/>
    <m/>
    <m/>
    <s v="PCTC"/>
    <s v="#N/A "/>
    <s v="#N/A "/>
    <x v="0"/>
    <x v="0"/>
  </r>
  <r>
    <x v="3"/>
    <m/>
    <s v="GLAN-60031/26-1"/>
    <s v=""/>
    <x v="6"/>
    <s v="Communications - VLINK"/>
    <m/>
    <x v="0"/>
    <s v="Pending Delivery"/>
    <d v="2026-03-06T00:00:00"/>
    <m/>
    <s v="PCTC"/>
    <s v="#N/A "/>
    <s v="#N/A "/>
    <x v="0"/>
    <x v="0"/>
  </r>
  <r>
    <x v="3"/>
    <m/>
    <s v="GLAN-60024/26-1"/>
    <s v=""/>
    <x v="16"/>
    <s v="Navigation - HiNAS SVM"/>
    <m/>
    <x v="4"/>
    <s v="Pending Delivery"/>
    <d v="2026-02-24T00:00:00"/>
    <m/>
    <s v="PCTC"/>
    <s v="#N/A "/>
    <s v="#N/A "/>
    <x v="0"/>
    <x v="0"/>
  </r>
  <r>
    <x v="3"/>
    <m/>
    <s v="GLAN-60004/26-1"/>
    <s v=""/>
    <x v="153"/>
    <s v="Garbage Compactor"/>
    <m/>
    <x v="4"/>
    <s v="Pending Delivery"/>
    <d v="2026-01-19T00:00:00"/>
    <m/>
    <s v="PCTC"/>
    <s v="#N/A "/>
    <s v="#N/A "/>
    <x v="0"/>
    <x v="0"/>
  </r>
  <r>
    <x v="3"/>
    <m/>
    <s v="GLAN-60022/26-1"/>
    <s v=""/>
    <x v="154"/>
    <s v="IT Equipment - X10 System"/>
    <m/>
    <x v="0"/>
    <s v="Pending Delivery"/>
    <d v="2026-02-17T00:00:00"/>
    <m/>
    <s v="PCTC"/>
    <s v="#N/A "/>
    <s v="#N/A "/>
    <x v="0"/>
    <x v="0"/>
  </r>
  <r>
    <x v="3"/>
    <m/>
    <s v="GLAN-60017/26-1"/>
    <s v="Pre-Delivery"/>
    <x v="20"/>
    <s v="IT Equipment - Interface / Integration"/>
    <m/>
    <x v="0"/>
    <s v="Delivered"/>
    <d v="2026-02-06T00:00:00"/>
    <m/>
    <s v="PCTC"/>
    <s v="#N/A "/>
    <s v="#N/A "/>
    <x v="0"/>
    <x v="0"/>
  </r>
  <r>
    <x v="3"/>
    <m/>
    <s v="GLAN-60007/26-1"/>
    <s v=""/>
    <x v="155"/>
    <s v="Lubricants"/>
    <m/>
    <x v="4"/>
    <s v="Pending Delivery"/>
    <d v="2026-01-21T00:00:00"/>
    <m/>
    <s v="PCTC"/>
    <s v="#N/A "/>
    <s v="#N/A "/>
    <x v="0"/>
    <x v="0"/>
  </r>
  <r>
    <x v="3"/>
    <m/>
    <s v="GLAN-60002/26-1"/>
    <s v=""/>
    <x v="156"/>
    <s v="Lubricants"/>
    <m/>
    <x v="4"/>
    <s v="Pending Delivery"/>
    <d v="2026-01-14T00:00:00"/>
    <m/>
    <s v="PCTC"/>
    <s v="#N/A "/>
    <s v="#N/A "/>
    <x v="0"/>
    <x v="0"/>
  </r>
  <r>
    <x v="3"/>
    <m/>
    <s v="GLAN-60012/26-1"/>
    <s v="Pre-Delivery"/>
    <x v="157"/>
    <s v="Fire Detection System"/>
    <m/>
    <x v="3"/>
    <s v="Pending Delivery"/>
    <d v="2026-01-23T00:00:00"/>
    <m/>
    <s v="PCTC"/>
    <s v="#N/A "/>
    <s v="#N/A "/>
    <x v="0"/>
    <x v="0"/>
  </r>
  <r>
    <x v="3"/>
    <m/>
    <s v="GLAN-60026/26-1"/>
    <s v="Pre-Delivery"/>
    <x v="158"/>
    <s v="IT Equipment - ITBP Additional Items"/>
    <m/>
    <x v="3"/>
    <s v="Delivered"/>
    <d v="2026-03-02T00:00:00"/>
    <m/>
    <s v="PCTC"/>
    <s v="#N/A "/>
    <s v="#N/A "/>
    <x v="0"/>
    <x v="0"/>
  </r>
  <r>
    <x v="3"/>
    <m/>
    <s v="GLAN-60032/26-1"/>
    <s v=""/>
    <x v="11"/>
    <s v="LNG Bunkering Equipment"/>
    <m/>
    <x v="0"/>
    <s v="Pending Delivery"/>
    <d v="2026-03-06T00:00:00"/>
    <m/>
    <s v="PCTC"/>
    <s v="#N/A "/>
    <s v="#N/A "/>
    <x v="0"/>
    <x v="0"/>
  </r>
  <r>
    <x v="3"/>
    <m/>
    <s v="GLAN-60023/26-1"/>
    <s v=""/>
    <x v="8"/>
    <s v="Navigation - Captains Eye"/>
    <m/>
    <x v="4"/>
    <s v="Pending Delivery"/>
    <d v="2026-02-19T00:00:00"/>
    <m/>
    <s v="PCTC"/>
    <s v="#N/A "/>
    <s v="#N/A "/>
    <x v="0"/>
    <x v="0"/>
  </r>
  <r>
    <x v="3"/>
    <m/>
    <s v="GLAN-60033/26-1"/>
    <s v="Pre-Delivery"/>
    <x v="18"/>
    <s v="IT Equipment - Sihui Marine"/>
    <m/>
    <x v="0"/>
    <s v="Pending Delivery"/>
    <d v="2026-03-19T00:00:00"/>
    <m/>
    <s v="PCTC"/>
    <s v="#N/A "/>
    <s v="#N/A "/>
    <x v="0"/>
    <x v="0"/>
  </r>
  <r>
    <x v="3"/>
    <m/>
    <s v="GLAN-60001/26-1"/>
    <s v=""/>
    <x v="10"/>
    <s v="Lubricants"/>
    <m/>
    <x v="0"/>
    <s v="Pending Delivery"/>
    <d v="2026-01-15T00:00:00"/>
    <m/>
    <s v="PCTC"/>
    <s v="#N/A "/>
    <s v="#N/A "/>
    <x v="0"/>
    <x v="0"/>
  </r>
  <r>
    <x v="3"/>
    <m/>
    <s v="GLAN-60010/26-1"/>
    <s v=""/>
    <x v="159"/>
    <s v="Tripods &amp; Spray Pipes"/>
    <m/>
    <x v="4"/>
    <s v="Pending Delivery"/>
    <d v="2026-01-26T00:00:00"/>
    <m/>
    <s v="PCTC"/>
    <s v="#N/A "/>
    <s v="#N/A "/>
    <x v="0"/>
    <x v="0"/>
  </r>
  <r>
    <x v="3"/>
    <m/>
    <s v="GLAN-60025/26-1"/>
    <s v="Pre-Delivery"/>
    <x v="160"/>
    <s v="Lubricants"/>
    <m/>
    <x v="3"/>
    <s v="Delivered"/>
    <d v="2026-03-02T00:00:00"/>
    <m/>
    <s v="PCTC"/>
    <s v="#N/A "/>
    <s v="#N/A "/>
    <x v="0"/>
    <x v="0"/>
  </r>
  <r>
    <x v="3"/>
    <m/>
    <s v="GLAN-60019/26-1"/>
    <s v="Pre-Delivery"/>
    <x v="161"/>
    <s v="Tripods &amp; Spray Pipes"/>
    <m/>
    <x v="0"/>
    <s v="Delivered"/>
    <d v="2026-02-06T00:00:00"/>
    <m/>
    <s v="PCTC"/>
    <s v="#N/A "/>
    <s v="#N/A "/>
    <x v="0"/>
    <x v="0"/>
  </r>
  <r>
    <x v="3"/>
    <m/>
    <s v="GLAN-60003/26-1"/>
    <s v="Pre-Delivery"/>
    <x v="162"/>
    <s v="IT Equipment - Computers (Lenovo)"/>
    <m/>
    <x v="3"/>
    <s v="Delivered"/>
    <d v="2026-01-15T00:00:00"/>
    <m/>
    <s v="PCTC"/>
    <s v="#N/A "/>
    <s v="#N/A "/>
    <x v="0"/>
    <x v="0"/>
  </r>
  <r>
    <x v="3"/>
    <m/>
    <s v="GLAN-60011/26-1"/>
    <s v="Pre-Delivery"/>
    <x v="161"/>
    <s v="IT Equipment - ITBP"/>
    <m/>
    <x v="3"/>
    <s v="Delivered"/>
    <d v="2026-02-01T00:00:00"/>
    <m/>
    <s v="PCTC"/>
    <s v="#N/A "/>
    <s v="#N/A "/>
    <x v="0"/>
    <x v="0"/>
  </r>
  <r>
    <x v="3"/>
    <m/>
    <s v="GLAN-60020/26-1"/>
    <s v=""/>
    <x v="163"/>
    <s v="IT Equipment - Computers (Lenovo)"/>
    <m/>
    <x v="4"/>
    <s v="Pending Delivery"/>
    <d v="2026-02-10T00:00:00"/>
    <m/>
    <s v="PCTC"/>
    <s v="#N/A "/>
    <s v="#N/A "/>
    <x v="0"/>
    <x v="0"/>
  </r>
  <r>
    <x v="3"/>
    <m/>
    <s v="GLAN-60006/26-1"/>
    <s v=""/>
    <x v="164"/>
    <s v="Communications - VSAT (KVH)"/>
    <m/>
    <x v="4"/>
    <s v="Pending Delivery"/>
    <d v="2026-01-21T00:00:00"/>
    <m/>
    <s v="PCTC"/>
    <s v="#N/A "/>
    <s v="#N/A "/>
    <x v="0"/>
    <x v="0"/>
  </r>
  <r>
    <x v="3"/>
    <m/>
    <s v="GLAN-60034/26-1"/>
    <s v="Pre-Delivery"/>
    <x v="165"/>
    <s v="Lubricants"/>
    <m/>
    <x v="0"/>
    <s v="Pending Delivery"/>
    <d v="2026-03-06T00:00:00"/>
    <m/>
    <s v="PCTC"/>
    <s v="#N/A "/>
    <s v="#N/A "/>
    <x v="0"/>
    <x v="0"/>
  </r>
  <r>
    <x v="3"/>
    <m/>
    <s v="GLAN-60015/26-1"/>
    <s v=""/>
    <x v="166"/>
    <s v="Communications - VLINK Accessories"/>
    <m/>
    <x v="4"/>
    <s v="Pending Delivery"/>
    <d v="2026-01-23T00:00:00"/>
    <m/>
    <s v="PCTC"/>
    <s v="#N/A "/>
    <s v="#N/A "/>
    <x v="0"/>
    <x v="0"/>
  </r>
  <r>
    <x v="3"/>
    <m/>
    <s v="GLAN-60030/26-1"/>
    <s v="Pre-Delivery"/>
    <x v="0"/>
    <s v="IT Equipment - AST"/>
    <m/>
    <x v="0"/>
    <s v="Pending Delivery"/>
    <m/>
    <m/>
    <s v="PCTC"/>
    <s v="#N/A "/>
    <s v="#N/A "/>
    <x v="0"/>
    <x v="0"/>
  </r>
  <r>
    <x v="3"/>
    <m/>
    <s v="GLAN-60005/26-1"/>
    <s v=""/>
    <x v="143"/>
    <s v="IT Equipment - AST"/>
    <m/>
    <x v="4"/>
    <s v="Pending Delivery"/>
    <d v="2026-01-21T00:00:00"/>
    <m/>
    <s v="PCTC"/>
    <s v="#N/A "/>
    <s v="#N/A "/>
    <x v="0"/>
    <x v="0"/>
  </r>
  <r>
    <x v="3"/>
    <m/>
    <s v="GLAN-60008/26"/>
    <s v=""/>
    <x v="167"/>
    <s v="IT Equipment - Interface / Integration"/>
    <m/>
    <x v="4"/>
    <s v="Pending Delivery"/>
    <d v="2026-01-20T00:00:00"/>
    <m/>
    <s v="PCTC"/>
    <s v="#N/A "/>
    <s v="#N/A "/>
    <x v="0"/>
    <x v="0"/>
  </r>
  <r>
    <x v="3"/>
    <m/>
    <s v="GLAN-60009/26-1"/>
    <s v=""/>
    <x v="167"/>
    <s v="IT Equipment - ITBP Additional Items"/>
    <m/>
    <x v="4"/>
    <s v="Pending Delivery"/>
    <d v="2026-01-21T00:00:00"/>
    <m/>
    <s v="PCTC"/>
    <s v="#N/A "/>
    <s v="#N/A "/>
    <x v="0"/>
    <x v="0"/>
  </r>
  <r>
    <x v="3"/>
    <m/>
    <s v="GLAN-60016/26-1"/>
    <s v=""/>
    <x v="168"/>
    <s v="Oil Skimmers - Abanaki"/>
    <m/>
    <x v="4"/>
    <s v="Pending Delivery"/>
    <d v="2026-01-29T00:00:00"/>
    <m/>
    <s v="PCTC"/>
    <s v="#N/A "/>
    <s v="#N/A "/>
    <x v="0"/>
    <x v="0"/>
  </r>
  <r>
    <x v="3"/>
    <m/>
    <s v="GLAN-60028/26"/>
    <s v=""/>
    <x v="22"/>
    <s v="Lubricants"/>
    <m/>
    <x v="0"/>
    <s v="Pending Approval"/>
    <d v="2026-02-25T00:00:00"/>
    <m/>
    <s v="PCTC"/>
    <s v="#N/A "/>
    <s v="#N/A "/>
    <x v="0"/>
    <x v="0"/>
  </r>
  <r>
    <x v="3"/>
    <m/>
    <s v="GLAN-60018/26-1"/>
    <s v=""/>
    <x v="69"/>
    <s v="IT Equipment - ITBP Cables"/>
    <m/>
    <x v="0"/>
    <s v="Pending Delivery"/>
    <d v="2026-02-12T00:00:00"/>
    <m/>
    <s v="PCTC"/>
    <s v="#N/A "/>
    <s v="#N/A "/>
    <x v="0"/>
    <x v="0"/>
  </r>
  <r>
    <x v="3"/>
    <m/>
    <s v="GLAN-60001/25-2"/>
    <s v="Pre-Delivery"/>
    <x v="43"/>
    <s v="GVT Electronics"/>
    <m/>
    <x v="3"/>
    <s v="Pending Delivery"/>
    <d v="2025-11-25T00:00:00"/>
    <m/>
    <s v="PCTC"/>
    <s v="#N/A "/>
    <s v="#N/A "/>
    <x v="0"/>
    <x v="0"/>
  </r>
  <r>
    <x v="3"/>
    <m/>
    <s v="GLAN-60021/26-1"/>
    <s v=""/>
    <x v="14"/>
    <s v="Citadel VHF/GPS/UHF System"/>
    <m/>
    <x v="4"/>
    <s v="Pending Delivery"/>
    <d v="2026-02-10T00:00:00"/>
    <m/>
    <s v="PCTC"/>
    <s v="#N/A "/>
    <s v="#N/A "/>
    <x v="0"/>
    <x v="0"/>
  </r>
  <r>
    <x v="3"/>
    <m/>
    <m/>
    <s v=""/>
    <x v="169"/>
    <s v="Boiler Spares"/>
    <m/>
    <x v="0"/>
    <m/>
    <m/>
    <m/>
    <s v="PCTC"/>
    <s v="#N/A "/>
    <s v="#N/A "/>
    <x v="0"/>
    <x v="0"/>
  </r>
  <r>
    <x v="3"/>
    <m/>
    <m/>
    <s v=""/>
    <x v="88"/>
    <s v="RO-RO Equipment - Loose Fittings"/>
    <m/>
    <x v="0"/>
    <m/>
    <m/>
    <m/>
    <s v="PCTC"/>
    <s v="#N/A "/>
    <s v="#N/A "/>
    <x v="0"/>
    <x v="0"/>
  </r>
  <r>
    <x v="3"/>
    <m/>
    <m/>
    <s v=""/>
    <x v="22"/>
    <s v="Safety Integration - SMiG"/>
    <m/>
    <x v="0"/>
    <m/>
    <m/>
    <m/>
    <s v="PCTC"/>
    <s v="#N/A "/>
    <s v="#N/A "/>
    <x v="0"/>
    <x v="0"/>
  </r>
  <r>
    <x v="3"/>
    <m/>
    <m/>
    <s v=""/>
    <x v="170"/>
    <s v="IMPA Stores - Stationery"/>
    <m/>
    <x v="0"/>
    <m/>
    <m/>
    <m/>
    <s v="PCTC"/>
    <s v="#N/A "/>
    <s v="#N/A "/>
    <x v="0"/>
    <x v="0"/>
  </r>
  <r>
    <x v="3"/>
    <m/>
    <m/>
    <s v=""/>
    <x v="171"/>
    <s v="IMPA Stores - SOPEP"/>
    <m/>
    <x v="0"/>
    <m/>
    <m/>
    <m/>
    <s v="PCTC"/>
    <s v="#N/A "/>
    <s v="#N/A "/>
    <x v="0"/>
    <x v="0"/>
  </r>
  <r>
    <x v="3"/>
    <m/>
    <s v="GLAN-60041/26"/>
    <s v=""/>
    <x v="101"/>
    <s v="IMPA Stores - Deck"/>
    <m/>
    <x v="1"/>
    <m/>
    <m/>
    <m/>
    <s v="PCTC"/>
    <s v="#N/A "/>
    <s v="#N/A "/>
    <x v="0"/>
    <x v="0"/>
  </r>
  <r>
    <x v="3"/>
    <m/>
    <s v="GLAN-60042/26"/>
    <s v=""/>
    <x v="122"/>
    <s v="IMPA Stores - Bridge"/>
    <m/>
    <x v="1"/>
    <m/>
    <m/>
    <m/>
    <s v="PCTC"/>
    <s v="#N/A "/>
    <s v="#N/A "/>
    <x v="0"/>
    <x v="0"/>
  </r>
  <r>
    <x v="3"/>
    <m/>
    <s v="GLAN-60043/26"/>
    <s v=""/>
    <x v="119"/>
    <s v="IMPA Stores - Gym"/>
    <m/>
    <x v="1"/>
    <m/>
    <m/>
    <m/>
    <s v="PCTC"/>
    <s v="#N/A "/>
    <s v="#N/A "/>
    <x v="0"/>
    <x v="0"/>
  </r>
  <r>
    <x v="3"/>
    <m/>
    <s v="GLAN-60044/26"/>
    <s v=""/>
    <x v="111"/>
    <s v="IMPA Stores - Crew"/>
    <m/>
    <x v="1"/>
    <m/>
    <m/>
    <m/>
    <s v="PCTC"/>
    <s v="#N/A "/>
    <s v="#N/A "/>
    <x v="0"/>
    <x v="0"/>
  </r>
  <r>
    <x v="3"/>
    <m/>
    <s v="GLAN-60045/26"/>
    <s v=""/>
    <x v="118"/>
    <s v="IMPA Stores - Firefighting Equipment"/>
    <m/>
    <x v="1"/>
    <m/>
    <m/>
    <m/>
    <s v="PCTC"/>
    <s v="#N/A "/>
    <s v="#N/A "/>
    <x v="0"/>
    <x v="0"/>
  </r>
  <r>
    <x v="3"/>
    <m/>
    <s v="GLAN-60046/26"/>
    <s v=""/>
    <x v="121"/>
    <s v="IMPA Stores - Company Stationery"/>
    <m/>
    <x v="1"/>
    <m/>
    <m/>
    <m/>
    <s v="PCTC"/>
    <s v="#N/A "/>
    <s v="#N/A "/>
    <x v="0"/>
    <x v="0"/>
  </r>
  <r>
    <x v="3"/>
    <m/>
    <s v="GLAN-60047/26"/>
    <s v=""/>
    <x v="114"/>
    <s v="IMPA Stores - BA Compressor"/>
    <m/>
    <x v="1"/>
    <m/>
    <m/>
    <m/>
    <s v="PCTC"/>
    <s v="#N/A "/>
    <s v="#N/A "/>
    <x v="0"/>
    <x v="0"/>
  </r>
  <r>
    <x v="3"/>
    <m/>
    <s v="GLAN-60048/26"/>
    <s v=""/>
    <x v="112"/>
    <s v="IMPA Stores - Accommodation"/>
    <m/>
    <x v="1"/>
    <m/>
    <m/>
    <m/>
    <s v="PCTC"/>
    <s v="#N/A "/>
    <s v="#N/A "/>
    <x v="0"/>
    <x v="0"/>
  </r>
  <r>
    <x v="3"/>
    <m/>
    <m/>
    <s v=""/>
    <x v="74"/>
    <s v="IMPA Stores - Galley"/>
    <m/>
    <x v="1"/>
    <m/>
    <m/>
    <m/>
    <s v="PCTC"/>
    <s v="#N/A "/>
    <s v="#N/A "/>
    <x v="0"/>
    <x v="0"/>
  </r>
  <r>
    <x v="3"/>
    <m/>
    <s v="GLAN-60049/26"/>
    <s v=""/>
    <x v="83"/>
    <s v="IMPA Stores - Engine"/>
    <m/>
    <x v="1"/>
    <m/>
    <m/>
    <m/>
    <s v="PCTC"/>
    <s v="#N/A "/>
    <s v="#N/A "/>
    <x v="0"/>
    <x v="0"/>
  </r>
  <r>
    <x v="3"/>
    <m/>
    <s v="GLAN-60050/26"/>
    <s v=""/>
    <x v="110"/>
    <s v="IMPA Stores - Engine"/>
    <m/>
    <x v="1"/>
    <m/>
    <m/>
    <m/>
    <s v="PCTC"/>
    <s v="#N/A "/>
    <s v="#N/A "/>
    <x v="0"/>
    <x v="0"/>
  </r>
  <r>
    <x v="3"/>
    <m/>
    <s v="GLAN-60052/26"/>
    <s v=""/>
    <x v="76"/>
    <s v="IMPA Stores - Engine"/>
    <m/>
    <x v="1"/>
    <m/>
    <m/>
    <m/>
    <s v="PCTC"/>
    <s v="#N/A "/>
    <s v="#N/A "/>
    <x v="0"/>
    <x v="0"/>
  </r>
  <r>
    <x v="3"/>
    <m/>
    <s v="GLAN-60051/26"/>
    <s v=""/>
    <x v="76"/>
    <s v="IMPA Stores - Engine"/>
    <m/>
    <x v="1"/>
    <m/>
    <m/>
    <m/>
    <s v="PCTC"/>
    <s v="#N/A "/>
    <s v="#N/A "/>
    <x v="0"/>
    <x v="0"/>
  </r>
  <r>
    <x v="3"/>
    <m/>
    <s v="GLAN-60053/26"/>
    <s v=""/>
    <x v="76"/>
    <s v="IMPA Stores - Electrical"/>
    <m/>
    <x v="1"/>
    <m/>
    <m/>
    <m/>
    <s v="PCTC"/>
    <s v="#N/A "/>
    <s v="#N/A "/>
    <x v="0"/>
    <x v="0"/>
  </r>
  <r>
    <x v="3"/>
    <m/>
    <s v="GLAN-60054/26"/>
    <s v=""/>
    <x v="76"/>
    <s v="IMPA Stores - General"/>
    <m/>
    <x v="1"/>
    <m/>
    <m/>
    <m/>
    <s v="PCTC"/>
    <s v="#N/A "/>
    <s v="#N/A "/>
    <x v="0"/>
    <x v="0"/>
  </r>
  <r>
    <x v="3"/>
    <m/>
    <s v="GLAN-60055/26"/>
    <s v=""/>
    <x v="120"/>
    <s v="Ultrasonic Cleaner"/>
    <m/>
    <x v="1"/>
    <m/>
    <m/>
    <m/>
    <s v="PCTC"/>
    <s v="#N/A "/>
    <s v="#N/A "/>
    <x v="0"/>
    <x v="0"/>
  </r>
  <r>
    <x v="3"/>
    <m/>
    <m/>
    <s v=""/>
    <x v="123"/>
    <s v="OPA 90 Kit"/>
    <m/>
    <x v="1"/>
    <m/>
    <m/>
    <m/>
    <s v="PCTC"/>
    <s v="#N/A "/>
    <s v="#N/A "/>
    <x v="0"/>
    <x v="0"/>
  </r>
  <r>
    <x v="3"/>
    <m/>
    <s v="GLAN-60060/26-1"/>
    <s v=""/>
    <x v="106"/>
    <s v="High Pressure Washer"/>
    <m/>
    <x v="1"/>
    <s v="Pending Delivery"/>
    <m/>
    <m/>
    <s v="PCTC"/>
    <s v="#N/A "/>
    <s v="#N/A "/>
    <x v="0"/>
    <x v="0"/>
  </r>
  <r>
    <x v="3"/>
    <m/>
    <s v="GLAN-60061/26-1"/>
    <s v=""/>
    <x v="24"/>
    <s v="LOTO Stickers"/>
    <m/>
    <x v="1"/>
    <s v="Pending Delivery"/>
    <m/>
    <m/>
    <s v="PCTC"/>
    <s v="#N/A "/>
    <s v="#N/A "/>
    <x v="0"/>
    <x v="0"/>
  </r>
  <r>
    <x v="3"/>
    <m/>
    <s v="GLAN-60062/26-1"/>
    <s v=""/>
    <x v="25"/>
    <s v="Steam Splash Suit"/>
    <m/>
    <x v="1"/>
    <s v="Pending Delivery"/>
    <m/>
    <m/>
    <s v="PCTC"/>
    <s v="#N/A "/>
    <s v="#N/A "/>
    <x v="0"/>
    <x v="0"/>
  </r>
  <r>
    <x v="3"/>
    <m/>
    <m/>
    <s v=""/>
    <x v="172"/>
    <s v="Chemical Tags"/>
    <m/>
    <x v="1"/>
    <m/>
    <m/>
    <m/>
    <s v="PCTC"/>
    <s v="#N/A "/>
    <s v="#N/A "/>
    <x v="0"/>
    <x v="0"/>
  </r>
  <r>
    <x v="3"/>
    <m/>
    <s v="GLAN-60064/26"/>
    <s v=""/>
    <x v="173"/>
    <s v="Safe Lanes (Trelleborg)"/>
    <m/>
    <x v="1"/>
    <s v="Pending Approval"/>
    <m/>
    <m/>
    <s v="PCTC"/>
    <s v="#N/A "/>
    <s v="#N/A "/>
    <x v="0"/>
    <x v="0"/>
  </r>
  <r>
    <x v="3"/>
    <m/>
    <m/>
    <s v=""/>
    <x v="174"/>
    <s v="Seatab"/>
    <m/>
    <x v="1"/>
    <m/>
    <m/>
    <m/>
    <s v="PCTC"/>
    <s v="#N/A "/>
    <s v="#N/A "/>
    <x v="0"/>
    <x v="0"/>
  </r>
  <r>
    <x v="3"/>
    <m/>
    <m/>
    <s v=""/>
    <x v="175"/>
    <s v="Thermal Camera (FLIR)"/>
    <m/>
    <x v="1"/>
    <m/>
    <m/>
    <m/>
    <s v="PCTC"/>
    <s v="#N/A "/>
    <s v="#N/A "/>
    <x v="0"/>
    <x v="0"/>
  </r>
  <r>
    <x v="3"/>
    <m/>
    <s v="GLAN-60037/26-1"/>
    <s v="Pre-Delivery"/>
    <x v="19"/>
    <s v="Explosion Proof Camera"/>
    <m/>
    <x v="0"/>
    <s v="Pending Delivery"/>
    <d v="2026-03-17T00:00:00"/>
    <m/>
    <s v="PCTC"/>
    <s v="#N/A "/>
    <s v="#N/A "/>
    <x v="0"/>
    <x v="0"/>
  </r>
  <r>
    <x v="3"/>
    <m/>
    <s v="GLAN-60039/26-1"/>
    <s v=""/>
    <x v="109"/>
    <s v="Cryogenic PPE"/>
    <m/>
    <x v="1"/>
    <s v="Pending Delivery"/>
    <m/>
    <m/>
    <s v="PCTC"/>
    <s v="#N/A "/>
    <s v="#N/A "/>
    <x v="0"/>
    <x v="0"/>
  </r>
  <r>
    <x v="3"/>
    <m/>
    <m/>
    <s v=""/>
    <x v="176"/>
    <s v="Temperature &amp; Pressure Calibrators"/>
    <m/>
    <x v="1"/>
    <m/>
    <m/>
    <m/>
    <s v="PCTC"/>
    <s v="#N/A "/>
    <s v="#N/A "/>
    <x v="0"/>
    <x v="0"/>
  </r>
  <r>
    <x v="3"/>
    <m/>
    <s v="GLAN-60035/26-1"/>
    <s v="Pre-Delivery"/>
    <x v="17"/>
    <s v="VISWA Line Samplers"/>
    <m/>
    <x v="1"/>
    <s v="Not Created"/>
    <d v="2026-03-17T00:00:00"/>
    <m/>
    <s v="PCTC"/>
    <s v="#N/A "/>
    <s v="#N/A "/>
    <x v="0"/>
    <x v="0"/>
  </r>
  <r>
    <x v="3"/>
    <m/>
    <m/>
    <s v=""/>
    <x v="177"/>
    <s v="IMPA Stores - Stationery"/>
    <m/>
    <x v="1"/>
    <m/>
    <m/>
    <m/>
    <s v="PCTC"/>
    <s v="#N/A "/>
    <s v="#N/A "/>
    <x v="0"/>
    <x v="0"/>
  </r>
  <r>
    <x v="3"/>
    <m/>
    <m/>
    <s v=""/>
    <x v="178"/>
    <s v="HP Pump (Hydraulic Nuts)"/>
    <m/>
    <x v="1"/>
    <m/>
    <m/>
    <m/>
    <s v="PCTC"/>
    <s v="#N/A "/>
    <s v="#N/A "/>
    <x v="0"/>
    <x v="0"/>
  </r>
  <r>
    <x v="3"/>
    <m/>
    <m/>
    <s v=""/>
    <x v="179"/>
    <s v="Chemicals - General"/>
    <m/>
    <x v="1"/>
    <m/>
    <m/>
    <m/>
    <s v="PCTC"/>
    <s v="#N/A "/>
    <s v="#N/A "/>
    <x v="0"/>
    <x v="0"/>
  </r>
  <r>
    <x v="3"/>
    <m/>
    <m/>
    <s v=""/>
    <x v="180"/>
    <s v="Mooring Ropes"/>
    <m/>
    <x v="1"/>
    <m/>
    <m/>
    <m/>
    <s v="PCTC"/>
    <s v="#N/A "/>
    <s v="#N/A "/>
    <x v="0"/>
    <x v="0"/>
  </r>
  <r>
    <x v="3"/>
    <m/>
    <m/>
    <s v=""/>
    <x v="181"/>
    <s v="UHF Radio"/>
    <m/>
    <x v="1"/>
    <m/>
    <m/>
    <m/>
    <s v="PCTC"/>
    <s v="#N/A "/>
    <s v="#N/A "/>
    <x v="0"/>
    <x v="0"/>
  </r>
  <r>
    <x v="3"/>
    <m/>
    <s v="GLAN-60036/26-1"/>
    <s v=""/>
    <x v="39"/>
    <s v="Soot Treatment"/>
    <m/>
    <x v="1"/>
    <s v="Pending Delivery"/>
    <m/>
    <m/>
    <s v="PCTC"/>
    <s v="#N/A "/>
    <s v="#N/A "/>
    <x v="0"/>
    <x v="0"/>
  </r>
  <r>
    <x v="3"/>
    <m/>
    <m/>
    <s v=""/>
    <x v="182"/>
    <s v="Garbage Refrigerator"/>
    <m/>
    <x v="1"/>
    <m/>
    <m/>
    <m/>
    <s v="PCTC"/>
    <s v="#N/A "/>
    <s v="#N/A "/>
    <x v="0"/>
    <x v="0"/>
  </r>
  <r>
    <x v="3"/>
    <m/>
    <m/>
    <s v=""/>
    <x v="145"/>
    <s v="Dual Fuel Tools"/>
    <m/>
    <x v="1"/>
    <m/>
    <m/>
    <m/>
    <s v="PCTC"/>
    <s v="#N/A "/>
    <s v="#N/A "/>
    <x v="0"/>
    <x v="0"/>
  </r>
  <r>
    <x v="3"/>
    <m/>
    <m/>
    <s v=""/>
    <x v="115"/>
    <s v="UHF Antenna"/>
    <m/>
    <x v="1"/>
    <m/>
    <m/>
    <m/>
    <s v="PCTC"/>
    <s v="#N/A "/>
    <s v="#N/A "/>
    <x v="0"/>
    <x v="0"/>
  </r>
  <r>
    <x v="3"/>
    <m/>
    <s v="GLAN-60069/26"/>
    <s v=""/>
    <x v="52"/>
    <s v="Sample Cooler"/>
    <m/>
    <x v="1"/>
    <s v="Pending Approval"/>
    <m/>
    <m/>
    <s v="PCTC"/>
    <s v="#N/A "/>
    <s v="#N/A "/>
    <x v="0"/>
    <x v="0"/>
  </r>
  <r>
    <x v="3"/>
    <m/>
    <m/>
    <s v=""/>
    <x v="183"/>
    <s v="Citadel VHF/GPS/UHF System"/>
    <m/>
    <x v="1"/>
    <m/>
    <m/>
    <m/>
    <s v="PCTC"/>
    <s v="#N/A "/>
    <s v="#N/A "/>
    <x v="0"/>
    <x v="0"/>
  </r>
  <r>
    <x v="3"/>
    <m/>
    <s v="GLAN-60038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3"/>
    <m/>
    <m/>
    <s v=""/>
    <x v="184"/>
    <s v="Communications - VLINK Cable"/>
    <m/>
    <x v="0"/>
    <m/>
    <m/>
    <m/>
    <s v="PCTC"/>
    <s v="#N/A "/>
    <s v="#N/A "/>
    <x v="0"/>
    <x v="0"/>
  </r>
  <r>
    <x v="3"/>
    <m/>
    <m/>
    <s v=""/>
    <x v="134"/>
    <s v="Stanchions"/>
    <m/>
    <x v="0"/>
    <m/>
    <m/>
    <m/>
    <s v="PCTC"/>
    <s v="#N/A "/>
    <s v="#N/A "/>
    <x v="0"/>
    <x v="0"/>
  </r>
  <r>
    <x v="4"/>
    <m/>
    <s v="GLIN-60016/26-1"/>
    <s v=""/>
    <x v="144"/>
    <s v="IT Equipment - ITBP"/>
    <m/>
    <x v="4"/>
    <s v="Pending Delivery"/>
    <d v="2026-02-11T00:00:00"/>
    <d v="2026-02-26T00:00:00"/>
    <s v="PCTC"/>
    <s v="#N/A "/>
    <s v="#N/A "/>
    <x v="0"/>
    <x v="0"/>
  </r>
  <r>
    <x v="4"/>
    <m/>
    <s v="GLIN-60019/26"/>
    <s v=""/>
    <x v="185"/>
    <s v="IT Equipment - ITBP Cables"/>
    <m/>
    <x v="0"/>
    <s v="Pending Approval"/>
    <d v="2026-02-25T00:00:00"/>
    <m/>
    <s v="PCTC"/>
    <s v="#N/A "/>
    <s v="#N/A "/>
    <x v="0"/>
    <x v="0"/>
  </r>
  <r>
    <x v="4"/>
    <m/>
    <s v="GLIN-60005/26-1"/>
    <s v=""/>
    <x v="186"/>
    <s v="IT Equipment - Sihui Marine"/>
    <m/>
    <x v="4"/>
    <s v="Pending Delivery"/>
    <d v="2026-01-19T00:00:00"/>
    <d v="2026-02-26T00:00:00"/>
    <s v="PCTC"/>
    <s v="#N/A "/>
    <s v="#N/A "/>
    <x v="0"/>
    <x v="0"/>
  </r>
  <r>
    <x v="4"/>
    <m/>
    <s v="GLIN-60013/26-1"/>
    <s v=""/>
    <x v="14"/>
    <s v="IT Equipment - Computers (Lenovo)"/>
    <m/>
    <x v="4"/>
    <s v="Pending Delivery"/>
    <d v="2026-02-10T00:00:00"/>
    <d v="2026-02-26T00:00:00"/>
    <s v="PCTC"/>
    <s v="#N/A "/>
    <s v="#N/A "/>
    <x v="0"/>
    <x v="0"/>
  </r>
  <r>
    <x v="4"/>
    <m/>
    <s v="GLIN-60009/26-1"/>
    <s v=""/>
    <x v="187"/>
    <s v="Safety Integration - SMiG"/>
    <m/>
    <x v="4"/>
    <s v="Pending Delivery"/>
    <d v="2026-01-26T00:00:00"/>
    <d v="2026-02-26T00:00:00"/>
    <s v="PCTC"/>
    <s v="#N/A "/>
    <s v="#N/A "/>
    <x v="0"/>
    <x v="0"/>
  </r>
  <r>
    <x v="4"/>
    <m/>
    <s v="GLIN-60012/26-1"/>
    <s v=""/>
    <x v="188"/>
    <s v="Communications - VLINK"/>
    <m/>
    <x v="4"/>
    <s v="Pending Delivery"/>
    <d v="2026-02-10T00:00:00"/>
    <d v="2026-02-26T00:00:00"/>
    <s v="PCTC"/>
    <s v="#N/A "/>
    <s v="#N/A "/>
    <x v="0"/>
    <x v="0"/>
  </r>
  <r>
    <x v="4"/>
    <m/>
    <s v="GLIN-60011/26-1"/>
    <s v=""/>
    <x v="171"/>
    <s v="IT Equipment - ITBP Additional Items"/>
    <m/>
    <x v="0"/>
    <s v="Pending Delivery"/>
    <d v="2026-02-12T00:00:00"/>
    <m/>
    <s v="PCTC"/>
    <s v="#N/A "/>
    <s v="#N/A "/>
    <x v="0"/>
    <x v="0"/>
  </r>
  <r>
    <x v="4"/>
    <m/>
    <s v="GLIN-60004/26-1"/>
    <s v=""/>
    <x v="189"/>
    <s v="IT Equipment "/>
    <m/>
    <x v="4"/>
    <s v="Pending Delivery"/>
    <d v="2026-01-19T00:00:00"/>
    <d v="2026-02-26T00:00:00"/>
    <s v="PCTC"/>
    <s v="#N/A "/>
    <s v="#N/A "/>
    <x v="0"/>
    <x v="0"/>
  </r>
  <r>
    <x v="4"/>
    <m/>
    <s v="GLIN-60017/26-1"/>
    <s v=""/>
    <x v="8"/>
    <s v="Communications - VLINK Accessories"/>
    <m/>
    <x v="4"/>
    <s v="Pending Delivery"/>
    <d v="2026-02-19T00:00:00"/>
    <d v="2026-02-26T00:00:00"/>
    <s v="PCTC"/>
    <s v="#N/A "/>
    <s v="#N/A "/>
    <x v="0"/>
    <x v="0"/>
  </r>
  <r>
    <x v="4"/>
    <m/>
    <s v="GLIN-60020/26"/>
    <s v=""/>
    <x v="22"/>
    <s v="IT Equipment - Interface / Integration"/>
    <m/>
    <x v="0"/>
    <s v="Not Created"/>
    <d v="2026-02-25T00:00:00"/>
    <m/>
    <s v="PCTC"/>
    <s v="#N/A "/>
    <s v="#N/A "/>
    <x v="0"/>
    <x v="0"/>
  </r>
  <r>
    <x v="4"/>
    <m/>
    <s v="GLIN-60006/26-1"/>
    <s v=""/>
    <x v="143"/>
    <s v="Gas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3/26-1"/>
    <s v=""/>
    <x v="190"/>
    <s v="IT Equipment - X10 System"/>
    <m/>
    <x v="4"/>
    <s v="Pending Delivery"/>
    <d v="2026-01-19T00:00:00"/>
    <d v="2026-02-26T00:00:00"/>
    <s v="PCTC"/>
    <s v="#N/A "/>
    <s v="#N/A "/>
    <x v="0"/>
    <x v="0"/>
  </r>
  <r>
    <x v="4"/>
    <m/>
    <s v="GLIN-60023/26-1"/>
    <s v=""/>
    <x v="6"/>
    <s v="Navigation - HiNAS SVM"/>
    <m/>
    <x v="0"/>
    <s v="Pending Delivery"/>
    <d v="2026-03-06T00:00:00"/>
    <m/>
    <s v="PCTC"/>
    <s v="#N/A "/>
    <s v="#N/A "/>
    <x v="0"/>
    <x v="0"/>
  </r>
  <r>
    <x v="4"/>
    <m/>
    <s v="GLIN-60007/26-1"/>
    <s v=""/>
    <x v="60"/>
    <s v="Communications - VSAT (KVH)"/>
    <m/>
    <x v="4"/>
    <s v="Pending Delivery"/>
    <d v="2026-01-21T00:00:00"/>
    <d v="2026-02-26T00:00:00"/>
    <s v="PCTC"/>
    <s v="#N/A "/>
    <s v="#N/A "/>
    <x v="0"/>
    <x v="0"/>
  </r>
  <r>
    <x v="4"/>
    <m/>
    <s v="GLIN-60015/26-1"/>
    <s v=""/>
    <x v="7"/>
    <s v="IT Equipment - AST"/>
    <m/>
    <x v="0"/>
    <s v="Pending Delivery"/>
    <d v="2026-02-17T00:00:00"/>
    <m/>
    <s v="PCTC"/>
    <s v="#N/A "/>
    <s v="#N/A "/>
    <x v="0"/>
    <x v="0"/>
  </r>
  <r>
    <x v="4"/>
    <m/>
    <s v="GLIN-60010/26-1"/>
    <s v=""/>
    <x v="191"/>
    <s v="Lubricants"/>
    <m/>
    <x v="4"/>
    <s v="Pending Delivery"/>
    <d v="2026-01-26T00:00:00"/>
    <d v="2026-02-26T00:00:00"/>
    <s v="PCTC"/>
    <s v="#N/A "/>
    <s v="#N/A "/>
    <x v="0"/>
    <x v="0"/>
  </r>
  <r>
    <x v="4"/>
    <m/>
    <s v="GLIN-60008/26-1"/>
    <s v=""/>
    <x v="192"/>
    <s v="Fire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2/26-1"/>
    <s v="Pre-Delivery"/>
    <x v="193"/>
    <s v="IT Equipment - ITBP Licenses"/>
    <m/>
    <x v="3"/>
    <s v="Pending Delivery"/>
    <d v="2026-02-19T00:00:00"/>
    <d v="2026-04-15T00:00:00"/>
    <s v="PCTC"/>
    <s v="#N/A "/>
    <s v="#N/A "/>
    <x v="0"/>
    <x v="0"/>
  </r>
  <r>
    <x v="4"/>
    <m/>
    <s v="GLIN-60024/26-1"/>
    <s v=""/>
    <x v="11"/>
    <s v="Communications - Starlink Accessories"/>
    <m/>
    <x v="0"/>
    <s v="Pending Delivery"/>
    <d v="2026-03-06T00:00:00"/>
    <m/>
    <s v="PCTC"/>
    <s v="#N/A "/>
    <s v="#N/A "/>
    <x v="0"/>
    <x v="0"/>
  </r>
  <r>
    <x v="4"/>
    <m/>
    <s v="GLIN-60021/26"/>
    <s v=""/>
    <x v="65"/>
    <s v="Oil Skimmers - Abanaki"/>
    <m/>
    <x v="4"/>
    <s v="Pending Delivery"/>
    <d v="2026-02-25T00:00:00"/>
    <d v="2026-02-26T00:00:00"/>
    <s v="PCTC"/>
    <s v="#N/A "/>
    <s v="#N/A "/>
    <x v="0"/>
    <x v="0"/>
  </r>
  <r>
    <x v="4"/>
    <m/>
    <s v="GLIN-60025/26-1"/>
    <s v=""/>
    <x v="63"/>
    <s v="IT Equipment - ITBP Lab Kit"/>
    <m/>
    <x v="4"/>
    <s v="Pending Delivery"/>
    <d v="2026-03-05T00:00:00"/>
    <d v="2026-02-26T00:00:00"/>
    <s v="PCTC"/>
    <s v="#N/A "/>
    <s v="#N/A "/>
    <x v="0"/>
    <x v="0"/>
  </r>
  <r>
    <x v="4"/>
    <m/>
    <s v="GLIN-60026/26-1"/>
    <s v=""/>
    <x v="69"/>
    <s v="Lubricants"/>
    <m/>
    <x v="0"/>
    <s v="Pending Approval"/>
    <d v="2026-03-10T00:00:00"/>
    <m/>
    <s v="PCTC"/>
    <s v="#N/A "/>
    <s v="#N/A "/>
    <x v="0"/>
    <x v="0"/>
  </r>
  <r>
    <x v="4"/>
    <m/>
    <s v="GLIN-60018/26-1"/>
    <s v=""/>
    <x v="16"/>
    <s v="GVT Electronics"/>
    <m/>
    <x v="4"/>
    <s v="Pending Delivery"/>
    <d v="2026-02-24T00:00:00"/>
    <d v="2026-02-26T00:00:00"/>
    <s v="PCTC"/>
    <s v="#N/A "/>
    <s v="#N/A "/>
    <x v="0"/>
    <x v="0"/>
  </r>
  <r>
    <x v="4"/>
    <m/>
    <s v="GLIN-60022/26-1"/>
    <s v="Pre-Delivery"/>
    <x v="0"/>
    <s v="LNG Operation Manual"/>
    <m/>
    <x v="0"/>
    <s v="Pending Delivery"/>
    <m/>
    <m/>
    <s v="PCTC"/>
    <s v="#N/A "/>
    <s v="#N/A "/>
    <x v="0"/>
    <x v="0"/>
  </r>
  <r>
    <x v="4"/>
    <m/>
    <s v="GLIN-60014/26-2"/>
    <s v=""/>
    <x v="102"/>
    <s v="Citadel VHF/GPS/UHF System"/>
    <m/>
    <x v="0"/>
    <s v="Pending Approval"/>
    <d v="2026-03-31T00:00:00"/>
    <m/>
    <s v="PCTC"/>
    <s v="#N/A "/>
    <s v="#N/A "/>
    <x v="0"/>
    <x v="0"/>
  </r>
  <r>
    <x v="4"/>
    <m/>
    <s v="GLIN-60033/26-1"/>
    <s v=""/>
    <x v="194"/>
    <s v="RO-RO Equipment - Loose Fittings"/>
    <m/>
    <x v="1"/>
    <m/>
    <m/>
    <m/>
    <s v="PCTC"/>
    <s v="#N/A "/>
    <s v="#N/A "/>
    <x v="0"/>
    <x v="0"/>
  </r>
  <r>
    <x v="4"/>
    <m/>
    <m/>
    <s v=""/>
    <x v="88"/>
    <s v="Citadel VHF/GPS/UHF System"/>
    <m/>
    <x v="1"/>
    <m/>
    <m/>
    <m/>
    <s v="PCTC"/>
    <s v="#N/A "/>
    <s v="#N/A "/>
    <x v="0"/>
    <x v="0"/>
  </r>
  <r>
    <x v="4"/>
    <m/>
    <m/>
    <s v=""/>
    <x v="170"/>
    <s v="Navigation - Captains Eye"/>
    <m/>
    <x v="1"/>
    <m/>
    <m/>
    <m/>
    <s v="PCTC"/>
    <s v="#N/A "/>
    <s v="#N/A "/>
    <x v="0"/>
    <x v="0"/>
  </r>
  <r>
    <x v="4"/>
    <m/>
    <m/>
    <s v=""/>
    <x v="45"/>
    <s v="Oil Skimmers - Abanaki"/>
    <m/>
    <x v="1"/>
    <m/>
    <m/>
    <m/>
    <s v="PCTC"/>
    <s v="#N/A "/>
    <s v="#N/A "/>
    <x v="0"/>
    <x v="0"/>
  </r>
  <r>
    <x v="4"/>
    <m/>
    <s v="GLIN-60001/26 "/>
    <s v=""/>
    <x v="10"/>
    <s v="Garbage Compactor"/>
    <m/>
    <x v="0"/>
    <m/>
    <m/>
    <m/>
    <s v="PCTC"/>
    <s v="#N/A "/>
    <s v="#N/A "/>
    <x v="0"/>
    <x v="0"/>
  </r>
  <r>
    <x v="4"/>
    <m/>
    <s v="GLIN-60026/26-1"/>
    <s v=""/>
    <x v="69"/>
    <s v="IMPA Stores - Stationery"/>
    <m/>
    <x v="0"/>
    <s v="Pending Supplier Confirmation"/>
    <d v="2026-03-10T00:00:00"/>
    <m/>
    <s v="PCTC"/>
    <s v="#N/A "/>
    <s v="#N/A "/>
    <x v="0"/>
    <x v="0"/>
  </r>
  <r>
    <x v="4"/>
    <m/>
    <s v="GLIN-60027/26-1"/>
    <s v="Pre-Delivery"/>
    <x v="20"/>
    <s v="IMPA Stores - SOPEP"/>
    <m/>
    <x v="1"/>
    <s v="Pending Delivery"/>
    <d v="2026-03-13T00:00:00"/>
    <m/>
    <s v="PCTC"/>
    <s v="#N/A "/>
    <s v="#N/A "/>
    <x v="0"/>
    <x v="0"/>
  </r>
  <r>
    <x v="4"/>
    <m/>
    <m/>
    <s v=""/>
    <x v="101"/>
    <s v="IMPA Stores - Deck"/>
    <m/>
    <x v="1"/>
    <m/>
    <m/>
    <m/>
    <s v="PCTC"/>
    <s v="#N/A "/>
    <s v="#N/A "/>
    <x v="0"/>
    <x v="0"/>
  </r>
  <r>
    <x v="4"/>
    <m/>
    <m/>
    <s v=""/>
    <x v="122"/>
    <s v="IMPA Stores - Bridge"/>
    <m/>
    <x v="1"/>
    <m/>
    <m/>
    <m/>
    <s v="PCTC"/>
    <s v="#N/A "/>
    <s v="#N/A "/>
    <x v="0"/>
    <x v="0"/>
  </r>
  <r>
    <x v="4"/>
    <m/>
    <m/>
    <s v=""/>
    <x v="119"/>
    <s v="IMPA Stores - Gym"/>
    <m/>
    <x v="1"/>
    <m/>
    <m/>
    <m/>
    <s v="PCTC"/>
    <s v="#N/A "/>
    <s v="#N/A "/>
    <x v="0"/>
    <x v="0"/>
  </r>
  <r>
    <x v="4"/>
    <m/>
    <m/>
    <s v=""/>
    <x v="111"/>
    <s v="IMPA Stores - Crew"/>
    <m/>
    <x v="1"/>
    <m/>
    <m/>
    <m/>
    <s v="PCTC"/>
    <s v="#N/A "/>
    <s v="#N/A "/>
    <x v="0"/>
    <x v="0"/>
  </r>
  <r>
    <x v="4"/>
    <m/>
    <m/>
    <s v=""/>
    <x v="118"/>
    <s v="IMPA Stores - Firefighting Equipment"/>
    <m/>
    <x v="1"/>
    <m/>
    <m/>
    <m/>
    <s v="PCTC"/>
    <s v="#N/A "/>
    <s v="#N/A "/>
    <x v="0"/>
    <x v="0"/>
  </r>
  <r>
    <x v="4"/>
    <m/>
    <m/>
    <s v=""/>
    <x v="121"/>
    <s v="IMPA Stores - Company Stationery"/>
    <m/>
    <x v="1"/>
    <m/>
    <m/>
    <m/>
    <s v="PCTC"/>
    <s v="#N/A "/>
    <s v="#N/A "/>
    <x v="0"/>
    <x v="0"/>
  </r>
  <r>
    <x v="4"/>
    <m/>
    <m/>
    <s v=""/>
    <x v="114"/>
    <s v="IMPA Stores - BA Compressor"/>
    <m/>
    <x v="1"/>
    <m/>
    <m/>
    <m/>
    <s v="PCTC"/>
    <s v="#N/A "/>
    <s v="#N/A "/>
    <x v="0"/>
    <x v="0"/>
  </r>
  <r>
    <x v="4"/>
    <m/>
    <m/>
    <s v=""/>
    <x v="112"/>
    <s v="IMPA Stores - Accommodation"/>
    <m/>
    <x v="1"/>
    <m/>
    <m/>
    <m/>
    <s v="PCTC"/>
    <s v="#N/A "/>
    <s v="#N/A "/>
    <x v="0"/>
    <x v="0"/>
  </r>
  <r>
    <x v="4"/>
    <m/>
    <m/>
    <s v=""/>
    <x v="74"/>
    <s v="IMPA Stores - Galley"/>
    <m/>
    <x v="1"/>
    <m/>
    <m/>
    <m/>
    <s v="PCTC"/>
    <s v="#N/A "/>
    <s v="#N/A "/>
    <x v="0"/>
    <x v="0"/>
  </r>
  <r>
    <x v="4"/>
    <m/>
    <m/>
    <s v=""/>
    <x v="83"/>
    <s v="IMPA Stores - Engine"/>
    <m/>
    <x v="1"/>
    <m/>
    <m/>
    <m/>
    <s v="PCTC"/>
    <s v="#N/A "/>
    <s v="#N/A "/>
    <x v="0"/>
    <x v="0"/>
  </r>
  <r>
    <x v="4"/>
    <m/>
    <m/>
    <s v=""/>
    <x v="110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lectrical"/>
    <m/>
    <x v="1"/>
    <m/>
    <m/>
    <m/>
    <s v="PCTC"/>
    <s v="#N/A "/>
    <s v="#N/A "/>
    <x v="0"/>
    <x v="0"/>
  </r>
  <r>
    <x v="4"/>
    <m/>
    <m/>
    <s v=""/>
    <x v="76"/>
    <s v="IMPA Stores - General"/>
    <m/>
    <x v="1"/>
    <m/>
    <m/>
    <m/>
    <s v="PCTC"/>
    <s v="#N/A "/>
    <s v="#N/A "/>
    <x v="0"/>
    <x v="0"/>
  </r>
  <r>
    <x v="4"/>
    <m/>
    <m/>
    <s v=""/>
    <x v="120"/>
    <s v="Ultrasonic Cleaner"/>
    <m/>
    <x v="1"/>
    <m/>
    <m/>
    <m/>
    <s v="PCTC"/>
    <s v="#N/A "/>
    <s v="#N/A "/>
    <x v="0"/>
    <x v="0"/>
  </r>
  <r>
    <x v="4"/>
    <m/>
    <m/>
    <s v=""/>
    <x v="123"/>
    <s v="OPA 90 Kit"/>
    <m/>
    <x v="1"/>
    <m/>
    <m/>
    <m/>
    <s v="PCTC"/>
    <s v="#N/A "/>
    <s v="#N/A "/>
    <x v="0"/>
    <x v="0"/>
  </r>
  <r>
    <x v="4"/>
    <m/>
    <s v="GLIN-60034/26"/>
    <s v=""/>
    <x v="106"/>
    <s v="High Pressure Washer"/>
    <m/>
    <x v="1"/>
    <s v="Pending Approval"/>
    <m/>
    <m/>
    <s v="PCTC"/>
    <s v="#N/A "/>
    <s v="#N/A "/>
    <x v="0"/>
    <x v="0"/>
  </r>
  <r>
    <x v="4"/>
    <m/>
    <s v="GLIN-60035/26"/>
    <s v=""/>
    <x v="24"/>
    <s v="LOTO Stickers"/>
    <m/>
    <x v="1"/>
    <s v="Pending Approval"/>
    <m/>
    <m/>
    <s v="PCTC"/>
    <s v="#N/A "/>
    <s v="#N/A "/>
    <x v="0"/>
    <x v="0"/>
  </r>
  <r>
    <x v="4"/>
    <m/>
    <s v="GLIN-60036/26"/>
    <s v=""/>
    <x v="25"/>
    <s v="Steam Splash Suit"/>
    <m/>
    <x v="1"/>
    <m/>
    <m/>
    <m/>
    <s v="PCTC"/>
    <s v="#N/A "/>
    <s v="#N/A "/>
    <x v="0"/>
    <x v="0"/>
  </r>
  <r>
    <x v="4"/>
    <m/>
    <m/>
    <s v=""/>
    <x v="172"/>
    <s v="Chemical Tags"/>
    <m/>
    <x v="1"/>
    <m/>
    <m/>
    <m/>
    <s v="PCTC"/>
    <s v="#N/A "/>
    <s v="#N/A "/>
    <x v="0"/>
    <x v="0"/>
  </r>
  <r>
    <x v="4"/>
    <m/>
    <s v="GLIN-60037/26"/>
    <s v=""/>
    <x v="173"/>
    <s v="Safe Lanes (Trelleborg)"/>
    <m/>
    <x v="1"/>
    <s v="Pending Approval"/>
    <m/>
    <m/>
    <s v="PCTC"/>
    <s v="#N/A "/>
    <s v="#N/A "/>
    <x v="0"/>
    <x v="0"/>
  </r>
  <r>
    <x v="4"/>
    <m/>
    <m/>
    <s v=""/>
    <x v="174"/>
    <s v="Seatab"/>
    <m/>
    <x v="1"/>
    <m/>
    <m/>
    <m/>
    <s v="PCTC"/>
    <s v="#N/A "/>
    <s v="#N/A "/>
    <x v="0"/>
    <x v="0"/>
  </r>
  <r>
    <x v="4"/>
    <m/>
    <m/>
    <s v=""/>
    <x v="175"/>
    <s v="Thermal Camera (FLIR)"/>
    <m/>
    <x v="1"/>
    <m/>
    <m/>
    <m/>
    <s v="PCTC"/>
    <s v="#N/A "/>
    <s v="#N/A "/>
    <x v="0"/>
    <x v="0"/>
  </r>
  <r>
    <x v="4"/>
    <m/>
    <s v="GLIN-60029/26-1"/>
    <s v="Pre-Delivery"/>
    <x v="19"/>
    <s v="Explosion Proof Camera"/>
    <m/>
    <x v="1"/>
    <m/>
    <s v="3/17/2026"/>
    <m/>
    <s v="PCTC"/>
    <s v="#N/A "/>
    <s v="#N/A "/>
    <x v="0"/>
    <x v="0"/>
  </r>
  <r>
    <x v="4"/>
    <m/>
    <s v="GLIN-60032/26-1"/>
    <s v=""/>
    <x v="109"/>
    <s v="Cryogenic PPE"/>
    <m/>
    <x v="1"/>
    <s v="Pending Delivery"/>
    <m/>
    <m/>
    <s v="PCTC"/>
    <s v="#N/A "/>
    <s v="#N/A "/>
    <x v="0"/>
    <x v="0"/>
  </r>
  <r>
    <x v="4"/>
    <m/>
    <m/>
    <s v=""/>
    <x v="176"/>
    <s v="Temperature &amp; Pressure Calibrators"/>
    <m/>
    <x v="1"/>
    <m/>
    <m/>
    <m/>
    <s v="PCTC"/>
    <s v="#N/A "/>
    <s v="#N/A "/>
    <x v="0"/>
    <x v="0"/>
  </r>
  <r>
    <x v="4"/>
    <m/>
    <s v="GLIN-60028/26-1"/>
    <s v="Pre-Delivery"/>
    <x v="17"/>
    <s v="VISWA Line Samplers"/>
    <m/>
    <x v="1"/>
    <s v="Pending Supplier Confirmation"/>
    <d v="2026-03-20T00:00:00"/>
    <m/>
    <s v="PCTC"/>
    <s v="#N/A "/>
    <s v="#N/A "/>
    <x v="0"/>
    <x v="0"/>
  </r>
  <r>
    <x v="4"/>
    <m/>
    <m/>
    <s v=""/>
    <x v="177"/>
    <s v="IMPA Stores - Stationery"/>
    <m/>
    <x v="1"/>
    <m/>
    <m/>
    <m/>
    <s v="PCTC"/>
    <s v="#N/A "/>
    <s v="#N/A "/>
    <x v="0"/>
    <x v="0"/>
  </r>
  <r>
    <x v="4"/>
    <m/>
    <m/>
    <s v=""/>
    <x v="178"/>
    <s v="HP Pump (Hydraulic Nuts)"/>
    <m/>
    <x v="1"/>
    <m/>
    <m/>
    <m/>
    <s v="PCTC"/>
    <s v="#N/A "/>
    <s v="#N/A "/>
    <x v="0"/>
    <x v="0"/>
  </r>
  <r>
    <x v="4"/>
    <m/>
    <m/>
    <s v=""/>
    <x v="179"/>
    <s v="Chemicals - General"/>
    <m/>
    <x v="1"/>
    <m/>
    <m/>
    <m/>
    <s v="PCTC"/>
    <s v="#N/A "/>
    <s v="#N/A "/>
    <x v="0"/>
    <x v="0"/>
  </r>
  <r>
    <x v="4"/>
    <m/>
    <m/>
    <s v=""/>
    <x v="180"/>
    <s v="Mooring Ropes"/>
    <m/>
    <x v="1"/>
    <m/>
    <m/>
    <m/>
    <s v="PCTC"/>
    <s v="#N/A "/>
    <s v="#N/A "/>
    <x v="0"/>
    <x v="0"/>
  </r>
  <r>
    <x v="4"/>
    <m/>
    <m/>
    <s v=""/>
    <x v="181"/>
    <s v="UHF Radio"/>
    <m/>
    <x v="1"/>
    <m/>
    <m/>
    <m/>
    <s v="PCTC"/>
    <s v="#N/A "/>
    <s v="#N/A "/>
    <x v="0"/>
    <x v="0"/>
  </r>
  <r>
    <x v="4"/>
    <m/>
    <m/>
    <s v=""/>
    <x v="39"/>
    <s v="Soot Treatment"/>
    <m/>
    <x v="1"/>
    <m/>
    <m/>
    <m/>
    <s v="PCTC"/>
    <s v="#N/A "/>
    <s v="#N/A "/>
    <x v="0"/>
    <x v="0"/>
  </r>
  <r>
    <x v="4"/>
    <m/>
    <m/>
    <s v=""/>
    <x v="182"/>
    <s v="Garbage Refrigerator"/>
    <m/>
    <x v="1"/>
    <m/>
    <m/>
    <m/>
    <s v="PCTC"/>
    <s v="#N/A "/>
    <s v="#N/A "/>
    <x v="0"/>
    <x v="0"/>
  </r>
  <r>
    <x v="4"/>
    <m/>
    <m/>
    <s v=""/>
    <x v="145"/>
    <s v="Dual Fuel Tools"/>
    <m/>
    <x v="1"/>
    <m/>
    <m/>
    <m/>
    <s v="PCTC"/>
    <s v="#N/A "/>
    <s v="#N/A "/>
    <x v="0"/>
    <x v="0"/>
  </r>
  <r>
    <x v="4"/>
    <m/>
    <m/>
    <s v=""/>
    <x v="115"/>
    <s v="UHF Antenna"/>
    <m/>
    <x v="1"/>
    <m/>
    <m/>
    <m/>
    <s v="PCTC"/>
    <s v="#N/A "/>
    <s v="#N/A "/>
    <x v="0"/>
    <x v="0"/>
  </r>
  <r>
    <x v="4"/>
    <m/>
    <m/>
    <s v=""/>
    <x v="52"/>
    <s v="Sample Cooler"/>
    <m/>
    <x v="1"/>
    <m/>
    <m/>
    <m/>
    <s v="PCTC"/>
    <s v="#N/A "/>
    <s v="#N/A "/>
    <x v="0"/>
    <x v="0"/>
  </r>
  <r>
    <x v="4"/>
    <m/>
    <m/>
    <s v=""/>
    <x v="183"/>
    <s v="Citadel VHF/GPS/UHF System"/>
    <m/>
    <x v="1"/>
    <m/>
    <m/>
    <m/>
    <s v="PCTC"/>
    <s v="#N/A "/>
    <s v="#N/A "/>
    <x v="0"/>
    <x v="0"/>
  </r>
  <r>
    <x v="4"/>
    <m/>
    <s v="GLIN-60030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4"/>
    <m/>
    <m/>
    <s v=""/>
    <x v="184"/>
    <s v="Engine Spares - Main Engine"/>
    <m/>
    <x v="0"/>
    <m/>
    <m/>
    <m/>
    <s v="PCTC"/>
    <s v="#N/A "/>
    <s v="#N/A "/>
    <x v="0"/>
    <x v="0"/>
  </r>
  <r>
    <x v="4"/>
    <m/>
    <m/>
    <s v=""/>
    <x v="134"/>
    <s v="Engine Spares - Auxiliary Engine"/>
    <m/>
    <x v="0"/>
    <m/>
    <m/>
    <m/>
    <s v="PCTC"/>
    <s v="#N/A "/>
    <s v="#N/A "/>
    <x v="0"/>
    <x v="0"/>
  </r>
  <r>
    <x v="4"/>
    <m/>
    <m/>
    <s v=""/>
    <x v="195"/>
    <s v="RO-RO Equipment - Ramp Spares"/>
    <m/>
    <x v="0"/>
    <m/>
    <m/>
    <m/>
    <s v="PCTC"/>
    <s v="#N/A "/>
    <s v="#N/A "/>
    <x v="0"/>
    <x v="0"/>
  </r>
  <r>
    <x v="4"/>
    <m/>
    <m/>
    <s v=""/>
    <x v="196"/>
    <s v="Engine Spares - Auxiliary Engine"/>
    <m/>
    <x v="0"/>
    <m/>
    <m/>
    <m/>
    <s v="PCTC"/>
    <s v="#N/A "/>
    <s v="#N/A "/>
    <x v="0"/>
    <x v="0"/>
  </r>
  <r>
    <x v="4"/>
    <m/>
    <m/>
    <s v=""/>
    <x v="197"/>
    <s v="BOG Compressor Spares"/>
    <m/>
    <x v="0"/>
    <m/>
    <m/>
    <m/>
    <s v="PCTC"/>
    <s v="#N/A "/>
    <s v="#N/A "/>
    <x v="0"/>
    <x v="0"/>
  </r>
  <r>
    <x v="4"/>
    <m/>
    <m/>
    <s v=""/>
    <x v="198"/>
    <s v="Nitrogen Generator"/>
    <m/>
    <x v="0"/>
    <m/>
    <m/>
    <m/>
    <s v="PCTC"/>
    <s v="#N/A "/>
    <s v="#N/A "/>
    <x v="0"/>
    <x v="0"/>
  </r>
  <r>
    <x v="4"/>
    <m/>
    <s v="GLIN-60031/26-1"/>
    <s v=""/>
    <x v="73"/>
    <s v="BOG Compressor Spares"/>
    <m/>
    <x v="0"/>
    <s v="Pending Approval"/>
    <d v="2026-03-30T00:00:00"/>
    <m/>
    <s v="PCTC"/>
    <s v="#N/A "/>
    <s v="#N/A "/>
    <x v="0"/>
    <x v="0"/>
  </r>
  <r>
    <x v="4"/>
    <m/>
    <m/>
    <s v=""/>
    <x v="199"/>
    <s v="Lubricants"/>
    <m/>
    <x v="0"/>
    <m/>
    <m/>
    <m/>
    <s v="PCTC"/>
    <s v="#N/A "/>
    <s v="#N/A "/>
    <x v="0"/>
    <x v="0"/>
  </r>
  <r>
    <x v="4"/>
    <m/>
    <m/>
    <s v=""/>
    <x v="87"/>
    <s v="IT Equipment - Computers (Lenovo)"/>
    <m/>
    <x v="0"/>
    <m/>
    <m/>
    <m/>
    <s v="PCTC"/>
    <s v="#N/A "/>
    <s v="#N/A "/>
    <x v="0"/>
    <x v="0"/>
  </r>
  <r>
    <x v="4"/>
    <m/>
    <m/>
    <s v=""/>
    <x v="200"/>
    <s v="BWTS Spares"/>
    <m/>
    <x v="0"/>
    <m/>
    <m/>
    <m/>
    <s v="PCTC"/>
    <s v="#N/A "/>
    <s v="#N/A "/>
    <x v="0"/>
    <x v="0"/>
  </r>
  <r>
    <x v="4"/>
    <m/>
    <m/>
    <s v=""/>
    <x v="201"/>
    <s v="Crew Welfare - Refrigerators"/>
    <m/>
    <x v="0"/>
    <m/>
    <m/>
    <m/>
    <s v="PCTC"/>
    <s v="#N/A "/>
    <s v="#N/A "/>
    <x v="0"/>
    <x v="0"/>
  </r>
  <r>
    <x v="4"/>
    <m/>
    <m/>
    <s v=""/>
    <x v="152"/>
    <s v="Breathing Air Compressor"/>
    <m/>
    <x v="0"/>
    <m/>
    <m/>
    <m/>
    <s v="PCTC"/>
    <s v="#N/A "/>
    <s v="#N/A "/>
    <x v="0"/>
    <x v="0"/>
  </r>
  <r>
    <x v="4"/>
    <m/>
    <m/>
    <s v=""/>
    <x v="125"/>
    <s v="Ozone Steriliser"/>
    <m/>
    <x v="0"/>
    <m/>
    <m/>
    <m/>
    <s v="PCTC"/>
    <s v="#N/A "/>
    <s v="#N/A "/>
    <x v="0"/>
    <x v="0"/>
  </r>
  <r>
    <x v="4"/>
    <m/>
    <m/>
    <s v=""/>
    <x v="202"/>
    <s v="Suez Light"/>
    <m/>
    <x v="0"/>
    <m/>
    <m/>
    <m/>
    <s v="PCTC"/>
    <s v="#N/A "/>
    <s v="#N/A "/>
    <x v="0"/>
    <x v="0"/>
  </r>
  <r>
    <x v="4"/>
    <m/>
    <m/>
    <s v=""/>
    <x v="126"/>
    <s v="RO-RO Equipment - Ramp Spares"/>
    <m/>
    <x v="0"/>
    <m/>
    <m/>
    <m/>
    <s v="PCTC"/>
    <s v="#N/A "/>
    <s v="#N/A "/>
    <x v="0"/>
    <x v="0"/>
  </r>
  <r>
    <x v="4"/>
    <m/>
    <m/>
    <s v=""/>
    <x v="127"/>
    <s v="Reefer Cables &amp; Plugs"/>
    <m/>
    <x v="0"/>
    <m/>
    <m/>
    <m/>
    <s v="PCTC"/>
    <s v="#N/A "/>
    <s v="#N/A "/>
    <x v="0"/>
    <x v="0"/>
  </r>
  <r>
    <x v="4"/>
    <m/>
    <m/>
    <s v=""/>
    <x v="203"/>
    <s v="Chain Blocks"/>
    <m/>
    <x v="0"/>
    <m/>
    <m/>
    <m/>
    <s v="PCTC"/>
    <s v="#N/A "/>
    <s v="#N/A "/>
    <x v="0"/>
    <x v="0"/>
  </r>
  <r>
    <x v="4"/>
    <m/>
    <m/>
    <s v=""/>
    <x v="92"/>
    <s v="Glycol"/>
    <m/>
    <x v="0"/>
    <m/>
    <m/>
    <m/>
    <s v="PCTC"/>
    <s v="#N/A "/>
    <s v="#N/A "/>
    <x v="0"/>
    <x v="0"/>
  </r>
  <r>
    <x v="4"/>
    <m/>
    <m/>
    <s v=""/>
    <x v="128"/>
    <s v="Gas Meters"/>
    <m/>
    <x v="0"/>
    <m/>
    <m/>
    <m/>
    <s v="PCTC"/>
    <s v="#N/A "/>
    <s v="#N/A "/>
    <x v="0"/>
    <x v="0"/>
  </r>
  <r>
    <x v="4"/>
    <m/>
    <m/>
    <s v=""/>
    <x v="104"/>
    <s v="Welding Equipment"/>
    <m/>
    <x v="0"/>
    <m/>
    <m/>
    <m/>
    <s v="PCTC"/>
    <s v="#N/A "/>
    <s v="#N/A "/>
    <x v="0"/>
    <x v="0"/>
  </r>
  <r>
    <x v="4"/>
    <m/>
    <s v="GLIN-60042/26"/>
    <s v=""/>
    <x v="103"/>
    <s v="Service Car &amp; Forklift"/>
    <m/>
    <x v="0"/>
    <s v="Pending Approval"/>
    <m/>
    <m/>
    <s v="PCTC"/>
    <s v="#N/A "/>
    <s v="#N/A "/>
    <x v="0"/>
    <x v="0"/>
  </r>
  <r>
    <x v="4"/>
    <m/>
    <m/>
    <s v=""/>
    <x v="129"/>
    <s v="Dual Fuel Tools"/>
    <m/>
    <x v="0"/>
    <m/>
    <m/>
    <m/>
    <s v="PCTC"/>
    <s v="#N/A "/>
    <s v="#N/A "/>
    <x v="0"/>
    <x v="0"/>
  </r>
  <r>
    <x v="4"/>
    <m/>
    <m/>
    <s v=""/>
    <x v="204"/>
    <s v="Dual Fuel Tools - Methanol"/>
    <m/>
    <x v="0"/>
    <m/>
    <m/>
    <m/>
    <s v="PCTC"/>
    <s v="#N/A "/>
    <s v="#N/A "/>
    <x v="0"/>
    <x v="0"/>
  </r>
  <r>
    <x v="4"/>
    <m/>
    <m/>
    <s v=""/>
    <x v="52"/>
    <s v="Publications &amp; Manuals"/>
    <m/>
    <x v="0"/>
    <m/>
    <m/>
    <m/>
    <s v="PCTC"/>
    <s v="#N/A "/>
    <s v="#N/A "/>
    <x v="0"/>
    <x v="0"/>
  </r>
  <r>
    <x v="4"/>
    <m/>
    <m/>
    <s v=""/>
    <x v="205"/>
    <s v="Thermal Stop"/>
    <m/>
    <x v="0"/>
    <m/>
    <m/>
    <m/>
    <s v="PCTC"/>
    <s v="#N/A "/>
    <s v="#N/A "/>
    <x v="0"/>
    <x v="0"/>
  </r>
  <r>
    <x v="4"/>
    <m/>
    <m/>
    <s v=""/>
    <x v="71"/>
    <s v="Alcometer"/>
    <m/>
    <x v="0"/>
    <m/>
    <m/>
    <m/>
    <s v="PCTC"/>
    <s v="#N/A "/>
    <s v="#N/A "/>
    <x v="0"/>
    <x v="0"/>
  </r>
  <r>
    <x v="4"/>
    <m/>
    <m/>
    <s v=""/>
    <x v="94"/>
    <s v="Laser Distance Measurer"/>
    <m/>
    <x v="0"/>
    <m/>
    <m/>
    <m/>
    <s v="PCTC"/>
    <s v="#N/A "/>
    <s v="#N/A "/>
    <x v="0"/>
    <x v="0"/>
  </r>
  <r>
    <x v="4"/>
    <m/>
    <m/>
    <s v=""/>
    <x v="132"/>
    <s v="EV Lance"/>
    <m/>
    <x v="0"/>
    <m/>
    <m/>
    <m/>
    <s v="PCTC"/>
    <s v="#N/A "/>
    <s v="#N/A "/>
    <x v="0"/>
    <x v="0"/>
  </r>
  <r>
    <x v="4"/>
    <m/>
    <m/>
    <s v=""/>
    <x v="133"/>
    <s v="Receptacles"/>
    <m/>
    <x v="0"/>
    <m/>
    <m/>
    <m/>
    <s v="PCTC"/>
    <s v="#N/A "/>
    <s v="#N/A "/>
    <x v="0"/>
    <x v="0"/>
  </r>
  <r>
    <x v="4"/>
    <m/>
    <m/>
    <s v=""/>
    <x v="30"/>
    <s v="Navigation - Captains Eye"/>
    <m/>
    <x v="0"/>
    <m/>
    <m/>
    <m/>
    <s v="PCTC"/>
    <s v="#N/A "/>
    <s v="#N/A "/>
    <x v="0"/>
    <x v="0"/>
  </r>
  <r>
    <x v="4"/>
    <m/>
    <m/>
    <s v=""/>
    <x v="95"/>
    <s v="Communications - VSAT (KVH)"/>
    <m/>
    <x v="0"/>
    <m/>
    <m/>
    <m/>
    <s v="PCTC"/>
    <s v="#N/A "/>
    <s v="#N/A "/>
    <x v="0"/>
    <x v="0"/>
  </r>
  <r>
    <x v="5"/>
    <m/>
    <s v="GLOG-60001/26-1"/>
    <s v=""/>
    <x v="10"/>
    <s v="IT Equipment - AST"/>
    <m/>
    <x v="0"/>
    <s v="Pending Delivery"/>
    <d v="2026-01-15T00:00:00"/>
    <m/>
    <s v="PCTC"/>
    <s v="#N/A "/>
    <s v="#N/A "/>
    <x v="0"/>
    <x v="0"/>
  </r>
  <r>
    <x v="5"/>
    <m/>
    <s v="GLOG-60002/26-1"/>
    <s v=""/>
    <x v="206"/>
    <s v="IT Equipment - AST"/>
    <m/>
    <x v="4"/>
    <s v="Pending Delivery"/>
    <d v="2026-01-26T00:00:00"/>
    <m/>
    <s v="PCTC"/>
    <s v="#N/A "/>
    <s v="#N/A "/>
    <x v="0"/>
    <x v="0"/>
  </r>
  <r>
    <x v="5"/>
    <m/>
    <s v="GLOG-60003/26"/>
    <s v=""/>
    <x v="207"/>
    <s v="IT Equipment - ITBP"/>
    <m/>
    <x v="4"/>
    <s v="Pending Delivery"/>
    <d v="2026-01-26T00:00:00"/>
    <m/>
    <s v="PCTC"/>
    <s v="#N/A "/>
    <s v="#N/A "/>
    <x v="0"/>
    <x v="0"/>
  </r>
  <r>
    <x v="5"/>
    <m/>
    <s v="GLOG-60005/26-1"/>
    <s v=""/>
    <x v="208"/>
    <s v="Safety Integration - SMiG"/>
    <m/>
    <x v="4"/>
    <s v="Pending Delivery"/>
    <d v="2026-01-27T00:00:00"/>
    <d v="2026-02-26T00:00:00"/>
    <s v="PCTC"/>
    <s v="#N/A "/>
    <s v="#N/A "/>
    <x v="0"/>
    <x v="0"/>
  </r>
  <r>
    <x v="5"/>
    <m/>
    <s v="GLOG-60006/26-1"/>
    <s v=""/>
    <x v="209"/>
    <s v="IT Equipment - Computers (Lenovo)"/>
    <m/>
    <x v="4"/>
    <s v="Pending Delivery"/>
    <d v="2026-01-27T00:00:00"/>
    <m/>
    <s v="PCTC"/>
    <s v="#N/A "/>
    <s v="#N/A "/>
    <x v="0"/>
    <x v="0"/>
  </r>
  <r>
    <x v="5"/>
    <m/>
    <s v="GLOG-60007/26-1"/>
    <s v=""/>
    <x v="210"/>
    <s v="GVT Electronics"/>
    <m/>
    <x v="0"/>
    <s v="Pending Delivery"/>
    <d v="2026-02-12T00:00:00"/>
    <m/>
    <s v="PCTC"/>
    <s v="#N/A "/>
    <s v="#N/A "/>
    <x v="0"/>
    <x v="0"/>
  </r>
  <r>
    <x v="5"/>
    <m/>
    <s v="GLOG-60008/26-1"/>
    <s v=""/>
    <x v="211"/>
    <s v="Navigation - HiNAS SVM"/>
    <m/>
    <x v="4"/>
    <s v="Pending Delivery"/>
    <d v="2026-02-11T00:00:00"/>
    <d v="2026-02-26T00:00:00"/>
    <s v="PCTC"/>
    <s v="#N/A "/>
    <s v="#N/A "/>
    <x v="0"/>
    <x v="0"/>
  </r>
  <r>
    <x v="5"/>
    <m/>
    <s v="GLOG-60009/26-1"/>
    <s v=""/>
    <x v="102"/>
    <s v="Communications - VLINK Cable"/>
    <m/>
    <x v="0"/>
    <s v="Pending Delivery"/>
    <d v="2026-03-03T00:00:00"/>
    <m/>
    <s v="PCTC"/>
    <s v="#N/A "/>
    <s v="#N/A "/>
    <x v="0"/>
    <x v="0"/>
  </r>
  <r>
    <x v="5"/>
    <m/>
    <s v="GLOG-60010/26-1"/>
    <s v=""/>
    <x v="7"/>
    <s v="IT Equipment - ITBP Cables"/>
    <m/>
    <x v="0"/>
    <s v="Pending Delivery"/>
    <d v="2026-02-17T00:00:00"/>
    <m/>
    <s v="PCTC"/>
    <s v="#N/A "/>
    <s v="#N/A "/>
    <x v="0"/>
    <x v="0"/>
  </r>
  <r>
    <x v="5"/>
    <m/>
    <s v="GLOG-60011/26-1"/>
    <s v=""/>
    <x v="144"/>
    <s v="IT Equipment - ITBP Additional Items"/>
    <m/>
    <x v="4"/>
    <s v="Pending Delivery"/>
    <d v="2026-02-11T00:00:00"/>
    <d v="2026-02-26T00:00:00"/>
    <s v="PCTC"/>
    <s v="#N/A "/>
    <s v="#N/A "/>
    <x v="0"/>
    <x v="0"/>
  </r>
  <r>
    <x v="5"/>
    <m/>
    <s v="GLOG-60012/26-1"/>
    <s v=""/>
    <x v="14"/>
    <s v="IT Equipment - ITBP Lab Kit"/>
    <m/>
    <x v="4"/>
    <s v="Pending Delivery"/>
    <d v="2026-02-18T00:00:00"/>
    <m/>
    <s v="PCTC"/>
    <s v="#N/A "/>
    <s v="#N/A "/>
    <x v="0"/>
    <x v="0"/>
  </r>
  <r>
    <x v="5"/>
    <m/>
    <s v="GLOG-60013/26-1"/>
    <s v=""/>
    <x v="8"/>
    <s v="IT Equipment - ITBP Additional Items"/>
    <m/>
    <x v="4"/>
    <s v="Pending Delivery"/>
    <d v="2026-02-19T00:00:00"/>
    <m/>
    <s v="PCTC"/>
    <s v="#N/A "/>
    <s v="#N/A "/>
    <x v="0"/>
    <x v="0"/>
  </r>
  <r>
    <x v="5"/>
    <m/>
    <s v="GLOG-60014/26-1"/>
    <s v=""/>
    <x v="16"/>
    <s v="Lubricants"/>
    <m/>
    <x v="4"/>
    <s v="Pending Delivery"/>
    <d v="2026-02-24T00:00:00"/>
    <m/>
    <s v="PCTC"/>
    <s v="#N/A "/>
    <s v="#N/A "/>
    <x v="0"/>
    <x v="0"/>
  </r>
  <r>
    <x v="5"/>
    <m/>
    <s v="GLOG-60016/26"/>
    <s v=""/>
    <x v="22"/>
    <s v="Gas Detection System"/>
    <m/>
    <x v="0"/>
    <s v="Pending Approval"/>
    <d v="2026-02-25T00:00:00"/>
    <m/>
    <s v="PCTC"/>
    <s v="#N/A "/>
    <s v="#N/A "/>
    <x v="0"/>
    <x v="0"/>
  </r>
  <r>
    <x v="5"/>
    <m/>
    <s v="GLOG-60017/26-1"/>
    <s v="Pre-Delivery"/>
    <x v="0"/>
    <s v="Fire Detection System"/>
    <m/>
    <x v="0"/>
    <s v="Pending Delivery"/>
    <m/>
    <m/>
    <s v="PCTC"/>
    <s v="#N/A "/>
    <s v="#N/A "/>
    <x v="0"/>
    <x v="0"/>
  </r>
  <r>
    <x v="5"/>
    <m/>
    <s v="GLOG-60018/26-1"/>
    <s v=""/>
    <x v="6"/>
    <s v="Oil Skimmers - Abanaki"/>
    <m/>
    <x v="0"/>
    <s v="Pending Delivery"/>
    <d v="2026-03-06T00:00:00"/>
    <m/>
    <s v="PCTC"/>
    <s v="#N/A "/>
    <s v="#N/A "/>
    <x v="0"/>
    <x v="0"/>
  </r>
  <r>
    <x v="5"/>
    <m/>
    <s v="GLOG-60019/26-1"/>
    <s v=""/>
    <x v="11"/>
    <s v="Oil Skimmers - Abanaki"/>
    <m/>
    <x v="0"/>
    <s v="Pending Delivery"/>
    <d v="2026-03-06T00:00:00"/>
    <m/>
    <s v="PCTC"/>
    <s v="#N/A "/>
    <s v="#N/A "/>
    <x v="0"/>
    <x v="0"/>
  </r>
  <r>
    <x v="5"/>
    <m/>
    <s v="GLOG-60020/26-1"/>
    <s v=""/>
    <x v="69"/>
    <s v="Garbage Compactor"/>
    <m/>
    <x v="0"/>
    <s v="Pending Delivery"/>
    <d v="2026-03-10T00:00:00"/>
    <m/>
    <s v="PCTC"/>
    <s v="#N/A "/>
    <s v="#N/A "/>
    <x v="0"/>
    <x v="0"/>
  </r>
  <r>
    <x v="5"/>
    <m/>
    <s v="GLOG-60020/26-1"/>
    <s v=""/>
    <x v="69"/>
    <s v="Cryogenic PPE"/>
    <m/>
    <x v="0"/>
    <s v="Pending Supplier Confirmation"/>
    <d v="2026-03-10T00:00:00"/>
    <m/>
    <s v="PCTC"/>
    <s v="#N/A "/>
    <s v="#N/A "/>
    <x v="0"/>
    <x v="0"/>
  </r>
  <r>
    <x v="5"/>
    <m/>
    <s v="GLOG-60021/26-1"/>
    <s v="Pre-Delivery"/>
    <x v="20"/>
    <s v="Sample Cooler"/>
    <m/>
    <x v="0"/>
    <s v="Pending Delivery"/>
    <d v="2026-03-13T00:00:00"/>
    <m/>
    <s v="PCTC"/>
    <s v="#N/A "/>
    <s v="#N/A "/>
    <x v="0"/>
    <x v="0"/>
  </r>
  <r>
    <x v="5"/>
    <m/>
    <s v="GLOG-60022/26-1"/>
    <s v="Pre-Delivery"/>
    <x v="17"/>
    <s v="BOG Compressor Spares"/>
    <m/>
    <x v="1"/>
    <s v="Pending Supplier Confirmation"/>
    <d v="2026-03-20T00:00:00"/>
    <m/>
    <s v="PCTC"/>
    <s v="#N/A "/>
    <s v="#N/A "/>
    <x v="0"/>
    <x v="0"/>
  </r>
  <r>
    <x v="5"/>
    <m/>
    <s v="GLOG-60024/26-1"/>
    <s v="Pre-Delivery"/>
    <x v="13"/>
    <s v="Thermal Camera (FLIR)"/>
    <m/>
    <x v="0"/>
    <s v="Pending Approval"/>
    <d v="2026-03-20T00:00:00"/>
    <m/>
    <s v="PCTC"/>
    <s v="#N/A "/>
    <s v="#N/A "/>
    <x v="0"/>
    <x v="0"/>
  </r>
  <r>
    <x v="5"/>
    <m/>
    <s v="GLOG-60025/26-1"/>
    <s v=""/>
    <x v="73"/>
    <s v="LNG Operation Manual"/>
    <m/>
    <x v="0"/>
    <s v="Pending Supplier Confirmation"/>
    <d v="2026-03-30T00:00:00"/>
    <m/>
    <s v="PCTC"/>
    <s v="#N/A "/>
    <s v="#N/A "/>
    <x v="0"/>
    <x v="0"/>
  </r>
  <r>
    <x v="5"/>
    <m/>
    <s v="GLOG-60026/26-1"/>
    <s v=""/>
    <x v="109"/>
    <s v="Citadel VHF/GPS/UHF System"/>
    <m/>
    <x v="1"/>
    <s v="Pending Delivery"/>
    <m/>
    <m/>
    <s v="PCTC"/>
    <s v="#N/A "/>
    <s v="#N/A "/>
    <x v="0"/>
    <x v="0"/>
  </r>
  <r>
    <x v="5"/>
    <m/>
    <s v="GLOG-60027/26-1"/>
    <s v=""/>
    <x v="3"/>
    <s v="RO-RO Equipment - Loose Fittings"/>
    <m/>
    <x v="1"/>
    <m/>
    <m/>
    <m/>
    <s v="PCTC"/>
    <s v="#N/A "/>
    <s v="#N/A "/>
    <x v="0"/>
    <x v="0"/>
  </r>
  <r>
    <x v="5"/>
    <m/>
    <m/>
    <s v=""/>
    <x v="88"/>
    <s v="Citadel VHF/GPS/UHF System"/>
    <m/>
    <x v="1"/>
    <m/>
    <m/>
    <m/>
    <s v="PCTC"/>
    <s v="#N/A "/>
    <s v="#N/A "/>
    <x v="0"/>
    <x v="0"/>
  </r>
  <r>
    <x v="5"/>
    <m/>
    <m/>
    <s v=""/>
    <x v="170"/>
    <s v="IMPA Stores - Stationery"/>
    <m/>
    <x v="1"/>
    <m/>
    <m/>
    <m/>
    <s v="PCTC"/>
    <s v="#N/A "/>
    <s v="#N/A "/>
    <x v="0"/>
    <x v="0"/>
  </r>
  <r>
    <x v="5"/>
    <m/>
    <m/>
    <s v=""/>
    <x v="45"/>
    <s v="IMPA Stores - SOPEP"/>
    <m/>
    <x v="1"/>
    <m/>
    <m/>
    <m/>
    <s v="PCTC"/>
    <s v="#N/A "/>
    <s v="#N/A "/>
    <x v="0"/>
    <x v="0"/>
  </r>
  <r>
    <x v="5"/>
    <m/>
    <m/>
    <s v=""/>
    <x v="101"/>
    <s v="IMPA Stores - Deck"/>
    <m/>
    <x v="1"/>
    <m/>
    <m/>
    <m/>
    <s v="PCTC"/>
    <s v="#N/A "/>
    <s v="#N/A "/>
    <x v="0"/>
    <x v="0"/>
  </r>
  <r>
    <x v="5"/>
    <m/>
    <m/>
    <s v=""/>
    <x v="122"/>
    <s v="IMPA Stores - Bridge"/>
    <m/>
    <x v="1"/>
    <m/>
    <m/>
    <m/>
    <s v="PCTC"/>
    <s v="#N/A "/>
    <s v="#N/A "/>
    <x v="0"/>
    <x v="0"/>
  </r>
  <r>
    <x v="5"/>
    <m/>
    <m/>
    <s v=""/>
    <x v="119"/>
    <s v="IMPA Stores - Gym"/>
    <m/>
    <x v="1"/>
    <m/>
    <m/>
    <m/>
    <s v="PCTC"/>
    <s v="#N/A "/>
    <s v="#N/A "/>
    <x v="0"/>
    <x v="0"/>
  </r>
  <r>
    <x v="5"/>
    <m/>
    <m/>
    <s v=""/>
    <x v="111"/>
    <s v="IMPA Stores - Crew"/>
    <m/>
    <x v="1"/>
    <m/>
    <m/>
    <m/>
    <s v="PCTC"/>
    <s v="#N/A "/>
    <s v="#N/A "/>
    <x v="0"/>
    <x v="0"/>
  </r>
  <r>
    <x v="5"/>
    <m/>
    <m/>
    <s v=""/>
    <x v="118"/>
    <s v="IMPA Stores - Firefighting Equipment"/>
    <m/>
    <x v="1"/>
    <m/>
    <m/>
    <m/>
    <s v="PCTC"/>
    <s v="#N/A "/>
    <s v="#N/A "/>
    <x v="0"/>
    <x v="0"/>
  </r>
  <r>
    <x v="5"/>
    <m/>
    <m/>
    <s v=""/>
    <x v="121"/>
    <s v="IMPA Stores - Company Stationery"/>
    <m/>
    <x v="1"/>
    <m/>
    <m/>
    <m/>
    <s v="PCTC"/>
    <s v="#N/A "/>
    <s v="#N/A "/>
    <x v="0"/>
    <x v="0"/>
  </r>
  <r>
    <x v="5"/>
    <m/>
    <m/>
    <s v=""/>
    <x v="114"/>
    <s v="IMPA Stores - BA Compressor"/>
    <m/>
    <x v="1"/>
    <m/>
    <m/>
    <m/>
    <s v="PCTC"/>
    <s v="#N/A "/>
    <s v="#N/A "/>
    <x v="0"/>
    <x v="0"/>
  </r>
  <r>
    <x v="5"/>
    <m/>
    <m/>
    <s v=""/>
    <x v="112"/>
    <s v="IMPA Stores - Accommodation"/>
    <m/>
    <x v="1"/>
    <m/>
    <m/>
    <m/>
    <s v="PCTC"/>
    <s v="#N/A "/>
    <s v="#N/A "/>
    <x v="0"/>
    <x v="0"/>
  </r>
  <r>
    <x v="5"/>
    <m/>
    <m/>
    <s v=""/>
    <x v="74"/>
    <s v="IMPA Stores - Galley"/>
    <m/>
    <x v="1"/>
    <m/>
    <m/>
    <m/>
    <s v="PCTC"/>
    <s v="#N/A "/>
    <s v="#N/A "/>
    <x v="0"/>
    <x v="0"/>
  </r>
  <r>
    <x v="5"/>
    <m/>
    <m/>
    <s v=""/>
    <x v="83"/>
    <s v="IMPA Stores - Engine"/>
    <m/>
    <x v="1"/>
    <m/>
    <m/>
    <m/>
    <s v="PCTC"/>
    <s v="#N/A "/>
    <s v="#N/A "/>
    <x v="0"/>
    <x v="0"/>
  </r>
  <r>
    <x v="5"/>
    <m/>
    <m/>
    <s v=""/>
    <x v="110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lectrical"/>
    <m/>
    <x v="1"/>
    <m/>
    <m/>
    <m/>
    <s v="PCTC"/>
    <s v="#N/A "/>
    <s v="#N/A "/>
    <x v="0"/>
    <x v="0"/>
  </r>
  <r>
    <x v="5"/>
    <m/>
    <m/>
    <s v=""/>
    <x v="76"/>
    <s v="IMPA Stores - General"/>
    <m/>
    <x v="1"/>
    <m/>
    <m/>
    <m/>
    <s v="PCTC"/>
    <s v="#N/A "/>
    <s v="#N/A "/>
    <x v="0"/>
    <x v="0"/>
  </r>
  <r>
    <x v="5"/>
    <m/>
    <m/>
    <s v=""/>
    <x v="120"/>
    <s v="Ultrasonic Cleaner"/>
    <m/>
    <x v="1"/>
    <m/>
    <m/>
    <m/>
    <s v="PCTC"/>
    <s v="#N/A "/>
    <s v="#N/A "/>
    <x v="0"/>
    <x v="0"/>
  </r>
  <r>
    <x v="5"/>
    <m/>
    <m/>
    <s v=""/>
    <x v="123"/>
    <s v="OPA 90 Kit"/>
    <m/>
    <x v="1"/>
    <m/>
    <m/>
    <m/>
    <s v="PCTC"/>
    <s v="#N/A "/>
    <s v="#N/A "/>
    <x v="0"/>
    <x v="0"/>
  </r>
  <r>
    <x v="5"/>
    <m/>
    <s v="GLOG-60028/26"/>
    <s v=""/>
    <x v="106"/>
    <s v="High Pressure Washer"/>
    <m/>
    <x v="1"/>
    <s v="Pending Approval"/>
    <m/>
    <m/>
    <s v="PCTC"/>
    <s v="#N/A "/>
    <s v="#N/A "/>
    <x v="0"/>
    <x v="0"/>
  </r>
  <r>
    <x v="5"/>
    <m/>
    <s v="GLOG-60029/26"/>
    <s v=""/>
    <x v="24"/>
    <s v="LOTO Stickers"/>
    <m/>
    <x v="1"/>
    <s v="Pending Approval"/>
    <m/>
    <m/>
    <s v="PCTC"/>
    <s v="#N/A "/>
    <s v="#N/A "/>
    <x v="0"/>
    <x v="0"/>
  </r>
  <r>
    <x v="5"/>
    <m/>
    <s v="GLOG-60030/26"/>
    <s v=""/>
    <x v="25"/>
    <s v="Steam Splash Suit"/>
    <m/>
    <x v="1"/>
    <s v="Pending Approval"/>
    <m/>
    <m/>
    <s v="PCTC"/>
    <s v="#N/A "/>
    <s v="#N/A "/>
    <x v="0"/>
    <x v="0"/>
  </r>
  <r>
    <x v="5"/>
    <m/>
    <m/>
    <s v=""/>
    <x v="172"/>
    <s v="Chemical Tags"/>
    <m/>
    <x v="1"/>
    <m/>
    <m/>
    <m/>
    <s v="PCTC"/>
    <s v="#N/A "/>
    <s v="#N/A "/>
    <x v="0"/>
    <x v="0"/>
  </r>
  <r>
    <x v="5"/>
    <m/>
    <s v="GLOG-60031/26"/>
    <s v=""/>
    <x v="173"/>
    <s v="Safe Lanes (Trelleborg)"/>
    <m/>
    <x v="1"/>
    <s v="Pending Approval"/>
    <m/>
    <m/>
    <s v="PCTC"/>
    <s v="#N/A "/>
    <s v="#N/A "/>
    <x v="0"/>
    <x v="0"/>
  </r>
  <r>
    <x v="5"/>
    <m/>
    <m/>
    <s v=""/>
    <x v="174"/>
    <s v="Seatab"/>
    <m/>
    <x v="1"/>
    <m/>
    <m/>
    <m/>
    <s v="PCTC"/>
    <s v="#N/A "/>
    <s v="#N/A "/>
    <x v="0"/>
    <x v="0"/>
  </r>
  <r>
    <x v="5"/>
    <m/>
    <m/>
    <s v=""/>
    <x v="175"/>
    <s v="Explosion Proof Camera"/>
    <m/>
    <x v="1"/>
    <m/>
    <m/>
    <m/>
    <s v="PCTC"/>
    <s v="#N/A "/>
    <s v="#N/A "/>
    <x v="0"/>
    <x v="0"/>
  </r>
  <r>
    <x v="5"/>
    <m/>
    <s v="GLOG-60023/26-1"/>
    <s v="Pre-Delivery"/>
    <x v="19"/>
    <s v="Temperature &amp; Pressure Calibrators"/>
    <m/>
    <x v="1"/>
    <m/>
    <s v="3/17/2026"/>
    <m/>
    <s v="PCTC"/>
    <s v="#N/A "/>
    <s v="#N/A "/>
    <x v="0"/>
    <x v="0"/>
  </r>
  <r>
    <x v="5"/>
    <m/>
    <m/>
    <s v=""/>
    <x v="176"/>
    <s v="VISWA Line Samplers"/>
    <m/>
    <x v="1"/>
    <m/>
    <m/>
    <m/>
    <s v="PCTC"/>
    <s v="#N/A "/>
    <s v="#N/A "/>
    <x v="0"/>
    <x v="0"/>
  </r>
  <r>
    <x v="5"/>
    <m/>
    <m/>
    <s v=""/>
    <x v="177"/>
    <s v="IMPA Stores - Stationery"/>
    <m/>
    <x v="1"/>
    <m/>
    <m/>
    <m/>
    <s v="PCTC"/>
    <s v="#N/A "/>
    <s v="#N/A "/>
    <x v="0"/>
    <x v="0"/>
  </r>
  <r>
    <x v="5"/>
    <m/>
    <m/>
    <s v=""/>
    <x v="178"/>
    <s v="HP Pump (Hydraulic Nuts)"/>
    <m/>
    <x v="1"/>
    <m/>
    <m/>
    <m/>
    <s v="PCTC"/>
    <s v="#N/A "/>
    <s v="#N/A "/>
    <x v="0"/>
    <x v="0"/>
  </r>
  <r>
    <x v="5"/>
    <m/>
    <m/>
    <s v=""/>
    <x v="179"/>
    <s v="Chemicals - General"/>
    <m/>
    <x v="1"/>
    <m/>
    <m/>
    <m/>
    <s v="PCTC"/>
    <s v="#N/A "/>
    <s v="#N/A "/>
    <x v="0"/>
    <x v="0"/>
  </r>
  <r>
    <x v="5"/>
    <m/>
    <m/>
    <s v=""/>
    <x v="180"/>
    <s v="Mooring Ropes"/>
    <m/>
    <x v="1"/>
    <m/>
    <m/>
    <m/>
    <s v="PCTC"/>
    <s v="#N/A "/>
    <s v="#N/A "/>
    <x v="0"/>
    <x v="0"/>
  </r>
  <r>
    <x v="5"/>
    <m/>
    <m/>
    <s v=""/>
    <x v="181"/>
    <s v="UHF Radio"/>
    <m/>
    <x v="1"/>
    <m/>
    <m/>
    <m/>
    <s v="PCTC"/>
    <s v="#N/A "/>
    <s v="#N/A "/>
    <x v="0"/>
    <x v="0"/>
  </r>
  <r>
    <x v="5"/>
    <m/>
    <m/>
    <s v=""/>
    <x v="39"/>
    <s v="Soot Treatment"/>
    <m/>
    <x v="1"/>
    <m/>
    <m/>
    <m/>
    <s v="PCTC"/>
    <s v="#N/A "/>
    <s v="#N/A "/>
    <x v="0"/>
    <x v="0"/>
  </r>
  <r>
    <x v="5"/>
    <m/>
    <m/>
    <s v=""/>
    <x v="182"/>
    <s v="Garbage Refrigerator"/>
    <m/>
    <x v="1"/>
    <m/>
    <m/>
    <m/>
    <s v="PCTC"/>
    <s v="#N/A "/>
    <s v="#N/A "/>
    <x v="0"/>
    <x v="0"/>
  </r>
  <r>
    <x v="5"/>
    <m/>
    <m/>
    <s v=""/>
    <x v="145"/>
    <s v="Dual Fuel Tools"/>
    <m/>
    <x v="1"/>
    <m/>
    <m/>
    <m/>
    <s v="PCTC"/>
    <s v="#N/A "/>
    <s v="#N/A "/>
    <x v="0"/>
    <x v="0"/>
  </r>
  <r>
    <x v="5"/>
    <m/>
    <m/>
    <s v=""/>
    <x v="115"/>
    <s v="UHF Antenna"/>
    <m/>
    <x v="1"/>
    <m/>
    <m/>
    <m/>
    <s v="PCTC"/>
    <s v="#N/A "/>
    <s v="#N/A "/>
    <x v="0"/>
    <x v="0"/>
  </r>
  <r>
    <x v="5"/>
    <m/>
    <m/>
    <s v=""/>
    <x v="52"/>
    <s v="Citadel VHF/GPS/UHF System"/>
    <m/>
    <x v="1"/>
    <m/>
    <m/>
    <m/>
    <s v="PCTC"/>
    <s v="#N/A "/>
    <s v="#N/A "/>
    <x v="0"/>
    <x v="0"/>
  </r>
  <r>
    <x v="5"/>
    <m/>
    <m/>
    <s v=""/>
    <x v="183"/>
    <s v="Stanchions"/>
    <m/>
    <x v="1"/>
    <m/>
    <m/>
    <m/>
    <s v="PCTC"/>
    <s v="#N/A "/>
    <s v="#N/A "/>
    <x v="0"/>
    <x v="0"/>
  </r>
  <r>
    <x v="5"/>
    <m/>
    <m/>
    <s v=""/>
    <x v="184"/>
    <s v="Engine Spares - Main Engine"/>
    <m/>
    <x v="1"/>
    <m/>
    <m/>
    <m/>
    <s v="PCTC"/>
    <s v="#N/A "/>
    <s v="#N/A "/>
    <x v="0"/>
    <x v="0"/>
  </r>
  <r>
    <x v="5"/>
    <m/>
    <m/>
    <s v=""/>
    <x v="134"/>
    <s v="Engine Spares - Auxiliary Engine"/>
    <m/>
    <x v="1"/>
    <m/>
    <m/>
    <m/>
    <s v="PCTC"/>
    <s v="#N/A "/>
    <s v="#N/A "/>
    <x v="0"/>
    <x v="0"/>
  </r>
  <r>
    <x v="5"/>
    <m/>
    <m/>
    <s v=""/>
    <x v="195"/>
    <s v="RO-RO Equipment - Ramp Spares"/>
    <m/>
    <x v="1"/>
    <m/>
    <m/>
    <m/>
    <s v="PCTC"/>
    <s v="#N/A "/>
    <s v="#N/A "/>
    <x v="0"/>
    <x v="0"/>
  </r>
  <r>
    <x v="5"/>
    <m/>
    <m/>
    <s v=""/>
    <x v="196"/>
    <s v="Engine Spares - Auxiliary Engine"/>
    <m/>
    <x v="1"/>
    <m/>
    <m/>
    <m/>
    <s v="PCTC"/>
    <s v="#N/A "/>
    <s v="#N/A "/>
    <x v="0"/>
    <x v="0"/>
  </r>
  <r>
    <x v="5"/>
    <m/>
    <m/>
    <s v=""/>
    <x v="197"/>
    <s v="Nitrogen Generator"/>
    <m/>
    <x v="1"/>
    <m/>
    <m/>
    <m/>
    <s v="PCTC"/>
    <s v="#N/A "/>
    <s v="#N/A "/>
    <x v="0"/>
    <x v="0"/>
  </r>
  <r>
    <x v="5"/>
    <m/>
    <m/>
    <s v=""/>
    <x v="198"/>
    <s v="HP Pump Skid"/>
    <m/>
    <x v="1"/>
    <m/>
    <m/>
    <m/>
    <s v="PCTC"/>
    <s v="#N/A "/>
    <s v="#N/A "/>
    <x v="0"/>
    <x v="0"/>
  </r>
  <r>
    <x v="5"/>
    <m/>
    <m/>
    <s v=""/>
    <x v="199"/>
    <s v="Lubricants"/>
    <m/>
    <x v="1"/>
    <m/>
    <m/>
    <m/>
    <s v="PCTC"/>
    <s v="#N/A "/>
    <s v="#N/A "/>
    <x v="0"/>
    <x v="0"/>
  </r>
  <r>
    <x v="5"/>
    <m/>
    <m/>
    <s v=""/>
    <x v="87"/>
    <s v="IT Equipment - Computers (Lenovo)"/>
    <m/>
    <x v="1"/>
    <m/>
    <m/>
    <m/>
    <s v="PCTC"/>
    <s v="#N/A "/>
    <s v="#N/A "/>
    <x v="0"/>
    <x v="0"/>
  </r>
  <r>
    <x v="5"/>
    <m/>
    <m/>
    <s v=""/>
    <x v="200"/>
    <s v="BWTS Spares"/>
    <m/>
    <x v="1"/>
    <m/>
    <m/>
    <m/>
    <s v="PCTC"/>
    <s v="#N/A "/>
    <s v="#N/A "/>
    <x v="0"/>
    <x v="0"/>
  </r>
  <r>
    <x v="5"/>
    <m/>
    <m/>
    <s v=""/>
    <x v="201"/>
    <s v="Crew Welfare - Refrigerators"/>
    <m/>
    <x v="1"/>
    <m/>
    <m/>
    <m/>
    <s v="PCTC"/>
    <s v="#N/A "/>
    <s v="#N/A "/>
    <x v="0"/>
    <x v="0"/>
  </r>
  <r>
    <x v="5"/>
    <m/>
    <m/>
    <s v=""/>
    <x v="152"/>
    <s v="Breathing Air Compressor"/>
    <m/>
    <x v="1"/>
    <m/>
    <m/>
    <m/>
    <s v="PCTC"/>
    <s v="#N/A "/>
    <s v="#N/A "/>
    <x v="0"/>
    <x v="0"/>
  </r>
  <r>
    <x v="5"/>
    <m/>
    <m/>
    <s v=""/>
    <x v="125"/>
    <s v="Ozone Steriliser"/>
    <m/>
    <x v="1"/>
    <m/>
    <m/>
    <m/>
    <s v="PCTC"/>
    <s v="#N/A "/>
    <s v="#N/A "/>
    <x v="0"/>
    <x v="0"/>
  </r>
  <r>
    <x v="5"/>
    <m/>
    <m/>
    <s v=""/>
    <x v="202"/>
    <s v="Suez Light"/>
    <m/>
    <x v="1"/>
    <m/>
    <m/>
    <m/>
    <s v="PCTC"/>
    <s v="#N/A "/>
    <s v="#N/A "/>
    <x v="0"/>
    <x v="0"/>
  </r>
  <r>
    <x v="5"/>
    <m/>
    <m/>
    <s v=""/>
    <x v="126"/>
    <s v="RO-RO Equipment - Ramp Spares"/>
    <m/>
    <x v="1"/>
    <m/>
    <m/>
    <m/>
    <s v="PCTC"/>
    <s v="#N/A "/>
    <s v="#N/A "/>
    <x v="0"/>
    <x v="0"/>
  </r>
  <r>
    <x v="5"/>
    <m/>
    <m/>
    <s v=""/>
    <x v="127"/>
    <s v="Reefer Cables &amp; Plugs"/>
    <m/>
    <x v="1"/>
    <m/>
    <m/>
    <m/>
    <s v="PCTC"/>
    <s v="#N/A "/>
    <s v="#N/A "/>
    <x v="0"/>
    <x v="0"/>
  </r>
  <r>
    <x v="5"/>
    <m/>
    <m/>
    <s v=""/>
    <x v="203"/>
    <s v="Chain Blocks"/>
    <m/>
    <x v="1"/>
    <m/>
    <m/>
    <m/>
    <s v="PCTC"/>
    <s v="#N/A "/>
    <s v="#N/A "/>
    <x v="0"/>
    <x v="0"/>
  </r>
  <r>
    <x v="5"/>
    <m/>
    <m/>
    <s v=""/>
    <x v="92"/>
    <s v="Glycol"/>
    <m/>
    <x v="1"/>
    <m/>
    <m/>
    <m/>
    <s v="PCTC"/>
    <s v="#N/A "/>
    <s v="#N/A "/>
    <x v="0"/>
    <x v="0"/>
  </r>
  <r>
    <x v="5"/>
    <m/>
    <m/>
    <s v=""/>
    <x v="128"/>
    <s v="Gas Meters"/>
    <m/>
    <x v="1"/>
    <m/>
    <m/>
    <m/>
    <s v="PCTC"/>
    <s v="#N/A "/>
    <s v="#N/A "/>
    <x v="0"/>
    <x v="0"/>
  </r>
  <r>
    <x v="5"/>
    <m/>
    <m/>
    <s v=""/>
    <x v="104"/>
    <s v="Welding Equipment"/>
    <m/>
    <x v="1"/>
    <m/>
    <m/>
    <m/>
    <s v="PCTC"/>
    <s v="#N/A "/>
    <s v="#N/A "/>
    <x v="0"/>
    <x v="0"/>
  </r>
  <r>
    <x v="5"/>
    <m/>
    <s v="GLOG-60035/26"/>
    <s v=""/>
    <x v="103"/>
    <s v="Service Car &amp; Forklift"/>
    <m/>
    <x v="1"/>
    <m/>
    <m/>
    <m/>
    <s v="PCTC"/>
    <s v="#N/A "/>
    <s v="#N/A "/>
    <x v="0"/>
    <x v="0"/>
  </r>
  <r>
    <x v="5"/>
    <m/>
    <m/>
    <s v=""/>
    <x v="129"/>
    <s v="Navigation - Captains Eye"/>
    <m/>
    <x v="1"/>
    <m/>
    <m/>
    <m/>
    <s v="PCTC"/>
    <s v="#N/A "/>
    <s v="#N/A "/>
    <x v="0"/>
    <x v="0"/>
  </r>
  <r>
    <x v="5"/>
    <m/>
    <m/>
    <s v=""/>
    <x v="204"/>
    <s v="Communications - VSAT (KVH)"/>
    <m/>
    <x v="1"/>
    <m/>
    <m/>
    <m/>
    <s v="PCTC"/>
    <s v="#N/A "/>
    <s v="#N/A "/>
    <x v="0"/>
    <x v="0"/>
  </r>
  <r>
    <x v="6"/>
    <m/>
    <s v="GLOY-60001/26-1"/>
    <s v=""/>
    <x v="10"/>
    <s v="IT Equipment - AST"/>
    <m/>
    <x v="0"/>
    <m/>
    <m/>
    <m/>
    <s v="PCTC"/>
    <s v="#N/A "/>
    <s v="#N/A "/>
    <x v="0"/>
    <x v="0"/>
  </r>
  <r>
    <x v="6"/>
    <m/>
    <s v="GLOY-60002/26-1"/>
    <s v=""/>
    <x v="212"/>
    <s v="IT Equipment - ITBP"/>
    <m/>
    <x v="0"/>
    <m/>
    <m/>
    <m/>
    <s v="PCTC"/>
    <s v="#N/A "/>
    <s v="#N/A "/>
    <x v="0"/>
    <x v="0"/>
  </r>
  <r>
    <x v="6"/>
    <m/>
    <s v="GLOY-60004/26-1"/>
    <s v=""/>
    <x v="213"/>
    <s v="Safety Integration - SMiG"/>
    <m/>
    <x v="0"/>
    <m/>
    <m/>
    <m/>
    <s v="PCTC"/>
    <s v="#N/A "/>
    <s v="#N/A "/>
    <x v="0"/>
    <x v="0"/>
  </r>
  <r>
    <x v="6"/>
    <m/>
    <s v="GLOY-60005/26-1"/>
    <s v=""/>
    <x v="214"/>
    <s v="IT Equipment - Computers (Lenovo)"/>
    <m/>
    <x v="0"/>
    <m/>
    <m/>
    <m/>
    <s v="PCTC"/>
    <s v="#N/A "/>
    <s v="#N/A "/>
    <x v="0"/>
    <x v="0"/>
  </r>
  <r>
    <x v="6"/>
    <m/>
    <s v="GLOY-60006/26-1"/>
    <s v=""/>
    <x v="215"/>
    <s v="GVT Electronics"/>
    <m/>
    <x v="0"/>
    <m/>
    <m/>
    <m/>
    <s v="PCTC"/>
    <s v="#N/A "/>
    <s v="#N/A "/>
    <x v="0"/>
    <x v="0"/>
  </r>
  <r>
    <x v="6"/>
    <m/>
    <s v="GLOY-60007/26-1"/>
    <s v=""/>
    <x v="216"/>
    <s v="Navigation - HiNAS SVM"/>
    <m/>
    <x v="0"/>
    <m/>
    <m/>
    <m/>
    <s v="PCTC"/>
    <s v="#N/A "/>
    <s v="#N/A "/>
    <x v="0"/>
    <x v="0"/>
  </r>
  <r>
    <x v="6"/>
    <m/>
    <s v="GLOY-60008/26-1"/>
    <s v=""/>
    <x v="102"/>
    <s v="Communications - VLINK Cable"/>
    <m/>
    <x v="0"/>
    <m/>
    <m/>
    <m/>
    <s v="PCTC"/>
    <s v="#N/A "/>
    <s v="#N/A "/>
    <x v="0"/>
    <x v="0"/>
  </r>
  <r>
    <x v="6"/>
    <m/>
    <s v="GLOY-60009/26-1"/>
    <s v=""/>
    <x v="7"/>
    <s v="IT Equipment - ITBP Cables"/>
    <m/>
    <x v="0"/>
    <m/>
    <m/>
    <m/>
    <s v="PCTC"/>
    <s v="#N/A "/>
    <s v="#N/A "/>
    <x v="0"/>
    <x v="0"/>
  </r>
  <r>
    <x v="6"/>
    <m/>
    <s v="GLOY-60010/26-1"/>
    <s v=""/>
    <x v="144"/>
    <s v="IT Equipment - ITBP Additional Items"/>
    <m/>
    <x v="0"/>
    <m/>
    <m/>
    <m/>
    <s v="PCTC"/>
    <s v="#N/A "/>
    <s v="#N/A "/>
    <x v="0"/>
    <x v="0"/>
  </r>
  <r>
    <x v="6"/>
    <m/>
    <s v="GLOY-60012/26-1"/>
    <s v=""/>
    <x v="14"/>
    <s v="IT Equipment - ITBP Lab Kit"/>
    <m/>
    <x v="0"/>
    <m/>
    <m/>
    <m/>
    <s v="PCTC"/>
    <s v="#N/A "/>
    <s v="#N/A "/>
    <x v="0"/>
    <x v="0"/>
  </r>
  <r>
    <x v="6"/>
    <m/>
    <s v="GLOY-60013/26-1"/>
    <s v=""/>
    <x v="8"/>
    <s v="IT Equipment - ITBP Additional Items"/>
    <m/>
    <x v="0"/>
    <m/>
    <m/>
    <m/>
    <s v="PCTC"/>
    <s v="#N/A "/>
    <s v="#N/A "/>
    <x v="0"/>
    <x v="0"/>
  </r>
  <r>
    <x v="6"/>
    <m/>
    <s v="GLOY-60014/26-1"/>
    <s v=""/>
    <x v="16"/>
    <s v="Lubricants"/>
    <m/>
    <x v="0"/>
    <m/>
    <m/>
    <m/>
    <s v="PCTC"/>
    <s v="#N/A "/>
    <s v="#N/A "/>
    <x v="0"/>
    <x v="0"/>
  </r>
  <r>
    <x v="6"/>
    <m/>
    <s v="GLOY-60016/26"/>
    <s v=""/>
    <x v="22"/>
    <s v="Gas Detection System"/>
    <m/>
    <x v="0"/>
    <m/>
    <m/>
    <m/>
    <s v="PCTC"/>
    <s v="#N/A "/>
    <s v="#N/A "/>
    <x v="0"/>
    <x v="0"/>
  </r>
  <r>
    <x v="6"/>
    <m/>
    <s v="GLOY-60017/26-1"/>
    <s v="Pre-Delivery"/>
    <x v="0"/>
    <s v="Fire Detection System"/>
    <m/>
    <x v="0"/>
    <m/>
    <m/>
    <m/>
    <s v="PCTC"/>
    <s v="#N/A "/>
    <s v="#N/A "/>
    <x v="0"/>
    <x v="0"/>
  </r>
  <r>
    <x v="6"/>
    <m/>
    <s v="GLOY-60018/26-1"/>
    <s v=""/>
    <x v="6"/>
    <s v="Oil Skimmers - Abanaki"/>
    <m/>
    <x v="0"/>
    <m/>
    <m/>
    <m/>
    <s v="PCTC"/>
    <s v="#N/A "/>
    <s v="#N/A "/>
    <x v="0"/>
    <x v="0"/>
  </r>
  <r>
    <x v="6"/>
    <m/>
    <s v="GLOY-60019/26-1"/>
    <s v=""/>
    <x v="11"/>
    <s v="Garbage Compactor"/>
    <m/>
    <x v="0"/>
    <m/>
    <m/>
    <m/>
    <s v="PCTC"/>
    <s v="#N/A "/>
    <s v="#N/A "/>
    <x v="0"/>
    <x v="0"/>
  </r>
  <r>
    <x v="6"/>
    <m/>
    <s v="GLOY-60020/26-1"/>
    <s v=""/>
    <x v="69"/>
    <s v="Cryogenic PPE"/>
    <m/>
    <x v="0"/>
    <m/>
    <m/>
    <m/>
    <s v="PCTC"/>
    <s v="#N/A "/>
    <s v="#N/A "/>
    <x v="0"/>
    <x v="0"/>
  </r>
  <r>
    <x v="6"/>
    <m/>
    <s v="GLOY-60021/26-1"/>
    <s v="Pre-Delivery"/>
    <x v="20"/>
    <s v="Sample Cooler"/>
    <m/>
    <x v="0"/>
    <m/>
    <m/>
    <m/>
    <s v="PCTC"/>
    <s v="#N/A "/>
    <s v="#N/A "/>
    <x v="0"/>
    <x v="0"/>
  </r>
  <r>
    <x v="6"/>
    <m/>
    <s v="GLOY-60022/26-1"/>
    <s v="Pre-Delivery"/>
    <x v="17"/>
    <s v="BOG Compressor Spares"/>
    <m/>
    <x v="0"/>
    <m/>
    <m/>
    <m/>
    <s v="PCTC"/>
    <s v="#N/A "/>
    <s v="#N/A "/>
    <x v="0"/>
    <x v="0"/>
  </r>
  <r>
    <x v="6"/>
    <m/>
    <s v="GLOY-60024/26-1"/>
    <s v="Pre-Delivery"/>
    <x v="13"/>
    <s v="Thermal Camera (FLIR)"/>
    <m/>
    <x v="0"/>
    <m/>
    <m/>
    <m/>
    <s v="PCTC"/>
    <s v="#N/A "/>
    <s v="#N/A "/>
    <x v="0"/>
    <x v="0"/>
  </r>
  <r>
    <x v="6"/>
    <m/>
    <s v="GLOY-60025/26-1"/>
    <s v=""/>
    <x v="73"/>
    <s v="LNG Operation Manual"/>
    <m/>
    <x v="0"/>
    <m/>
    <m/>
    <m/>
    <s v="PCTC"/>
    <s v="#N/A "/>
    <s v="#N/A "/>
    <x v="0"/>
    <x v="0"/>
  </r>
  <r>
    <x v="6"/>
    <m/>
    <s v="GLOY-60026/26-1"/>
    <s v=""/>
    <x v="109"/>
    <s v="IMPA Stores - Stationery"/>
    <m/>
    <x v="0"/>
    <m/>
    <m/>
    <m/>
    <s v="PCTC"/>
    <s v="#N/A "/>
    <s v="#N/A "/>
    <x v="0"/>
    <x v="0"/>
  </r>
  <r>
    <x v="6"/>
    <m/>
    <s v="GLOY-60027/26-1"/>
    <s v=""/>
    <x v="3"/>
    <s v="IMPA Stores - SOPEP"/>
    <m/>
    <x v="0"/>
    <m/>
    <m/>
    <m/>
    <s v="PCTC"/>
    <s v="#N/A "/>
    <s v="#N/A "/>
    <x v="0"/>
    <x v="0"/>
  </r>
  <r>
    <x v="6"/>
    <m/>
    <m/>
    <s v=""/>
    <x v="101"/>
    <s v="IMPA Stores - Deck"/>
    <m/>
    <x v="1"/>
    <m/>
    <m/>
    <m/>
    <s v="PCTC"/>
    <s v="#N/A "/>
    <s v="#N/A "/>
    <x v="0"/>
    <x v="0"/>
  </r>
  <r>
    <x v="6"/>
    <m/>
    <m/>
    <s v=""/>
    <x v="122"/>
    <s v="IMPA Stores - Bridge"/>
    <m/>
    <x v="1"/>
    <m/>
    <m/>
    <m/>
    <s v="PCTC"/>
    <s v="#N/A "/>
    <s v="#N/A "/>
    <x v="0"/>
    <x v="0"/>
  </r>
  <r>
    <x v="6"/>
    <m/>
    <m/>
    <s v=""/>
    <x v="119"/>
    <s v="IMPA Stores - Gym"/>
    <m/>
    <x v="1"/>
    <m/>
    <m/>
    <m/>
    <s v="PCTC"/>
    <s v="#N/A "/>
    <s v="#N/A "/>
    <x v="0"/>
    <x v="0"/>
  </r>
  <r>
    <x v="6"/>
    <m/>
    <m/>
    <s v=""/>
    <x v="111"/>
    <s v="IMPA Stores - Crew"/>
    <m/>
    <x v="1"/>
    <m/>
    <m/>
    <m/>
    <s v="PCTC"/>
    <s v="#N/A "/>
    <s v="#N/A "/>
    <x v="0"/>
    <x v="0"/>
  </r>
  <r>
    <x v="6"/>
    <m/>
    <m/>
    <s v=""/>
    <x v="118"/>
    <s v="IMPA Stores - Firefighting Equipment"/>
    <m/>
    <x v="1"/>
    <m/>
    <m/>
    <m/>
    <s v="PCTC"/>
    <s v="#N/A "/>
    <s v="#N/A "/>
    <x v="0"/>
    <x v="0"/>
  </r>
  <r>
    <x v="6"/>
    <m/>
    <m/>
    <s v=""/>
    <x v="121"/>
    <s v="IMPA Stores - Company Stationery"/>
    <m/>
    <x v="1"/>
    <m/>
    <m/>
    <m/>
    <s v="PCTC"/>
    <s v="#N/A "/>
    <s v="#N/A "/>
    <x v="0"/>
    <x v="0"/>
  </r>
  <r>
    <x v="6"/>
    <m/>
    <m/>
    <s v=""/>
    <x v="114"/>
    <s v="IMPA Stores - BA Compressor"/>
    <m/>
    <x v="1"/>
    <m/>
    <m/>
    <m/>
    <s v="PCTC"/>
    <s v="#N/A "/>
    <s v="#N/A "/>
    <x v="0"/>
    <x v="0"/>
  </r>
  <r>
    <x v="6"/>
    <m/>
    <m/>
    <s v=""/>
    <x v="112"/>
    <s v="IMPA Stores - Accommodation"/>
    <m/>
    <x v="1"/>
    <m/>
    <m/>
    <m/>
    <s v="PCTC"/>
    <s v="#N/A "/>
    <s v="#N/A "/>
    <x v="0"/>
    <x v="0"/>
  </r>
  <r>
    <x v="6"/>
    <m/>
    <m/>
    <s v=""/>
    <x v="74"/>
    <s v="IMPA Stores - Galley"/>
    <m/>
    <x v="1"/>
    <m/>
    <m/>
    <m/>
    <s v="PCTC"/>
    <s v="#N/A "/>
    <s v="#N/A "/>
    <x v="0"/>
    <x v="0"/>
  </r>
  <r>
    <x v="6"/>
    <m/>
    <m/>
    <s v=""/>
    <x v="83"/>
    <s v="IMPA Stores - Engine"/>
    <m/>
    <x v="1"/>
    <m/>
    <m/>
    <m/>
    <s v="PCTC"/>
    <s v="#N/A "/>
    <s v="#N/A "/>
    <x v="0"/>
    <x v="0"/>
  </r>
  <r>
    <x v="6"/>
    <m/>
    <m/>
    <s v=""/>
    <x v="110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lectrical"/>
    <m/>
    <x v="1"/>
    <m/>
    <m/>
    <m/>
    <s v="PCTC"/>
    <s v="#N/A "/>
    <s v="#N/A "/>
    <x v="0"/>
    <x v="0"/>
  </r>
  <r>
    <x v="6"/>
    <m/>
    <m/>
    <s v=""/>
    <x v="76"/>
    <s v="IMPA Stores - General"/>
    <m/>
    <x v="1"/>
    <m/>
    <m/>
    <m/>
    <s v="PCTC"/>
    <s v="#N/A "/>
    <s v="#N/A "/>
    <x v="0"/>
    <x v="0"/>
  </r>
  <r>
    <x v="6"/>
    <m/>
    <m/>
    <s v=""/>
    <x v="120"/>
    <s v="Ultrasonic Cleaner"/>
    <m/>
    <x v="1"/>
    <m/>
    <m/>
    <m/>
    <s v="PCTC"/>
    <s v="#N/A "/>
    <s v="#N/A "/>
    <x v="0"/>
    <x v="0"/>
  </r>
  <r>
    <x v="6"/>
    <m/>
    <m/>
    <s v=""/>
    <x v="123"/>
    <s v="OPA 90 Kit"/>
    <m/>
    <x v="1"/>
    <m/>
    <m/>
    <m/>
    <s v="PCTC"/>
    <s v="#N/A "/>
    <s v="#N/A "/>
    <x v="0"/>
    <x v="0"/>
  </r>
  <r>
    <x v="6"/>
    <m/>
    <s v="GLOY-60028/26"/>
    <s v=""/>
    <x v="106"/>
    <s v="High Pressure Washer"/>
    <m/>
    <x v="1"/>
    <m/>
    <m/>
    <m/>
    <s v="PCTC"/>
    <s v="#N/A "/>
    <s v="#N/A "/>
    <x v="0"/>
    <x v="0"/>
  </r>
  <r>
    <x v="6"/>
    <m/>
    <s v="GLOY-60029/26"/>
    <s v=""/>
    <x v="24"/>
    <s v="LOTO Stickers"/>
    <m/>
    <x v="1"/>
    <m/>
    <m/>
    <m/>
    <s v="PCTC"/>
    <s v="#N/A "/>
    <s v="#N/A "/>
    <x v="0"/>
    <x v="0"/>
  </r>
  <r>
    <x v="6"/>
    <m/>
    <s v="GLOY-60030/26"/>
    <s v=""/>
    <x v="25"/>
    <s v="Steam Splash Suit"/>
    <m/>
    <x v="1"/>
    <m/>
    <m/>
    <m/>
    <s v="PCTC"/>
    <s v="#N/A "/>
    <s v="#N/A "/>
    <x v="0"/>
    <x v="0"/>
  </r>
  <r>
    <x v="6"/>
    <m/>
    <m/>
    <s v=""/>
    <x v="172"/>
    <s v="Chemical Tags"/>
    <m/>
    <x v="1"/>
    <m/>
    <m/>
    <m/>
    <s v="PCTC"/>
    <s v="#N/A "/>
    <s v="#N/A "/>
    <x v="0"/>
    <x v="0"/>
  </r>
  <r>
    <x v="6"/>
    <m/>
    <s v="GLOY-60031/26"/>
    <s v=""/>
    <x v="173"/>
    <s v="Safe Lanes (Trelleborg)"/>
    <m/>
    <x v="1"/>
    <m/>
    <m/>
    <m/>
    <s v="PCTC"/>
    <s v="#N/A "/>
    <s v="#N/A "/>
    <x v="0"/>
    <x v="0"/>
  </r>
  <r>
    <x v="6"/>
    <m/>
    <m/>
    <s v=""/>
    <x v="174"/>
    <s v="Seatab"/>
    <m/>
    <x v="1"/>
    <m/>
    <m/>
    <m/>
    <s v="PCTC"/>
    <s v="#N/A "/>
    <s v="#N/A "/>
    <x v="0"/>
    <x v="0"/>
  </r>
  <r>
    <x v="6"/>
    <m/>
    <m/>
    <s v=""/>
    <x v="175"/>
    <s v="Explosion Proof Camera"/>
    <m/>
    <x v="1"/>
    <m/>
    <m/>
    <m/>
    <s v="PCTC"/>
    <s v="#N/A "/>
    <s v="#N/A "/>
    <x v="0"/>
    <x v="0"/>
  </r>
  <r>
    <x v="6"/>
    <m/>
    <s v="GLOY-60023/26-1"/>
    <s v="Pre-Delivery"/>
    <x v="19"/>
    <s v="Temperature &amp; Pressure Calibrators"/>
    <m/>
    <x v="1"/>
    <m/>
    <m/>
    <m/>
    <s v="PCTC"/>
    <s v="#N/A "/>
    <s v="#N/A "/>
    <x v="0"/>
    <x v="0"/>
  </r>
  <r>
    <x v="6"/>
    <m/>
    <m/>
    <s v=""/>
    <x v="176"/>
    <s v="VISWA Line Samplers"/>
    <m/>
    <x v="1"/>
    <m/>
    <m/>
    <m/>
    <s v="PCTC"/>
    <s v="#N/A "/>
    <s v="#N/A "/>
    <x v="0"/>
    <x v="0"/>
  </r>
  <r>
    <x v="6"/>
    <m/>
    <m/>
    <s v=""/>
    <x v="177"/>
    <s v="IMPA Stores - Stationery"/>
    <m/>
    <x v="1"/>
    <m/>
    <m/>
    <m/>
    <s v="PCTC"/>
    <s v="#N/A "/>
    <s v="#N/A "/>
    <x v="0"/>
    <x v="0"/>
  </r>
  <r>
    <x v="6"/>
    <m/>
    <m/>
    <s v=""/>
    <x v="178"/>
    <s v="HP Pump (Hydraulic Nuts)"/>
    <m/>
    <x v="1"/>
    <m/>
    <m/>
    <m/>
    <s v="PCTC"/>
    <s v="#N/A "/>
    <s v="#N/A "/>
    <x v="0"/>
    <x v="0"/>
  </r>
  <r>
    <x v="6"/>
    <m/>
    <m/>
    <s v=""/>
    <x v="179"/>
    <s v="Chemicals - General"/>
    <m/>
    <x v="1"/>
    <m/>
    <m/>
    <m/>
    <s v="PCTC"/>
    <s v="#N/A "/>
    <s v="#N/A "/>
    <x v="0"/>
    <x v="0"/>
  </r>
  <r>
    <x v="6"/>
    <m/>
    <m/>
    <s v=""/>
    <x v="180"/>
    <s v="Mooring Ropes"/>
    <m/>
    <x v="1"/>
    <m/>
    <m/>
    <m/>
    <s v="PCTC"/>
    <s v="#N/A "/>
    <s v="#N/A "/>
    <x v="0"/>
    <x v="0"/>
  </r>
  <r>
    <x v="6"/>
    <m/>
    <m/>
    <s v=""/>
    <x v="181"/>
    <s v="UHF Radio"/>
    <m/>
    <x v="1"/>
    <m/>
    <m/>
    <m/>
    <s v="PCTC"/>
    <s v="#N/A "/>
    <s v="#N/A "/>
    <x v="0"/>
    <x v="0"/>
  </r>
  <r>
    <x v="6"/>
    <m/>
    <m/>
    <s v=""/>
    <x v="39"/>
    <s v="Soot Treatment"/>
    <m/>
    <x v="1"/>
    <m/>
    <m/>
    <m/>
    <s v="PCTC"/>
    <s v="#N/A "/>
    <s v="#N/A "/>
    <x v="0"/>
    <x v="0"/>
  </r>
  <r>
    <x v="6"/>
    <m/>
    <m/>
    <s v=""/>
    <x v="182"/>
    <s v="Garbage Refrigerator"/>
    <m/>
    <x v="1"/>
    <m/>
    <m/>
    <m/>
    <s v="PCTC"/>
    <s v="#N/A "/>
    <s v="#N/A "/>
    <x v="0"/>
    <x v="0"/>
  </r>
  <r>
    <x v="6"/>
    <m/>
    <m/>
    <s v=""/>
    <x v="145"/>
    <s v="Dual Fuel Tools"/>
    <m/>
    <x v="1"/>
    <m/>
    <m/>
    <m/>
    <s v="PCTC"/>
    <s v="#N/A "/>
    <s v="#N/A "/>
    <x v="0"/>
    <x v="0"/>
  </r>
  <r>
    <x v="6"/>
    <m/>
    <m/>
    <s v=""/>
    <x v="115"/>
    <s v="UHF Antenna"/>
    <m/>
    <x v="1"/>
    <m/>
    <m/>
    <m/>
    <s v="PCTC"/>
    <s v="#N/A "/>
    <s v="#N/A "/>
    <x v="0"/>
    <x v="0"/>
  </r>
  <r>
    <x v="6"/>
    <m/>
    <m/>
    <s v=""/>
    <x v="52"/>
    <s v="Citadel VHF/GPS/UHF System"/>
    <m/>
    <x v="1"/>
    <m/>
    <m/>
    <m/>
    <s v="PCTC"/>
    <s v="#N/A "/>
    <s v="#N/A "/>
    <x v="0"/>
    <x v="0"/>
  </r>
  <r>
    <x v="6"/>
    <m/>
    <m/>
    <s v=""/>
    <x v="183"/>
    <s v="Stanchions"/>
    <m/>
    <x v="1"/>
    <m/>
    <m/>
    <m/>
    <s v="PCTC"/>
    <s v="#N/A "/>
    <s v="#N/A "/>
    <x v="0"/>
    <x v="0"/>
  </r>
  <r>
    <x v="6"/>
    <m/>
    <m/>
    <s v=""/>
    <x v="184"/>
    <s v="Engine Spares - Main Engine"/>
    <m/>
    <x v="1"/>
    <m/>
    <m/>
    <m/>
    <s v="PCTC"/>
    <s v="#N/A "/>
    <s v="#N/A "/>
    <x v="0"/>
    <x v="0"/>
  </r>
  <r>
    <x v="6"/>
    <m/>
    <m/>
    <s v=""/>
    <x v="134"/>
    <s v="Engine Spares - Auxiliary Engine"/>
    <m/>
    <x v="1"/>
    <m/>
    <m/>
    <m/>
    <s v="PCTC"/>
    <s v="#N/A "/>
    <s v="#N/A "/>
    <x v="0"/>
    <x v="0"/>
  </r>
  <r>
    <x v="6"/>
    <m/>
    <m/>
    <s v=""/>
    <x v="195"/>
    <s v="RO-RO Equipment - Ramp Spares"/>
    <m/>
    <x v="1"/>
    <m/>
    <m/>
    <m/>
    <s v="PCTC"/>
    <s v="#N/A "/>
    <s v="#N/A "/>
    <x v="0"/>
    <x v="0"/>
  </r>
  <r>
    <x v="6"/>
    <m/>
    <m/>
    <s v=""/>
    <x v="196"/>
    <s v="Engine Spares - Auxiliary Engine"/>
    <m/>
    <x v="1"/>
    <m/>
    <m/>
    <m/>
    <s v="PCTC"/>
    <s v="#N/A "/>
    <s v="#N/A "/>
    <x v="0"/>
    <x v="0"/>
  </r>
  <r>
    <x v="6"/>
    <m/>
    <m/>
    <s v=""/>
    <x v="197"/>
    <s v="Nitrogen Generator"/>
    <m/>
    <x v="1"/>
    <m/>
    <m/>
    <m/>
    <s v="PCTC"/>
    <s v="#N/A "/>
    <s v="#N/A "/>
    <x v="0"/>
    <x v="0"/>
  </r>
  <r>
    <x v="6"/>
    <m/>
    <m/>
    <s v=""/>
    <x v="198"/>
    <s v="Lubricants"/>
    <m/>
    <x v="1"/>
    <m/>
    <m/>
    <m/>
    <s v="PCTC"/>
    <s v="#N/A "/>
    <s v="#N/A "/>
    <x v="0"/>
    <x v="0"/>
  </r>
  <r>
    <x v="6"/>
    <m/>
    <m/>
    <s v=""/>
    <x v="199"/>
    <s v="Nitrogen Generator"/>
    <m/>
    <x v="1"/>
    <m/>
    <m/>
    <m/>
    <s v="PCTC"/>
    <s v="#N/A "/>
    <s v="#N/A "/>
    <x v="0"/>
    <x v="0"/>
  </r>
  <r>
    <x v="6"/>
    <m/>
    <m/>
    <s v=""/>
    <x v="200"/>
    <s v="BWTS Spares"/>
    <m/>
    <x v="1"/>
    <m/>
    <m/>
    <m/>
    <s v="PCTC"/>
    <s v="#N/A "/>
    <s v="#N/A "/>
    <x v="0"/>
    <x v="0"/>
  </r>
  <r>
    <x v="6"/>
    <m/>
    <m/>
    <s v=""/>
    <x v="201"/>
    <s v="Crew Welfare - Refrigerators"/>
    <m/>
    <x v="1"/>
    <m/>
    <m/>
    <m/>
    <s v="PCTC"/>
    <s v="#N/A "/>
    <s v="#N/A "/>
    <x v="0"/>
    <x v="0"/>
  </r>
  <r>
    <x v="6"/>
    <m/>
    <m/>
    <s v=""/>
    <x v="152"/>
    <s v="Breathing Air Compressor"/>
    <m/>
    <x v="1"/>
    <m/>
    <m/>
    <m/>
    <s v="PCTC"/>
    <s v="#N/A "/>
    <s v="#N/A "/>
    <x v="0"/>
    <x v="0"/>
  </r>
  <r>
    <x v="6"/>
    <m/>
    <m/>
    <s v=""/>
    <x v="125"/>
    <s v="Ozone Steriliser"/>
    <m/>
    <x v="1"/>
    <m/>
    <m/>
    <m/>
    <s v="PCTC"/>
    <s v="#N/A "/>
    <s v="#N/A "/>
    <x v="0"/>
    <x v="0"/>
  </r>
  <r>
    <x v="6"/>
    <m/>
    <m/>
    <s v=""/>
    <x v="202"/>
    <s v="Suez Light"/>
    <m/>
    <x v="1"/>
    <m/>
    <m/>
    <m/>
    <s v="PCTC"/>
    <s v="#N/A "/>
    <s v="#N/A "/>
    <x v="0"/>
    <x v="0"/>
  </r>
  <r>
    <x v="6"/>
    <m/>
    <m/>
    <s v=""/>
    <x v="126"/>
    <s v="RO-RO Equipment - Ramp Spares"/>
    <m/>
    <x v="1"/>
    <m/>
    <m/>
    <m/>
    <s v="PCTC"/>
    <s v="#N/A "/>
    <s v="#N/A "/>
    <x v="0"/>
    <x v="0"/>
  </r>
  <r>
    <x v="6"/>
    <m/>
    <m/>
    <s v=""/>
    <x v="127"/>
    <s v="Reefer Cables &amp; Plugs"/>
    <m/>
    <x v="1"/>
    <m/>
    <m/>
    <m/>
    <s v="PCTC"/>
    <s v="#N/A "/>
    <s v="#N/A "/>
    <x v="0"/>
    <x v="0"/>
  </r>
  <r>
    <x v="6"/>
    <m/>
    <m/>
    <s v=""/>
    <x v="203"/>
    <s v="Chain Blocks"/>
    <m/>
    <x v="1"/>
    <m/>
    <m/>
    <m/>
    <s v="PCTC"/>
    <s v="#N/A "/>
    <s v="#N/A "/>
    <x v="0"/>
    <x v="0"/>
  </r>
  <r>
    <x v="6"/>
    <m/>
    <m/>
    <s v=""/>
    <x v="92"/>
    <s v="Glycol"/>
    <m/>
    <x v="1"/>
    <m/>
    <m/>
    <m/>
    <s v="PCTC"/>
    <s v="#N/A "/>
    <s v="#N/A "/>
    <x v="0"/>
    <x v="0"/>
  </r>
  <r>
    <x v="6"/>
    <m/>
    <m/>
    <s v=""/>
    <x v="128"/>
    <s v="Gas Meters"/>
    <m/>
    <x v="1"/>
    <m/>
    <m/>
    <m/>
    <s v="PCTC"/>
    <s v="#N/A "/>
    <s v="#N/A "/>
    <x v="0"/>
    <x v="0"/>
  </r>
  <r>
    <x v="6"/>
    <m/>
    <m/>
    <s v=""/>
    <x v="104"/>
    <s v="Welding Equipment"/>
    <m/>
    <x v="1"/>
    <m/>
    <m/>
    <m/>
    <s v="PCTC"/>
    <s v="#N/A "/>
    <s v="#N/A "/>
    <x v="0"/>
    <x v="0"/>
  </r>
  <r>
    <x v="6"/>
    <m/>
    <s v="GLOY-60035/26"/>
    <s v=""/>
    <x v="103"/>
    <s v="Service Car &amp; Forklift"/>
    <m/>
    <x v="1"/>
    <m/>
    <m/>
    <m/>
    <s v="PCTC"/>
    <s v="#N/A "/>
    <s v="#N/A "/>
    <x v="0"/>
    <x v="0"/>
  </r>
  <r>
    <x v="6"/>
    <m/>
    <m/>
    <s v=""/>
    <x v="129"/>
    <s v="Welding Equipment"/>
    <m/>
    <x v="1"/>
    <m/>
    <m/>
    <m/>
    <s v="PCTC"/>
    <s v="#N/A "/>
    <s v="#N/A "/>
    <x v="0"/>
    <x v="0"/>
  </r>
  <r>
    <x v="6"/>
    <m/>
    <m/>
    <s v="`"/>
    <x v="204"/>
    <s v="Service Car &amp; Forklift"/>
    <m/>
    <x v="1"/>
    <m/>
    <m/>
    <m/>
    <s v="PCTC"/>
    <s v="#N/A "/>
    <s v="#N/A "/>
    <x v="0"/>
    <x v="0"/>
  </r>
  <r>
    <x v="6"/>
    <m/>
    <m/>
    <s v=""/>
    <x v="217"/>
    <s v="Sea Trial"/>
    <m/>
    <x v="1"/>
    <m/>
    <m/>
    <m/>
    <s v="PCTC"/>
    <s v="#N/A "/>
    <s v="#N/A "/>
    <x v="0"/>
    <x v="0"/>
  </r>
  <r>
    <x v="7"/>
    <m/>
    <s v="OCHA-MVSP-60007/26-1"/>
    <m/>
    <x v="218"/>
    <m/>
    <m/>
    <x v="7"/>
    <m/>
    <m/>
    <m/>
    <m/>
    <m/>
    <m/>
    <x v="37"/>
    <x v="3"/>
  </r>
  <r>
    <x v="7"/>
    <m/>
    <s v="OCHA-60009/26-1"/>
    <m/>
    <x v="219"/>
    <m/>
    <m/>
    <x v="7"/>
    <m/>
    <m/>
    <m/>
    <m/>
    <m/>
    <m/>
    <x v="37"/>
    <x v="3"/>
  </r>
  <r>
    <x v="7"/>
    <m/>
    <s v="OCHA-60016/26-1"/>
    <m/>
    <x v="0"/>
    <m/>
    <m/>
    <x v="7"/>
    <m/>
    <m/>
    <m/>
    <m/>
    <m/>
    <m/>
    <x v="37"/>
    <x v="3"/>
  </r>
  <r>
    <x v="7"/>
    <m/>
    <s v="OCHA-MVSP-60002/26-1"/>
    <m/>
    <x v="2"/>
    <m/>
    <m/>
    <x v="7"/>
    <m/>
    <m/>
    <m/>
    <m/>
    <m/>
    <m/>
    <x v="37"/>
    <x v="3"/>
  </r>
  <r>
    <x v="7"/>
    <m/>
    <s v="OCHA-60029/26-1"/>
    <m/>
    <x v="220"/>
    <m/>
    <m/>
    <x v="7"/>
    <m/>
    <m/>
    <m/>
    <m/>
    <m/>
    <m/>
    <x v="37"/>
    <x v="3"/>
  </r>
  <r>
    <x v="7"/>
    <m/>
    <s v="OCHA-MVSP-60003/26-1"/>
    <m/>
    <x v="105"/>
    <m/>
    <m/>
    <x v="7"/>
    <m/>
    <m/>
    <m/>
    <m/>
    <m/>
    <m/>
    <x v="37"/>
    <x v="3"/>
  </r>
  <r>
    <x v="7"/>
    <m/>
    <s v="OCHA-60021/26-1"/>
    <m/>
    <x v="19"/>
    <m/>
    <m/>
    <x v="7"/>
    <m/>
    <m/>
    <m/>
    <m/>
    <m/>
    <m/>
    <x v="37"/>
    <x v="3"/>
  </r>
  <r>
    <x v="7"/>
    <m/>
    <s v="OCHA-60023/26-1"/>
    <m/>
    <x v="221"/>
    <m/>
    <m/>
    <x v="7"/>
    <m/>
    <m/>
    <m/>
    <m/>
    <m/>
    <m/>
    <x v="37"/>
    <x v="3"/>
  </r>
  <r>
    <x v="7"/>
    <m/>
    <s v="OCHA-60013/26-1"/>
    <m/>
    <x v="8"/>
    <m/>
    <m/>
    <x v="7"/>
    <m/>
    <m/>
    <m/>
    <m/>
    <m/>
    <m/>
    <x v="37"/>
    <x v="3"/>
  </r>
  <r>
    <x v="7"/>
    <m/>
    <s v="OCHA-60012/26-1"/>
    <m/>
    <x v="222"/>
    <m/>
    <m/>
    <x v="7"/>
    <m/>
    <m/>
    <m/>
    <m/>
    <m/>
    <m/>
    <x v="37"/>
    <x v="3"/>
  </r>
  <r>
    <x v="7"/>
    <m/>
    <s v="OCHA-60025/26-1"/>
    <m/>
    <x v="223"/>
    <m/>
    <m/>
    <x v="7"/>
    <m/>
    <m/>
    <m/>
    <m/>
    <m/>
    <m/>
    <x v="37"/>
    <x v="3"/>
  </r>
  <r>
    <x v="7"/>
    <m/>
    <s v="OCHA-60002/26-1"/>
    <m/>
    <x v="224"/>
    <m/>
    <m/>
    <x v="7"/>
    <m/>
    <m/>
    <m/>
    <m/>
    <m/>
    <m/>
    <x v="37"/>
    <x v="3"/>
  </r>
  <r>
    <x v="7"/>
    <m/>
    <s v="OCHA-60004/26-1"/>
    <m/>
    <x v="225"/>
    <m/>
    <m/>
    <x v="7"/>
    <m/>
    <m/>
    <m/>
    <m/>
    <m/>
    <m/>
    <x v="37"/>
    <x v="3"/>
  </r>
  <r>
    <x v="7"/>
    <m/>
    <s v="OCHA-60015/26-1"/>
    <m/>
    <x v="226"/>
    <m/>
    <m/>
    <x v="7"/>
    <m/>
    <m/>
    <m/>
    <m/>
    <m/>
    <m/>
    <x v="37"/>
    <x v="3"/>
  </r>
  <r>
    <x v="7"/>
    <m/>
    <s v="OCHA-60014/26-1"/>
    <m/>
    <x v="16"/>
    <m/>
    <m/>
    <x v="7"/>
    <m/>
    <m/>
    <m/>
    <m/>
    <m/>
    <m/>
    <x v="37"/>
    <x v="3"/>
  </r>
  <r>
    <x v="7"/>
    <m/>
    <s v="OCHA-60020/26-1"/>
    <m/>
    <x v="20"/>
    <m/>
    <m/>
    <x v="7"/>
    <m/>
    <m/>
    <m/>
    <m/>
    <m/>
    <m/>
    <x v="37"/>
    <x v="3"/>
  </r>
  <r>
    <x v="7"/>
    <m/>
    <s v="OCHA-60010/26-1"/>
    <m/>
    <x v="227"/>
    <m/>
    <m/>
    <x v="7"/>
    <m/>
    <m/>
    <m/>
    <m/>
    <m/>
    <m/>
    <x v="37"/>
    <x v="3"/>
  </r>
  <r>
    <x v="7"/>
    <m/>
    <s v="OCHA-60002/25-1"/>
    <m/>
    <x v="228"/>
    <m/>
    <m/>
    <x v="7"/>
    <m/>
    <m/>
    <m/>
    <m/>
    <m/>
    <m/>
    <x v="37"/>
    <x v="3"/>
  </r>
  <r>
    <x v="7"/>
    <m/>
    <s v="OCHA-60031/26-1"/>
    <m/>
    <x v="229"/>
    <m/>
    <m/>
    <x v="7"/>
    <m/>
    <m/>
    <m/>
    <m/>
    <m/>
    <m/>
    <x v="37"/>
    <x v="3"/>
  </r>
  <r>
    <x v="7"/>
    <m/>
    <s v="OCHA-60001/26-1"/>
    <m/>
    <x v="230"/>
    <m/>
    <m/>
    <x v="7"/>
    <m/>
    <m/>
    <m/>
    <m/>
    <m/>
    <m/>
    <x v="37"/>
    <x v="3"/>
  </r>
  <r>
    <x v="7"/>
    <m/>
    <s v="OCHA-60017/26-1"/>
    <m/>
    <x v="231"/>
    <m/>
    <m/>
    <x v="7"/>
    <m/>
    <m/>
    <m/>
    <m/>
    <m/>
    <m/>
    <x v="37"/>
    <x v="3"/>
  </r>
  <r>
    <x v="7"/>
    <m/>
    <s v="OCHA-60024/26-1"/>
    <m/>
    <x v="232"/>
    <m/>
    <m/>
    <x v="7"/>
    <m/>
    <m/>
    <m/>
    <m/>
    <m/>
    <m/>
    <x v="37"/>
    <x v="3"/>
  </r>
  <r>
    <x v="7"/>
    <m/>
    <s v="OCHA-60011/26-1"/>
    <m/>
    <x v="14"/>
    <m/>
    <m/>
    <x v="7"/>
    <m/>
    <m/>
    <m/>
    <m/>
    <m/>
    <m/>
    <x v="37"/>
    <x v="3"/>
  </r>
  <r>
    <x v="7"/>
    <m/>
    <s v="OCHA-60003/26-1"/>
    <m/>
    <x v="143"/>
    <m/>
    <m/>
    <x v="7"/>
    <m/>
    <m/>
    <m/>
    <m/>
    <m/>
    <m/>
    <x v="37"/>
    <x v="3"/>
  </r>
  <r>
    <x v="7"/>
    <m/>
    <s v="OCHA-60028/26"/>
    <m/>
    <x v="233"/>
    <m/>
    <m/>
    <x v="7"/>
    <m/>
    <m/>
    <m/>
    <m/>
    <m/>
    <m/>
    <x v="37"/>
    <x v="3"/>
  </r>
  <r>
    <x v="7"/>
    <m/>
    <s v="OCHA-60006/26"/>
    <m/>
    <x v="234"/>
    <m/>
    <m/>
    <x v="7"/>
    <m/>
    <m/>
    <m/>
    <m/>
    <m/>
    <m/>
    <x v="37"/>
    <x v="3"/>
  </r>
  <r>
    <x v="7"/>
    <m/>
    <s v="OCHA-60018/26"/>
    <m/>
    <x v="235"/>
    <m/>
    <m/>
    <x v="7"/>
    <m/>
    <m/>
    <m/>
    <m/>
    <m/>
    <m/>
    <x v="37"/>
    <x v="3"/>
  </r>
  <r>
    <x v="7"/>
    <m/>
    <s v="OCHA-60008/26"/>
    <m/>
    <x v="236"/>
    <m/>
    <m/>
    <x v="7"/>
    <m/>
    <m/>
    <m/>
    <m/>
    <m/>
    <m/>
    <x v="37"/>
    <x v="3"/>
  </r>
  <r>
    <x v="7"/>
    <m/>
    <m/>
    <m/>
    <x v="100"/>
    <m/>
    <m/>
    <x v="7"/>
    <m/>
    <m/>
    <m/>
    <m/>
    <m/>
    <m/>
    <x v="37"/>
    <x v="3"/>
  </r>
  <r>
    <x v="7"/>
    <m/>
    <m/>
    <m/>
    <x v="51"/>
    <m/>
    <m/>
    <x v="7"/>
    <m/>
    <m/>
    <m/>
    <m/>
    <m/>
    <m/>
    <x v="37"/>
    <x v="3"/>
  </r>
  <r>
    <x v="7"/>
    <m/>
    <m/>
    <m/>
    <x v="72"/>
    <m/>
    <m/>
    <x v="7"/>
    <m/>
    <m/>
    <m/>
    <m/>
    <m/>
    <m/>
    <x v="37"/>
    <x v="3"/>
  </r>
  <r>
    <x v="7"/>
    <m/>
    <m/>
    <m/>
    <x v="47"/>
    <m/>
    <m/>
    <x v="7"/>
    <m/>
    <m/>
    <m/>
    <m/>
    <m/>
    <m/>
    <x v="37"/>
    <x v="3"/>
  </r>
  <r>
    <x v="7"/>
    <m/>
    <m/>
    <m/>
    <x v="81"/>
    <m/>
    <m/>
    <x v="7"/>
    <m/>
    <m/>
    <m/>
    <m/>
    <m/>
    <m/>
    <x v="37"/>
    <x v="3"/>
  </r>
  <r>
    <x v="7"/>
    <m/>
    <m/>
    <m/>
    <x v="70"/>
    <m/>
    <m/>
    <x v="7"/>
    <m/>
    <m/>
    <m/>
    <m/>
    <m/>
    <m/>
    <x v="37"/>
    <x v="3"/>
  </r>
  <r>
    <x v="7"/>
    <m/>
    <m/>
    <m/>
    <x v="80"/>
    <m/>
    <m/>
    <x v="7"/>
    <m/>
    <m/>
    <m/>
    <m/>
    <m/>
    <m/>
    <x v="37"/>
    <x v="3"/>
  </r>
  <r>
    <x v="7"/>
    <m/>
    <m/>
    <m/>
    <x v="146"/>
    <m/>
    <m/>
    <x v="7"/>
    <m/>
    <m/>
    <m/>
    <m/>
    <m/>
    <m/>
    <x v="37"/>
    <x v="3"/>
  </r>
  <r>
    <x v="7"/>
    <m/>
    <m/>
    <m/>
    <x v="148"/>
    <m/>
    <m/>
    <x v="7"/>
    <m/>
    <m/>
    <m/>
    <m/>
    <m/>
    <m/>
    <x v="37"/>
    <x v="3"/>
  </r>
  <r>
    <x v="7"/>
    <m/>
    <m/>
    <m/>
    <x v="149"/>
    <m/>
    <m/>
    <x v="7"/>
    <m/>
    <m/>
    <m/>
    <m/>
    <m/>
    <m/>
    <x v="37"/>
    <x v="3"/>
  </r>
  <r>
    <x v="7"/>
    <m/>
    <m/>
    <m/>
    <x v="150"/>
    <m/>
    <m/>
    <x v="7"/>
    <m/>
    <m/>
    <m/>
    <m/>
    <m/>
    <m/>
    <x v="37"/>
    <x v="3"/>
  </r>
  <r>
    <x v="7"/>
    <m/>
    <m/>
    <m/>
    <x v="151"/>
    <m/>
    <m/>
    <x v="7"/>
    <m/>
    <m/>
    <m/>
    <m/>
    <m/>
    <m/>
    <x v="37"/>
    <x v="3"/>
  </r>
  <r>
    <x v="7"/>
    <m/>
    <m/>
    <m/>
    <x v="13"/>
    <m/>
    <m/>
    <x v="7"/>
    <m/>
    <m/>
    <m/>
    <m/>
    <m/>
    <m/>
    <x v="37"/>
    <x v="3"/>
  </r>
  <r>
    <x v="7"/>
    <m/>
    <m/>
    <m/>
    <x v="39"/>
    <m/>
    <m/>
    <x v="7"/>
    <m/>
    <m/>
    <m/>
    <m/>
    <m/>
    <m/>
    <x v="37"/>
    <x v="3"/>
  </r>
  <r>
    <x v="7"/>
    <m/>
    <m/>
    <m/>
    <x v="237"/>
    <m/>
    <m/>
    <x v="7"/>
    <m/>
    <m/>
    <m/>
    <m/>
    <m/>
    <m/>
    <x v="37"/>
    <x v="3"/>
  </r>
  <r>
    <x v="7"/>
    <m/>
    <m/>
    <m/>
    <x v="238"/>
    <m/>
    <m/>
    <x v="7"/>
    <m/>
    <m/>
    <m/>
    <m/>
    <m/>
    <m/>
    <x v="37"/>
    <x v="3"/>
  </r>
  <r>
    <x v="7"/>
    <m/>
    <m/>
    <m/>
    <x v="239"/>
    <m/>
    <m/>
    <x v="7"/>
    <m/>
    <m/>
    <m/>
    <m/>
    <m/>
    <m/>
    <x v="37"/>
    <x v="3"/>
  </r>
  <r>
    <x v="7"/>
    <m/>
    <m/>
    <m/>
    <x v="11"/>
    <m/>
    <m/>
    <x v="7"/>
    <m/>
    <m/>
    <m/>
    <m/>
    <m/>
    <m/>
    <x v="37"/>
    <x v="3"/>
  </r>
  <r>
    <x v="7"/>
    <m/>
    <m/>
    <m/>
    <x v="6"/>
    <m/>
    <m/>
    <x v="7"/>
    <m/>
    <m/>
    <m/>
    <m/>
    <m/>
    <m/>
    <x v="37"/>
    <x v="3"/>
  </r>
  <r>
    <x v="7"/>
    <m/>
    <m/>
    <m/>
    <x v="102"/>
    <m/>
    <m/>
    <x v="7"/>
    <m/>
    <m/>
    <m/>
    <m/>
    <m/>
    <m/>
    <x v="37"/>
    <x v="3"/>
  </r>
  <r>
    <x v="7"/>
    <m/>
    <m/>
    <m/>
    <x v="240"/>
    <m/>
    <m/>
    <x v="7"/>
    <m/>
    <m/>
    <m/>
    <m/>
    <m/>
    <m/>
    <x v="37"/>
    <x v="3"/>
  </r>
  <r>
    <x v="7"/>
    <m/>
    <m/>
    <m/>
    <x v="10"/>
    <m/>
    <m/>
    <x v="7"/>
    <m/>
    <m/>
    <m/>
    <m/>
    <m/>
    <m/>
    <x v="37"/>
    <x v="3"/>
  </r>
  <r>
    <x v="7"/>
    <m/>
    <m/>
    <m/>
    <x v="54"/>
    <m/>
    <m/>
    <x v="7"/>
    <m/>
    <m/>
    <m/>
    <m/>
    <m/>
    <m/>
    <x v="37"/>
    <x v="3"/>
  </r>
  <r>
    <x v="7"/>
    <m/>
    <m/>
    <m/>
    <x v="88"/>
    <m/>
    <m/>
    <x v="7"/>
    <m/>
    <m/>
    <m/>
    <m/>
    <m/>
    <m/>
    <x v="37"/>
    <x v="3"/>
  </r>
  <r>
    <x v="7"/>
    <m/>
    <m/>
    <m/>
    <x v="108"/>
    <m/>
    <m/>
    <x v="7"/>
    <m/>
    <m/>
    <m/>
    <m/>
    <m/>
    <m/>
    <x v="37"/>
    <x v="3"/>
  </r>
  <r>
    <x v="7"/>
    <m/>
    <m/>
    <m/>
    <x v="89"/>
    <m/>
    <m/>
    <x v="7"/>
    <m/>
    <m/>
    <m/>
    <m/>
    <m/>
    <m/>
    <x v="37"/>
    <x v="3"/>
  </r>
  <r>
    <x v="7"/>
    <m/>
    <m/>
    <m/>
    <x v="46"/>
    <m/>
    <m/>
    <x v="7"/>
    <m/>
    <m/>
    <m/>
    <m/>
    <m/>
    <m/>
    <x v="37"/>
    <x v="3"/>
  </r>
  <r>
    <x v="7"/>
    <m/>
    <m/>
    <m/>
    <x v="90"/>
    <m/>
    <m/>
    <x v="7"/>
    <m/>
    <m/>
    <m/>
    <m/>
    <m/>
    <m/>
    <x v="37"/>
    <x v="3"/>
  </r>
  <r>
    <x v="7"/>
    <m/>
    <m/>
    <m/>
    <x v="91"/>
    <m/>
    <m/>
    <x v="7"/>
    <m/>
    <m/>
    <m/>
    <m/>
    <m/>
    <m/>
    <x v="37"/>
    <x v="3"/>
  </r>
  <r>
    <x v="7"/>
    <m/>
    <m/>
    <m/>
    <x v="55"/>
    <m/>
    <m/>
    <x v="7"/>
    <m/>
    <m/>
    <m/>
    <m/>
    <m/>
    <m/>
    <x v="37"/>
    <x v="3"/>
  </r>
  <r>
    <x v="7"/>
    <m/>
    <m/>
    <m/>
    <x v="92"/>
    <m/>
    <m/>
    <x v="7"/>
    <m/>
    <m/>
    <m/>
    <m/>
    <m/>
    <m/>
    <x v="37"/>
    <x v="3"/>
  </r>
  <r>
    <x v="7"/>
    <m/>
    <m/>
    <m/>
    <x v="104"/>
    <m/>
    <m/>
    <x v="7"/>
    <m/>
    <m/>
    <m/>
    <m/>
    <m/>
    <m/>
    <x v="37"/>
    <x v="3"/>
  </r>
  <r>
    <x v="7"/>
    <m/>
    <m/>
    <m/>
    <x v="103"/>
    <m/>
    <m/>
    <x v="7"/>
    <m/>
    <m/>
    <m/>
    <m/>
    <m/>
    <m/>
    <x v="37"/>
    <x v="3"/>
  </r>
  <r>
    <x v="7"/>
    <m/>
    <m/>
    <m/>
    <x v="94"/>
    <m/>
    <m/>
    <x v="7"/>
    <m/>
    <m/>
    <m/>
    <m/>
    <m/>
    <m/>
    <x v="37"/>
    <x v="3"/>
  </r>
  <r>
    <x v="7"/>
    <m/>
    <m/>
    <m/>
    <x v="30"/>
    <m/>
    <m/>
    <x v="7"/>
    <m/>
    <m/>
    <m/>
    <m/>
    <m/>
    <m/>
    <x v="37"/>
    <x v="3"/>
  </r>
  <r>
    <x v="7"/>
    <m/>
    <m/>
    <m/>
    <x v="95"/>
    <m/>
    <m/>
    <x v="7"/>
    <m/>
    <m/>
    <m/>
    <m/>
    <m/>
    <m/>
    <x v="37"/>
    <x v="3"/>
  </r>
  <r>
    <x v="7"/>
    <m/>
    <m/>
    <m/>
    <x v="96"/>
    <m/>
    <m/>
    <x v="7"/>
    <m/>
    <m/>
    <m/>
    <m/>
    <m/>
    <m/>
    <x v="37"/>
    <x v="3"/>
  </r>
  <r>
    <x v="7"/>
    <m/>
    <m/>
    <m/>
    <x v="74"/>
    <m/>
    <m/>
    <x v="7"/>
    <m/>
    <m/>
    <m/>
    <m/>
    <m/>
    <m/>
    <x v="37"/>
    <x v="3"/>
  </r>
  <r>
    <x v="7"/>
    <m/>
    <m/>
    <m/>
    <x v="109"/>
    <m/>
    <m/>
    <x v="7"/>
    <m/>
    <m/>
    <m/>
    <m/>
    <m/>
    <m/>
    <x v="37"/>
    <x v="3"/>
  </r>
  <r>
    <x v="7"/>
    <m/>
    <s v="OCHA-60032/26"/>
    <m/>
    <x v="82"/>
    <m/>
    <m/>
    <x v="7"/>
    <m/>
    <m/>
    <m/>
    <m/>
    <m/>
    <m/>
    <x v="37"/>
    <x v="3"/>
  </r>
  <r>
    <x v="7"/>
    <m/>
    <m/>
    <m/>
    <x v="106"/>
    <m/>
    <m/>
    <x v="7"/>
    <m/>
    <m/>
    <m/>
    <m/>
    <m/>
    <m/>
    <x v="37"/>
    <x v="3"/>
  </r>
  <r>
    <x v="7"/>
    <m/>
    <m/>
    <m/>
    <x v="241"/>
    <m/>
    <m/>
    <x v="7"/>
    <m/>
    <m/>
    <m/>
    <m/>
    <m/>
    <m/>
    <x v="37"/>
    <x v="3"/>
  </r>
  <r>
    <x v="7"/>
    <m/>
    <m/>
    <m/>
    <x v="25"/>
    <m/>
    <m/>
    <x v="7"/>
    <m/>
    <m/>
    <m/>
    <m/>
    <m/>
    <m/>
    <x v="37"/>
    <x v="3"/>
  </r>
  <r>
    <x v="7"/>
    <m/>
    <m/>
    <m/>
    <x v="52"/>
    <m/>
    <m/>
    <x v="7"/>
    <m/>
    <m/>
    <m/>
    <m/>
    <m/>
    <m/>
    <x v="37"/>
    <x v="3"/>
  </r>
  <r>
    <x v="7"/>
    <m/>
    <s v="OCHA-60033/26"/>
    <m/>
    <x v="113"/>
    <m/>
    <m/>
    <x v="7"/>
    <m/>
    <m/>
    <m/>
    <m/>
    <m/>
    <m/>
    <x v="37"/>
    <x v="3"/>
  </r>
  <r>
    <x v="7"/>
    <m/>
    <s v="OCHA-60034/26"/>
    <m/>
    <x v="26"/>
    <m/>
    <m/>
    <x v="7"/>
    <m/>
    <m/>
    <m/>
    <m/>
    <m/>
    <m/>
    <x v="37"/>
    <x v="3"/>
  </r>
  <r>
    <x v="7"/>
    <m/>
    <s v="OCHA-60035/26"/>
    <m/>
    <x v="107"/>
    <m/>
    <m/>
    <x v="7"/>
    <m/>
    <m/>
    <m/>
    <m/>
    <m/>
    <m/>
    <x v="37"/>
    <x v="3"/>
  </r>
  <r>
    <x v="7"/>
    <m/>
    <m/>
    <m/>
    <x v="124"/>
    <m/>
    <m/>
    <x v="7"/>
    <m/>
    <m/>
    <m/>
    <m/>
    <m/>
    <m/>
    <x v="37"/>
    <x v="3"/>
  </r>
  <r>
    <x v="7"/>
    <m/>
    <s v="OCHA-60036/26"/>
    <m/>
    <x v="77"/>
    <m/>
    <m/>
    <x v="7"/>
    <m/>
    <m/>
    <m/>
    <m/>
    <m/>
    <m/>
    <x v="37"/>
    <x v="3"/>
  </r>
  <r>
    <x v="7"/>
    <m/>
    <s v="OCHA-60036/26"/>
    <m/>
    <x v="78"/>
    <m/>
    <m/>
    <x v="7"/>
    <m/>
    <m/>
    <m/>
    <m/>
    <m/>
    <m/>
    <x v="37"/>
    <x v="3"/>
  </r>
  <r>
    <x v="7"/>
    <m/>
    <m/>
    <m/>
    <x v="115"/>
    <m/>
    <m/>
    <x v="7"/>
    <m/>
    <m/>
    <m/>
    <m/>
    <m/>
    <m/>
    <x v="37"/>
    <x v="3"/>
  </r>
  <r>
    <x v="7"/>
    <m/>
    <m/>
    <m/>
    <x v="84"/>
    <m/>
    <m/>
    <x v="7"/>
    <m/>
    <m/>
    <m/>
    <m/>
    <m/>
    <m/>
    <x v="37"/>
    <x v="3"/>
  </r>
  <r>
    <x v="7"/>
    <m/>
    <m/>
    <m/>
    <x v="136"/>
    <m/>
    <m/>
    <x v="7"/>
    <m/>
    <m/>
    <m/>
    <m/>
    <m/>
    <m/>
    <x v="37"/>
    <x v="3"/>
  </r>
  <r>
    <x v="7"/>
    <m/>
    <m/>
    <m/>
    <x v="137"/>
    <m/>
    <m/>
    <x v="7"/>
    <m/>
    <m/>
    <m/>
    <m/>
    <m/>
    <m/>
    <x v="37"/>
    <x v="3"/>
  </r>
  <r>
    <x v="7"/>
    <m/>
    <m/>
    <m/>
    <x v="242"/>
    <m/>
    <m/>
    <x v="7"/>
    <m/>
    <m/>
    <m/>
    <m/>
    <m/>
    <m/>
    <x v="37"/>
    <x v="3"/>
  </r>
  <r>
    <x v="7"/>
    <m/>
    <m/>
    <m/>
    <x v="243"/>
    <m/>
    <m/>
    <x v="7"/>
    <m/>
    <m/>
    <m/>
    <m/>
    <m/>
    <m/>
    <x v="37"/>
    <x v="3"/>
  </r>
  <r>
    <x v="7"/>
    <m/>
    <m/>
    <m/>
    <x v="244"/>
    <m/>
    <m/>
    <x v="7"/>
    <m/>
    <m/>
    <m/>
    <m/>
    <m/>
    <m/>
    <x v="37"/>
    <x v="3"/>
  </r>
  <r>
    <x v="7"/>
    <m/>
    <m/>
    <m/>
    <x v="245"/>
    <m/>
    <m/>
    <x v="7"/>
    <m/>
    <m/>
    <m/>
    <m/>
    <m/>
    <m/>
    <x v="37"/>
    <x v="3"/>
  </r>
  <r>
    <x v="7"/>
    <m/>
    <m/>
    <m/>
    <x v="246"/>
    <m/>
    <m/>
    <x v="7"/>
    <m/>
    <m/>
    <m/>
    <m/>
    <m/>
    <m/>
    <x v="37"/>
    <x v="3"/>
  </r>
  <r>
    <x v="7"/>
    <m/>
    <m/>
    <m/>
    <x v="247"/>
    <m/>
    <m/>
    <x v="7"/>
    <m/>
    <m/>
    <m/>
    <m/>
    <m/>
    <m/>
    <x v="37"/>
    <x v="3"/>
  </r>
  <r>
    <x v="7"/>
    <m/>
    <m/>
    <m/>
    <x v="248"/>
    <m/>
    <m/>
    <x v="7"/>
    <m/>
    <m/>
    <m/>
    <m/>
    <m/>
    <m/>
    <x v="37"/>
    <x v="3"/>
  </r>
  <r>
    <x v="7"/>
    <m/>
    <m/>
    <m/>
    <x v="249"/>
    <m/>
    <m/>
    <x v="7"/>
    <m/>
    <m/>
    <m/>
    <m/>
    <m/>
    <m/>
    <x v="37"/>
    <x v="3"/>
  </r>
  <r>
    <x v="7"/>
    <m/>
    <m/>
    <m/>
    <x v="140"/>
    <m/>
    <m/>
    <x v="7"/>
    <m/>
    <m/>
    <m/>
    <m/>
    <m/>
    <m/>
    <x v="37"/>
    <x v="3"/>
  </r>
  <r>
    <x v="7"/>
    <m/>
    <m/>
    <m/>
    <x v="127"/>
    <m/>
    <m/>
    <x v="7"/>
    <m/>
    <m/>
    <m/>
    <m/>
    <m/>
    <m/>
    <x v="37"/>
    <x v="3"/>
  </r>
  <r>
    <x v="7"/>
    <m/>
    <m/>
    <m/>
    <x v="250"/>
    <m/>
    <m/>
    <x v="7"/>
    <m/>
    <m/>
    <m/>
    <m/>
    <m/>
    <m/>
    <x v="37"/>
    <x v="3"/>
  </r>
  <r>
    <x v="7"/>
    <m/>
    <m/>
    <m/>
    <x v="251"/>
    <m/>
    <m/>
    <x v="7"/>
    <m/>
    <m/>
    <m/>
    <m/>
    <m/>
    <m/>
    <x v="37"/>
    <x v="3"/>
  </r>
  <r>
    <x v="7"/>
    <m/>
    <m/>
    <m/>
    <x v="252"/>
    <m/>
    <m/>
    <x v="7"/>
    <m/>
    <m/>
    <m/>
    <m/>
    <m/>
    <m/>
    <x v="37"/>
    <x v="3"/>
  </r>
  <r>
    <x v="7"/>
    <m/>
    <m/>
    <m/>
    <x v="253"/>
    <m/>
    <m/>
    <x v="7"/>
    <m/>
    <m/>
    <m/>
    <m/>
    <m/>
    <m/>
    <x v="37"/>
    <x v="3"/>
  </r>
  <r>
    <x v="7"/>
    <m/>
    <m/>
    <m/>
    <x v="254"/>
    <m/>
    <m/>
    <x v="7"/>
    <m/>
    <m/>
    <m/>
    <m/>
    <m/>
    <m/>
    <x v="37"/>
    <x v="3"/>
  </r>
  <r>
    <x v="7"/>
    <m/>
    <m/>
    <m/>
    <x v="255"/>
    <m/>
    <m/>
    <x v="7"/>
    <m/>
    <m/>
    <m/>
    <m/>
    <m/>
    <m/>
    <x v="37"/>
    <x v="3"/>
  </r>
  <r>
    <x v="7"/>
    <m/>
    <m/>
    <m/>
    <x v="256"/>
    <m/>
    <m/>
    <x v="7"/>
    <m/>
    <m/>
    <m/>
    <m/>
    <m/>
    <m/>
    <x v="37"/>
    <x v="3"/>
  </r>
  <r>
    <x v="7"/>
    <m/>
    <m/>
    <m/>
    <x v="257"/>
    <m/>
    <m/>
    <x v="7"/>
    <m/>
    <m/>
    <m/>
    <m/>
    <m/>
    <m/>
    <x v="37"/>
    <x v="3"/>
  </r>
  <r>
    <x v="7"/>
    <m/>
    <m/>
    <m/>
    <x v="258"/>
    <m/>
    <m/>
    <x v="7"/>
    <m/>
    <m/>
    <m/>
    <m/>
    <m/>
    <m/>
    <x v="37"/>
    <x v="3"/>
  </r>
  <r>
    <x v="7"/>
    <m/>
    <s v="OCHA-60037/26"/>
    <m/>
    <x v="259"/>
    <m/>
    <m/>
    <x v="7"/>
    <m/>
    <m/>
    <m/>
    <m/>
    <m/>
    <m/>
    <x v="37"/>
    <x v="3"/>
  </r>
  <r>
    <x v="7"/>
    <m/>
    <m/>
    <m/>
    <x v="260"/>
    <m/>
    <m/>
    <x v="7"/>
    <m/>
    <m/>
    <m/>
    <m/>
    <m/>
    <m/>
    <x v="37"/>
    <x v="3"/>
  </r>
  <r>
    <x v="7"/>
    <m/>
    <m/>
    <m/>
    <x v="261"/>
    <m/>
    <m/>
    <x v="7"/>
    <m/>
    <m/>
    <m/>
    <m/>
    <m/>
    <m/>
    <x v="37"/>
    <x v="3"/>
  </r>
  <r>
    <x v="7"/>
    <m/>
    <m/>
    <m/>
    <x v="262"/>
    <m/>
    <m/>
    <x v="7"/>
    <m/>
    <m/>
    <m/>
    <m/>
    <m/>
    <m/>
    <x v="37"/>
    <x v="3"/>
  </r>
  <r>
    <x v="7"/>
    <m/>
    <m/>
    <m/>
    <x v="263"/>
    <m/>
    <m/>
    <x v="7"/>
    <m/>
    <m/>
    <m/>
    <m/>
    <m/>
    <m/>
    <x v="37"/>
    <x v="3"/>
  </r>
  <r>
    <x v="7"/>
    <m/>
    <m/>
    <m/>
    <x v="264"/>
    <m/>
    <m/>
    <x v="7"/>
    <m/>
    <m/>
    <m/>
    <m/>
    <m/>
    <m/>
    <x v="37"/>
    <x v="3"/>
  </r>
  <r>
    <x v="7"/>
    <m/>
    <m/>
    <m/>
    <x v="265"/>
    <m/>
    <m/>
    <x v="7"/>
    <m/>
    <m/>
    <m/>
    <m/>
    <m/>
    <m/>
    <x v="37"/>
    <x v="3"/>
  </r>
  <r>
    <x v="7"/>
    <m/>
    <m/>
    <m/>
    <x v="266"/>
    <m/>
    <m/>
    <x v="7"/>
    <m/>
    <m/>
    <m/>
    <m/>
    <m/>
    <m/>
    <x v="37"/>
    <x v="3"/>
  </r>
  <r>
    <x v="7"/>
    <m/>
    <m/>
    <m/>
    <x v="267"/>
    <m/>
    <m/>
    <x v="7"/>
    <m/>
    <m/>
    <m/>
    <m/>
    <m/>
    <m/>
    <x v="37"/>
    <x v="3"/>
  </r>
  <r>
    <x v="7"/>
    <m/>
    <m/>
    <m/>
    <x v="268"/>
    <m/>
    <m/>
    <x v="7"/>
    <m/>
    <m/>
    <m/>
    <m/>
    <m/>
    <m/>
    <x v="37"/>
    <x v="3"/>
  </r>
  <r>
    <x v="7"/>
    <m/>
    <m/>
    <m/>
    <x v="269"/>
    <m/>
    <m/>
    <x v="7"/>
    <m/>
    <m/>
    <m/>
    <m/>
    <m/>
    <m/>
    <x v="37"/>
    <x v="3"/>
  </r>
  <r>
    <x v="7"/>
    <m/>
    <m/>
    <m/>
    <x v="270"/>
    <m/>
    <m/>
    <x v="7"/>
    <m/>
    <m/>
    <m/>
    <m/>
    <m/>
    <m/>
    <x v="37"/>
    <x v="3"/>
  </r>
  <r>
    <x v="7"/>
    <m/>
    <m/>
    <m/>
    <x v="271"/>
    <m/>
    <m/>
    <x v="7"/>
    <m/>
    <m/>
    <m/>
    <m/>
    <m/>
    <m/>
    <x v="37"/>
    <x v="3"/>
  </r>
  <r>
    <x v="7"/>
    <m/>
    <m/>
    <m/>
    <x v="272"/>
    <m/>
    <m/>
    <x v="7"/>
    <m/>
    <m/>
    <m/>
    <m/>
    <m/>
    <m/>
    <x v="37"/>
    <x v="3"/>
  </r>
  <r>
    <x v="7"/>
    <m/>
    <m/>
    <m/>
    <x v="273"/>
    <m/>
    <m/>
    <x v="7"/>
    <m/>
    <m/>
    <m/>
    <m/>
    <m/>
    <m/>
    <x v="37"/>
    <x v="3"/>
  </r>
  <r>
    <x v="7"/>
    <m/>
    <m/>
    <m/>
    <x v="274"/>
    <m/>
    <m/>
    <x v="7"/>
    <m/>
    <m/>
    <m/>
    <m/>
    <m/>
    <m/>
    <x v="37"/>
    <x v="3"/>
  </r>
  <r>
    <x v="7"/>
    <m/>
    <m/>
    <m/>
    <x v="275"/>
    <m/>
    <m/>
    <x v="7"/>
    <m/>
    <m/>
    <m/>
    <m/>
    <m/>
    <m/>
    <x v="37"/>
    <x v="3"/>
  </r>
  <r>
    <x v="7"/>
    <m/>
    <m/>
    <m/>
    <x v="276"/>
    <m/>
    <m/>
    <x v="7"/>
    <m/>
    <m/>
    <m/>
    <m/>
    <m/>
    <m/>
    <x v="37"/>
    <x v="3"/>
  </r>
  <r>
    <x v="7"/>
    <m/>
    <m/>
    <m/>
    <x v="277"/>
    <m/>
    <m/>
    <x v="7"/>
    <m/>
    <m/>
    <m/>
    <m/>
    <m/>
    <m/>
    <x v="37"/>
    <x v="3"/>
  </r>
  <r>
    <x v="7"/>
    <m/>
    <m/>
    <m/>
    <x v="278"/>
    <m/>
    <m/>
    <x v="7"/>
    <m/>
    <m/>
    <m/>
    <m/>
    <m/>
    <m/>
    <x v="37"/>
    <x v="3"/>
  </r>
  <r>
    <x v="7"/>
    <m/>
    <m/>
    <m/>
    <x v="279"/>
    <m/>
    <m/>
    <x v="7"/>
    <m/>
    <m/>
    <m/>
    <m/>
    <m/>
    <m/>
    <x v="37"/>
    <x v="3"/>
  </r>
  <r>
    <x v="7"/>
    <m/>
    <m/>
    <m/>
    <x v="280"/>
    <m/>
    <m/>
    <x v="7"/>
    <m/>
    <m/>
    <m/>
    <m/>
    <m/>
    <m/>
    <x v="37"/>
    <x v="3"/>
  </r>
  <r>
    <x v="7"/>
    <m/>
    <m/>
    <m/>
    <x v="281"/>
    <m/>
    <m/>
    <x v="7"/>
    <m/>
    <m/>
    <m/>
    <m/>
    <m/>
    <m/>
    <x v="37"/>
    <x v="3"/>
  </r>
  <r>
    <x v="7"/>
    <m/>
    <m/>
    <m/>
    <x v="282"/>
    <m/>
    <m/>
    <x v="7"/>
    <m/>
    <m/>
    <m/>
    <m/>
    <m/>
    <m/>
    <x v="37"/>
    <x v="3"/>
  </r>
  <r>
    <x v="7"/>
    <m/>
    <m/>
    <m/>
    <x v="283"/>
    <m/>
    <m/>
    <x v="7"/>
    <m/>
    <m/>
    <m/>
    <m/>
    <m/>
    <m/>
    <x v="37"/>
    <x v="3"/>
  </r>
  <r>
    <x v="7"/>
    <m/>
    <m/>
    <m/>
    <x v="284"/>
    <m/>
    <m/>
    <x v="7"/>
    <m/>
    <m/>
    <m/>
    <m/>
    <m/>
    <m/>
    <x v="37"/>
    <x v="3"/>
  </r>
  <r>
    <x v="7"/>
    <m/>
    <m/>
    <m/>
    <x v="285"/>
    <m/>
    <m/>
    <x v="7"/>
    <m/>
    <m/>
    <m/>
    <m/>
    <m/>
    <m/>
    <x v="37"/>
    <x v="3"/>
  </r>
  <r>
    <x v="7"/>
    <m/>
    <m/>
    <m/>
    <x v="286"/>
    <m/>
    <m/>
    <x v="7"/>
    <m/>
    <m/>
    <m/>
    <m/>
    <m/>
    <m/>
    <x v="37"/>
    <x v="3"/>
  </r>
  <r>
    <x v="7"/>
    <m/>
    <m/>
    <m/>
    <x v="287"/>
    <m/>
    <m/>
    <x v="7"/>
    <m/>
    <m/>
    <m/>
    <m/>
    <m/>
    <m/>
    <x v="37"/>
    <x v="3"/>
  </r>
  <r>
    <x v="7"/>
    <m/>
    <m/>
    <m/>
    <x v="288"/>
    <m/>
    <m/>
    <x v="7"/>
    <m/>
    <m/>
    <m/>
    <m/>
    <m/>
    <m/>
    <x v="37"/>
    <x v="3"/>
  </r>
  <r>
    <x v="7"/>
    <m/>
    <m/>
    <m/>
    <x v="289"/>
    <m/>
    <m/>
    <x v="7"/>
    <m/>
    <m/>
    <m/>
    <m/>
    <m/>
    <m/>
    <x v="37"/>
    <x v="3"/>
  </r>
  <r>
    <x v="7"/>
    <m/>
    <m/>
    <m/>
    <x v="290"/>
    <m/>
    <m/>
    <x v="7"/>
    <m/>
    <m/>
    <m/>
    <m/>
    <m/>
    <m/>
    <x v="37"/>
    <x v="3"/>
  </r>
  <r>
    <x v="7"/>
    <m/>
    <m/>
    <m/>
    <x v="291"/>
    <m/>
    <m/>
    <x v="7"/>
    <m/>
    <m/>
    <m/>
    <m/>
    <m/>
    <m/>
    <x v="37"/>
    <x v="3"/>
  </r>
  <r>
    <x v="7"/>
    <m/>
    <m/>
    <m/>
    <x v="292"/>
    <m/>
    <m/>
    <x v="7"/>
    <m/>
    <m/>
    <m/>
    <m/>
    <m/>
    <m/>
    <x v="37"/>
    <x v="3"/>
  </r>
  <r>
    <x v="7"/>
    <m/>
    <m/>
    <m/>
    <x v="293"/>
    <m/>
    <m/>
    <x v="7"/>
    <m/>
    <m/>
    <m/>
    <m/>
    <m/>
    <m/>
    <x v="37"/>
    <x v="3"/>
  </r>
  <r>
    <x v="7"/>
    <m/>
    <m/>
    <m/>
    <x v="294"/>
    <m/>
    <m/>
    <x v="7"/>
    <m/>
    <m/>
    <m/>
    <m/>
    <m/>
    <m/>
    <x v="37"/>
    <x v="3"/>
  </r>
  <r>
    <x v="7"/>
    <m/>
    <m/>
    <m/>
    <x v="295"/>
    <m/>
    <m/>
    <x v="7"/>
    <m/>
    <m/>
    <m/>
    <m/>
    <m/>
    <m/>
    <x v="37"/>
    <x v="3"/>
  </r>
  <r>
    <x v="7"/>
    <m/>
    <m/>
    <m/>
    <x v="296"/>
    <m/>
    <m/>
    <x v="7"/>
    <m/>
    <m/>
    <m/>
    <m/>
    <m/>
    <m/>
    <x v="37"/>
    <x v="3"/>
  </r>
  <r>
    <x v="7"/>
    <m/>
    <m/>
    <m/>
    <x v="297"/>
    <m/>
    <m/>
    <x v="7"/>
    <m/>
    <m/>
    <m/>
    <m/>
    <m/>
    <m/>
    <x v="37"/>
    <x v="3"/>
  </r>
  <r>
    <x v="7"/>
    <m/>
    <m/>
    <m/>
    <x v="298"/>
    <m/>
    <m/>
    <x v="7"/>
    <m/>
    <m/>
    <m/>
    <m/>
    <m/>
    <m/>
    <x v="37"/>
    <x v="3"/>
  </r>
  <r>
    <x v="7"/>
    <m/>
    <m/>
    <m/>
    <x v="299"/>
    <m/>
    <m/>
    <x v="7"/>
    <m/>
    <m/>
    <m/>
    <m/>
    <m/>
    <m/>
    <x v="37"/>
    <x v="3"/>
  </r>
  <r>
    <x v="7"/>
    <m/>
    <m/>
    <m/>
    <x v="300"/>
    <m/>
    <m/>
    <x v="7"/>
    <m/>
    <m/>
    <m/>
    <m/>
    <m/>
    <m/>
    <x v="37"/>
    <x v="3"/>
  </r>
  <r>
    <x v="7"/>
    <m/>
    <m/>
    <m/>
    <x v="301"/>
    <m/>
    <m/>
    <x v="7"/>
    <m/>
    <m/>
    <m/>
    <m/>
    <m/>
    <m/>
    <x v="37"/>
    <x v="3"/>
  </r>
  <r>
    <x v="7"/>
    <m/>
    <m/>
    <m/>
    <x v="302"/>
    <m/>
    <m/>
    <x v="7"/>
    <m/>
    <m/>
    <m/>
    <m/>
    <m/>
    <m/>
    <x v="37"/>
    <x v="3"/>
  </r>
  <r>
    <x v="7"/>
    <m/>
    <m/>
    <m/>
    <x v="303"/>
    <m/>
    <m/>
    <x v="7"/>
    <m/>
    <m/>
    <m/>
    <m/>
    <m/>
    <m/>
    <x v="37"/>
    <x v="3"/>
  </r>
  <r>
    <x v="7"/>
    <m/>
    <m/>
    <m/>
    <x v="304"/>
    <m/>
    <m/>
    <x v="7"/>
    <m/>
    <m/>
    <m/>
    <m/>
    <m/>
    <m/>
    <x v="37"/>
    <x v="3"/>
  </r>
  <r>
    <x v="7"/>
    <m/>
    <m/>
    <m/>
    <x v="305"/>
    <m/>
    <m/>
    <x v="7"/>
    <m/>
    <m/>
    <m/>
    <m/>
    <m/>
    <m/>
    <x v="37"/>
    <x v="3"/>
  </r>
  <r>
    <x v="7"/>
    <m/>
    <m/>
    <m/>
    <x v="306"/>
    <m/>
    <m/>
    <x v="7"/>
    <m/>
    <m/>
    <m/>
    <m/>
    <m/>
    <m/>
    <x v="37"/>
    <x v="3"/>
  </r>
  <r>
    <x v="7"/>
    <m/>
    <m/>
    <m/>
    <x v="307"/>
    <m/>
    <m/>
    <x v="7"/>
    <m/>
    <m/>
    <m/>
    <m/>
    <m/>
    <m/>
    <x v="37"/>
    <x v="3"/>
  </r>
  <r>
    <x v="7"/>
    <m/>
    <m/>
    <m/>
    <x v="308"/>
    <m/>
    <m/>
    <x v="7"/>
    <m/>
    <m/>
    <m/>
    <m/>
    <m/>
    <m/>
    <x v="37"/>
    <x v="3"/>
  </r>
  <r>
    <x v="7"/>
    <m/>
    <m/>
    <m/>
    <x v="309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10" colHeaderCaption="Projects" fieldListSortAscending="0" mdxSubqueries="0" applyNumberFormats="0" applyBorderFormats="0" applyFontFormats="0" applyPatternFormats="0" applyAlignmentFormats="0" applyWidthHeightFormats="1" r:id="rId1">
  <location ref="B12:J208" firstHeaderRow="1" firstDataRow="2" firstDataCol="1" rowPageCount="1" colPageCount="1"/>
  <pivotFields count="16">
    <pivotField axis="axisCol" showDropDowns="1" compact="1" outline="1" subtotalTop="1" dragToRow="1" dragToCol="1" dragToPage="1" dragToData="1" dragOff="1" showAll="0" topAutoShow="1" itemPageCount="10" sortType="ascending" defaultSubtotal="1">
      <items count="9">
        <item t="data" sd="1" x="3"/>
        <item t="data" sd="1" x="1"/>
        <item t="data" sd="1" x="4"/>
        <item t="data" sd="1" x="5"/>
        <item t="data" sd="1" x="6"/>
        <item t="data" sd="1" x="0"/>
        <item t="data" sd="1" x="7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11">
        <item t="data" sd="1" x="89"/>
        <item t="data" sd="1" x="132"/>
        <item t="data" sd="1" x="79"/>
        <item t="data" sd="1" x="35"/>
        <item t="data" sd="1" x="133"/>
        <item t="data" sd="1" x="45"/>
        <item t="data" sd="1" x="29"/>
        <item t="data" sd="1" x="107"/>
        <item t="data" sd="1" x="88"/>
        <item t="data" sd="1" x="100"/>
        <item t="data" sd="1" x="82"/>
        <item t="data" sd="1" x="135"/>
        <item t="data" sd="1" x="52"/>
        <item t="data" sd="1" x="125"/>
        <item t="data" sd="1" x="30"/>
        <item t="data" sd="1" x="124"/>
        <item t="data" sd="1" x="48"/>
        <item t="data" sd="1" x="109"/>
        <item t="data" sd="1" x="131"/>
        <item t="data" sd="1" x="66"/>
        <item t="data" sd="1" x="64"/>
        <item t="data" sd="1" x="62"/>
        <item t="data" sd="1" x="105"/>
        <item t="data" sd="1" x="33"/>
        <item t="data" sd="1" x="61"/>
        <item t="data" sd="1" x="49"/>
        <item t="data" sd="1" x="1"/>
        <item t="data" sd="1" x="8"/>
        <item t="data" sd="1" x="14"/>
        <item t="data" sd="1" x="16"/>
        <item t="data" sd="1" x="67"/>
        <item t="data" sd="1" x="65"/>
        <item t="data" sd="1" x="75"/>
        <item t="data" sd="1" x="12"/>
        <item t="data" sd="1" x="58"/>
        <item t="data" sd="1" x="44"/>
        <item t="data" sd="1" x="15"/>
        <item t="data" sd="1" x="53"/>
        <item t="data" sd="1" x="144"/>
        <item t="data" sd="1" x="143"/>
        <item t="data" sd="1" x="50"/>
        <item t="data" sd="1" x="63"/>
        <item t="data" sd="1" x="60"/>
        <item t="data" sd="1" x="68"/>
        <item t="data" sd="1" x="2"/>
        <item t="data" sd="1" x="86"/>
        <item t="data" sd="1" x="115"/>
        <item t="data" sd="1" x="93"/>
        <item t="data" sd="1" x="27"/>
        <item t="data" sd="1" x="103"/>
        <item t="data" sd="1" x="81"/>
        <item t="data" sd="1" x="104"/>
        <item t="data" sd="1" x="25"/>
        <item t="data" sd="1" x="83"/>
        <item t="data" sd="1" x="74"/>
        <item t="data" sd="1" x="111"/>
        <item t="data" sd="1" x="112"/>
        <item t="data" sd="1" x="121"/>
        <item t="data" sd="1" x="119"/>
        <item t="data" sd="1" x="120"/>
        <item t="data" sd="1" x="76"/>
        <item t="data" sd="1" x="117"/>
        <item t="data" sd="1" x="114"/>
        <item t="data" sd="1" x="110"/>
        <item t="data" sd="1" x="118"/>
        <item t="data" sd="1" x="123"/>
        <item t="data" sd="1" x="122"/>
        <item t="data" sd="1" x="101"/>
        <item t="data" sd="1" x="57"/>
        <item t="data" sd="1" x="41"/>
        <item t="data" sd="1" x="31"/>
        <item t="data" sd="1" x="113"/>
        <item t="data" sd="1" x="43"/>
        <item t="data" sd="1" x="97"/>
        <item t="data" sd="1" x="34"/>
        <item t="data" sd="1" x="80"/>
        <item t="data" sd="1" x="128"/>
        <item t="data" sd="1" x="137"/>
        <item t="data" sd="1" x="138"/>
        <item t="data" sd="1" x="39"/>
        <item t="data" sd="1" x="140"/>
        <item t="data" sd="1" x="142"/>
        <item t="data" sd="1" x="28"/>
        <item t="data" sd="1" x="24"/>
        <item t="data" sd="1" x="126"/>
        <item t="data" sd="1" x="0"/>
        <item t="data" sd="1" x="85"/>
        <item t="data" sd="1" x="17"/>
        <item t="data" sd="1" x="51"/>
        <item t="data" sd="1" x="9"/>
        <item t="data" sd="1" x="20"/>
        <item t="data" sd="1" x="18"/>
        <item t="data" sd="1" x="13"/>
        <item t="data" sd="1" x="19"/>
        <item t="data" sd="1" x="70"/>
        <item t="data" sd="1" x="47"/>
        <item t="data" sd="1" x="32"/>
        <item t="data" sd="1" x="38"/>
        <item t="data" sd="1" x="99"/>
        <item t="data" sd="1" x="78"/>
        <item t="data" sd="1" x="136"/>
        <item t="data" sd="1" x="71"/>
        <item t="data" sd="1" x="95"/>
        <item t="data" sd="1" x="92"/>
        <item t="data" sd="1" x="72"/>
        <item t="data" sd="1" x="73"/>
        <item t="data" sd="1" x="91"/>
        <item t="data" sd="1" x="55"/>
        <item t="data" sd="1" x="90"/>
        <item t="data" sd="1" x="102"/>
        <item t="data" sd="1" x="11"/>
        <item t="data" sd="1" x="22"/>
        <item t="data" sd="1" x="6"/>
        <item t="data" sd="1" x="42"/>
        <item t="data" sd="1" x="141"/>
        <item t="data" sd="1" x="98"/>
        <item t="data" sd="1" x="84"/>
        <item t="data" sd="1" x="130"/>
        <item t="data" sd="1" x="3"/>
        <item t="data" sd="1" x="37"/>
        <item t="data" sd="1" x="36"/>
        <item t="data" sd="1" x="5"/>
        <item t="data" sd="1" x="40"/>
        <item t="data" sd="1" x="7"/>
        <item t="data" sd="1" x="4"/>
        <item t="data" sd="1" x="21"/>
        <item t="data" sd="1" x="10"/>
        <item t="data" sd="1" x="54"/>
        <item t="data" sd="1" x="69"/>
        <item t="data" sd="1" x="59"/>
        <item t="data" sd="1" x="139"/>
        <item t="data" sd="1" x="134"/>
        <item t="data" sd="1" x="26"/>
        <item t="data" sd="1" x="127"/>
        <item t="data" sd="1" x="77"/>
        <item t="data" sd="1" x="94"/>
        <item t="data" sd="1" x="96"/>
        <item t="data" sd="1" x="46"/>
        <item t="data" sd="1" x="23"/>
        <item t="data" sd="1" x="106"/>
        <item t="data" sd="1" x="108"/>
        <item t="data" sd="1" x="56"/>
        <item t="data" sd="1" x="129"/>
        <item t="data" sd="1" x="87"/>
        <item t="data" sd="1" x="116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9">
        <item t="data" sd="0" x="2"/>
        <item t="data" sd="0" x="6"/>
        <item t="data" sd="0" x="5"/>
        <item t="data" sd="0" x="3"/>
        <item t="data" sd="0" x="4"/>
        <item t="data" sd="1" x="0"/>
        <item t="data" sd="0" x="1"/>
        <item t="data" sd="1" x="7"/>
        <item t="default" sd="0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9">
        <item t="data" sd="1" x="0"/>
        <item t="data" sd="1" x="20"/>
        <item t="data" sd="1" x="27"/>
        <item t="data" sd="1" x="11"/>
        <item t="data" sd="1" x="6"/>
        <item t="data" sd="1" x="16"/>
        <item t="data" sd="1" x="24"/>
        <item t="data" sd="1" x="23"/>
        <item t="data" sd="1" x="15"/>
        <item t="data" sd="1" x="32"/>
        <item t="data" sd="1" x="26"/>
        <item t="data" sd="1" x="21"/>
        <item t="data" sd="1" x="34"/>
        <item t="data" sd="1" x="5"/>
        <item t="data" sd="1" x="12"/>
        <item t="data" sd="1" x="3"/>
        <item t="data" sd="1" x="17"/>
        <item t="data" sd="1" x="25"/>
        <item t="data" sd="1" x="36"/>
        <item t="data" sd="1" x="7"/>
        <item t="data" sd="1" x="2"/>
        <item t="data" sd="1" x="30"/>
        <item t="data" sd="1" x="33"/>
        <item t="data" sd="1" x="31"/>
        <item t="data" sd="1" x="28"/>
        <item t="data" sd="1" x="9"/>
        <item t="data" sd="1" x="19"/>
        <item t="data" sd="1" x="4"/>
        <item t="data" sd="1" x="14"/>
        <item t="data" sd="1" x="35"/>
        <item t="data" sd="1" x="18"/>
        <item t="data" sd="1" x="8"/>
        <item t="data" sd="1" x="13"/>
        <item t="data" sd="1" x="29"/>
        <item t="data" sd="1" x="10"/>
        <item t="data" sd="1" x="22"/>
        <item t="data" sd="1" x="1"/>
        <item t="data" sd="1" x="37"/>
        <item t="default" sd="1"/>
      </items>
    </pivotField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h="1" sd="1" x="1"/>
        <item t="data" sd="1" x="2"/>
        <item t="data" h="1" sd="1" x="3"/>
        <item t="default" sd="1"/>
      </items>
    </pivotField>
  </pivotFields>
  <rowFields count="3">
    <field x="7"/>
    <field x="4"/>
    <field x="14"/>
  </rowFields>
  <rowItems count="195">
    <i t="data" r="0" i="0">
      <x v="5"/>
    </i>
    <i t="data" r="1" i="0">
      <x v="0"/>
    </i>
    <i t="data" r="2" i="0">
      <x v="36"/>
    </i>
    <i t="data" r="1" i="0">
      <x v="1"/>
    </i>
    <i t="data" r="2" i="0">
      <x v="0"/>
    </i>
    <i t="data" r="1" i="0">
      <x v="4"/>
    </i>
    <i t="data" r="2" i="0">
      <x v="0"/>
    </i>
    <i t="data" r="1" i="0">
      <x v="5"/>
    </i>
    <i t="data" r="2" i="0">
      <x v="32"/>
    </i>
    <i t="data" r="1" i="0">
      <x v="8"/>
    </i>
    <i t="data" r="2" i="0">
      <x v="0"/>
    </i>
    <i t="data" r="2" i="0">
      <x v="36"/>
    </i>
    <i t="data" r="1" i="0">
      <x v="12"/>
    </i>
    <i t="data" r="2" i="0">
      <x v="0"/>
    </i>
    <i t="data" r="1" i="0">
      <x v="13"/>
    </i>
    <i t="data" r="2" i="0">
      <x v="0"/>
    </i>
    <i t="data" r="1" i="0">
      <x v="14"/>
    </i>
    <i t="data" r="2" i="0">
      <x v="0"/>
    </i>
    <i t="data" r="1" i="0">
      <x v="17"/>
    </i>
    <i t="data" r="2" i="0">
      <x v="0"/>
    </i>
    <i t="data" r="1" i="0">
      <x v="26"/>
    </i>
    <i t="data" r="2" i="0">
      <x v="0"/>
    </i>
    <i t="data" r="1" i="0">
      <x v="27"/>
    </i>
    <i t="data" r="2" i="0">
      <x v="0"/>
    </i>
    <i t="data" r="1" i="0">
      <x v="28"/>
    </i>
    <i t="data" r="2" i="0">
      <x v="0"/>
    </i>
    <i t="data" r="1" i="0">
      <x v="29"/>
    </i>
    <i t="data" r="2" i="0">
      <x v="0"/>
    </i>
    <i t="data" r="1" i="0">
      <x v="33"/>
    </i>
    <i t="data" r="2" i="0">
      <x v="0"/>
    </i>
    <i t="data" r="1" i="0">
      <x v="36"/>
    </i>
    <i t="data" r="2" i="0">
      <x v="0"/>
    </i>
    <i t="data" r="1" i="0">
      <x v="38"/>
    </i>
    <i t="data" r="2" i="0">
      <x v="0"/>
    </i>
    <i t="data" r="1" i="0">
      <x v="44"/>
    </i>
    <i t="data" r="2" i="0">
      <x v="0"/>
    </i>
    <i t="data" r="1" i="0">
      <x v="45"/>
    </i>
    <i t="data" r="2" i="0">
      <x v="28"/>
    </i>
    <i t="data" r="1" i="0">
      <x v="47"/>
    </i>
    <i t="data" r="2" i="0">
      <x v="36"/>
    </i>
    <i t="data" r="1" i="0">
      <x v="49"/>
    </i>
    <i t="data" r="2" i="0">
      <x v="0"/>
    </i>
    <i t="data" r="1" i="0">
      <x v="51"/>
    </i>
    <i t="data" r="2" i="0">
      <x v="0"/>
    </i>
    <i t="data" r="1" i="0">
      <x v="70"/>
    </i>
    <i t="data" r="2" i="0">
      <x v="15"/>
    </i>
    <i t="data" r="1" i="0">
      <x v="73"/>
    </i>
    <i t="data" r="2" i="0">
      <x v="36"/>
    </i>
    <i t="data" r="1" i="0">
      <x v="76"/>
    </i>
    <i t="data" r="2" i="0">
      <x v="0"/>
    </i>
    <i t="data" r="1" i="0">
      <x v="79"/>
    </i>
    <i t="data" r="2" i="0">
      <x v="34"/>
    </i>
    <i t="data" r="1" i="0">
      <x v="84"/>
    </i>
    <i t="data" r="2" i="0">
      <x v="0"/>
    </i>
    <i t="data" r="1" i="0">
      <x v="85"/>
    </i>
    <i t="data" r="2" i="0">
      <x v="0"/>
    </i>
    <i t="data" r="1" i="0">
      <x v="87"/>
    </i>
    <i t="data" r="2" i="0">
      <x v="0"/>
    </i>
    <i t="data" r="1" i="0">
      <x v="89"/>
    </i>
    <i t="data" r="2" i="0">
      <x v="0"/>
    </i>
    <i t="data" r="1" i="0">
      <x v="90"/>
    </i>
    <i t="data" r="2" i="0">
      <x v="0"/>
    </i>
    <i t="data" r="1" i="0">
      <x v="91"/>
    </i>
    <i t="data" r="2" i="0">
      <x v="0"/>
    </i>
    <i t="data" r="1" i="0">
      <x v="92"/>
    </i>
    <i t="data" r="2" i="0">
      <x v="0"/>
    </i>
    <i t="data" r="2" i="0">
      <x v="8"/>
    </i>
    <i t="data" r="1" i="0">
      <x v="93"/>
    </i>
    <i t="data" r="2" i="0">
      <x v="0"/>
    </i>
    <i t="data" r="1" i="0">
      <x v="101"/>
    </i>
    <i t="data" r="2" i="0">
      <x v="0"/>
    </i>
    <i t="data" r="1" i="0">
      <x v="102"/>
    </i>
    <i t="data" r="2" i="0">
      <x v="0"/>
    </i>
    <i t="data" r="2" i="0">
      <x v="36"/>
    </i>
    <i t="data" r="1" i="0">
      <x v="103"/>
    </i>
    <i t="data" r="2" i="0">
      <x v="0"/>
    </i>
    <i t="data" r="2" i="0">
      <x v="36"/>
    </i>
    <i t="data" r="1" i="0">
      <x v="105"/>
    </i>
    <i t="data" r="2" i="0">
      <x v="0"/>
    </i>
    <i t="data" r="2" i="0">
      <x v="7"/>
    </i>
    <i t="data" r="1" i="0">
      <x v="106"/>
    </i>
    <i t="data" r="2" i="0">
      <x v="36"/>
    </i>
    <i t="data" r="1" i="0">
      <x v="107"/>
    </i>
    <i t="data" r="2" i="0">
      <x v="1"/>
    </i>
    <i t="data" r="1" i="0">
      <x v="108"/>
    </i>
    <i t="data" r="2" i="0">
      <x v="36"/>
    </i>
    <i t="data" r="1" i="0">
      <x v="109"/>
    </i>
    <i t="data" r="2" i="0">
      <x v="0"/>
    </i>
    <i t="data" r="1" i="0">
      <x v="110"/>
    </i>
    <i t="data" r="2" i="0">
      <x v="0"/>
    </i>
    <i t="data" r="2" i="0">
      <x v="5"/>
    </i>
    <i t="data" r="1" i="0">
      <x v="111"/>
    </i>
    <i t="data" r="2" i="0">
      <x v="0"/>
    </i>
    <i t="data" r="2" i="0">
      <x v="16"/>
    </i>
    <i t="data" r="1" i="0">
      <x v="112"/>
    </i>
    <i t="data" r="2" i="0">
      <x v="0"/>
    </i>
    <i t="data" r="2" i="0">
      <x v="5"/>
    </i>
    <i t="data" r="1" i="0">
      <x v="115"/>
    </i>
    <i t="data" r="2" i="0">
      <x v="21"/>
    </i>
    <i t="data" r="1" i="0">
      <x v="118"/>
    </i>
    <i t="data" r="2" i="0">
      <x v="0"/>
    </i>
    <i t="data" r="1" i="0">
      <x v="121"/>
    </i>
    <i t="data" r="2" i="0">
      <x v="0"/>
    </i>
    <i t="data" r="1" i="0">
      <x v="122"/>
    </i>
    <i t="data" r="2" i="0">
      <x v="3"/>
    </i>
    <i t="data" r="1" i="0">
      <x v="123"/>
    </i>
    <i t="data" r="2" i="0">
      <x v="0"/>
    </i>
    <i t="data" r="1" i="0">
      <x v="124"/>
    </i>
    <i t="data" r="2" i="0">
      <x v="0"/>
    </i>
    <i t="data" r="1" i="0">
      <x v="125"/>
    </i>
    <i t="data" r="2" i="0">
      <x v="0"/>
    </i>
    <i t="data" r="1" i="0">
      <x v="126"/>
    </i>
    <i t="data" r="2" i="0">
      <x v="0"/>
    </i>
    <i t="data" r="2" i="0">
      <x v="4"/>
    </i>
    <i t="data" r="1" i="0">
      <x v="127"/>
    </i>
    <i t="data" r="2" i="0">
      <x v="5"/>
    </i>
    <i t="data" r="1" i="0">
      <x v="128"/>
    </i>
    <i t="data" r="2" i="0">
      <x v="0"/>
    </i>
    <i t="data" r="2" i="0">
      <x v="11"/>
    </i>
    <i t="data" r="1" i="0">
      <x v="131"/>
    </i>
    <i t="data" r="2" i="0">
      <x v="0"/>
    </i>
    <i t="data" r="1" i="0">
      <x v="133"/>
    </i>
    <i t="data" r="2" i="0">
      <x v="0"/>
    </i>
    <i t="data" r="1" i="0">
      <x v="135"/>
    </i>
    <i t="data" r="2" i="0">
      <x v="0"/>
    </i>
    <i t="data" r="2" i="0">
      <x v="36"/>
    </i>
    <i t="data" r="1" i="0">
      <x v="136"/>
    </i>
    <i t="data" r="2" i="0">
      <x v="36"/>
    </i>
    <i t="data" r="1" i="0">
      <x v="137"/>
    </i>
    <i t="data" r="2" i="0">
      <x v="28"/>
    </i>
    <i t="data" r="1" i="0">
      <x v="140"/>
    </i>
    <i t="data" r="2" i="0">
      <x v="29"/>
    </i>
    <i t="data" r="1" i="0">
      <x v="142"/>
    </i>
    <i t="data" r="2" i="0">
      <x v="0"/>
    </i>
    <i t="data" r="1" i="0">
      <x v="143"/>
    </i>
    <i t="data" r="2" i="0">
      <x v="0"/>
    </i>
    <i t="data" r="1" i="0">
      <x v="152"/>
    </i>
    <i t="data" r="2" i="0">
      <x v="0"/>
    </i>
    <i t="data" r="1" i="0">
      <x v="154"/>
    </i>
    <i t="data" r="2" i="0">
      <x v="0"/>
    </i>
    <i t="data" r="1" i="0">
      <x v="161"/>
    </i>
    <i t="data" r="2" i="0">
      <x v="0"/>
    </i>
    <i t="data" r="1" i="0">
      <x v="165"/>
    </i>
    <i t="data" r="2" i="0">
      <x v="0"/>
    </i>
    <i t="data" r="1" i="0">
      <x v="169"/>
    </i>
    <i t="data" r="2" i="0">
      <x v="0"/>
    </i>
    <i t="data" r="1" i="0">
      <x v="170"/>
    </i>
    <i t="data" r="2" i="0">
      <x v="0"/>
    </i>
    <i t="data" r="1" i="0">
      <x v="171"/>
    </i>
    <i t="data" r="2" i="0">
      <x v="0"/>
    </i>
    <i t="data" r="1" i="0">
      <x v="184"/>
    </i>
    <i t="data" r="2" i="0">
      <x v="0"/>
    </i>
    <i t="data" r="1" i="0">
      <x v="185"/>
    </i>
    <i t="data" r="2" i="0">
      <x v="0"/>
    </i>
    <i t="data" r="1" i="0">
      <x v="195"/>
    </i>
    <i t="data" r="2" i="0">
      <x v="0"/>
    </i>
    <i t="data" r="1" i="0">
      <x v="196"/>
    </i>
    <i t="data" r="2" i="0">
      <x v="0"/>
    </i>
    <i t="data" r="1" i="0">
      <x v="197"/>
    </i>
    <i t="data" r="2" i="0">
      <x v="0"/>
    </i>
    <i t="data" r="1" i="0">
      <x v="198"/>
    </i>
    <i t="data" r="2" i="0">
      <x v="0"/>
    </i>
    <i t="data" r="1" i="0">
      <x v="199"/>
    </i>
    <i t="data" r="2" i="0">
      <x v="0"/>
    </i>
    <i t="data" r="1" i="0">
      <x v="200"/>
    </i>
    <i t="data" r="2" i="0">
      <x v="0"/>
    </i>
    <i t="data" r="1" i="0">
      <x v="201"/>
    </i>
    <i t="data" r="2" i="0">
      <x v="0"/>
    </i>
    <i t="data" r="1" i="0">
      <x v="202"/>
    </i>
    <i t="data" r="2" i="0">
      <x v="0"/>
    </i>
    <i t="data" r="1" i="0">
      <x v="203"/>
    </i>
    <i t="data" r="2" i="0">
      <x v="0"/>
    </i>
    <i t="data" r="1" i="0">
      <x v="204"/>
    </i>
    <i t="data" r="2" i="0">
      <x v="0"/>
    </i>
    <i t="data" r="1" i="0">
      <x v="205"/>
    </i>
    <i t="data" r="2" i="0">
      <x v="0"/>
    </i>
    <i t="data" r="1" i="0">
      <x v="210"/>
    </i>
    <i t="data" r="2" i="0">
      <x v="0"/>
    </i>
    <i t="data" r="1" i="0">
      <x v="212"/>
    </i>
    <i t="data" r="2" i="0">
      <x v="0"/>
    </i>
    <i t="data" r="1" i="0">
      <x v="213"/>
    </i>
    <i t="data" r="2" i="0">
      <x v="0"/>
    </i>
    <i t="data" r="1" i="0">
      <x v="214"/>
    </i>
    <i t="data" r="2" i="0">
      <x v="0"/>
    </i>
    <i t="data" r="1" i="0">
      <x v="215"/>
    </i>
    <i t="data" r="2" i="0">
      <x v="0"/>
    </i>
    <i t="data" r="1" i="0">
      <x v="216"/>
    </i>
    <i t="data" r="2" i="0">
      <x v="0"/>
    </i>
    <i t="data" r="0" i="0">
      <x v="3"/>
    </i>
    <i t="data" r="0" i="0">
      <x v="4"/>
    </i>
    <i t="data" r="0" i="0">
      <x v="6"/>
    </i>
    <i t="data" r="0" i="0">
      <x v="1"/>
    </i>
    <i t="data" r="0" i="0">
      <x v="0"/>
    </i>
    <i t="data" r="0" i="0">
      <x v="2"/>
    </i>
    <i t="grand" r="0" i="0">
      <x v="0"/>
    </i>
  </rowItems>
  <colFields count="1">
    <field x="0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7"/>
    </i>
    <i t="grand" r="0" i="0">
      <x v="0"/>
    </i>
  </colItems>
  <pageFields count="1">
    <pageField fld="15" hier="-1"/>
  </pageFields>
  <dataFields count="1">
    <dataField name="PO Values" fld="12" subtotal="sum" showDataAs="normal" baseField="0" baseItem="0" numFmtId="42"/>
  </dataFields>
  <formats count="6">
    <format action="formatting" dxfId="5">
      <pivotArea type="normal" dataOnly="1" outline="1" collapsedLevelsAreSubtotals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4">
      <pivotArea type="normal" dataOnly="0" labelOnly="1" outline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3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2">
      <pivotArea type="normal" dataOnly="0" labelOnly="1" outline="1" fieldPosition="0">
        <references count="1">
          <reference field="7">
            <x v="5"/>
          </reference>
        </references>
      </pivotArea>
    </format>
    <format action="formatting" dxfId="1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0">
      <pivotArea type="normal" dataOnly="0" labelOnly="1" outline="1" fieldPosition="0">
        <references count="1">
          <reference field="7">
            <x v="5"/>
          </reference>
        </references>
      </pivotArea>
    </format>
  </formats>
  <chartFormats count="53">
    <chartFormat chart="0" format="3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"/>
          </reference>
        </references>
      </pivotArea>
    </chartFormat>
    <chartFormat chart="0" format="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"/>
          </reference>
        </references>
      </pivotArea>
    </chartFormat>
    <chartFormat chart="0" format="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4"/>
          </reference>
        </references>
      </pivotArea>
    </chartFormat>
    <chartFormat chart="0" format="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5"/>
          </reference>
        </references>
      </pivotArea>
    </chartFormat>
    <chartFormat chart="0" format="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7"/>
          </reference>
        </references>
      </pivotArea>
    </chartFormat>
    <chartFormat chart="0" format="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8"/>
          </reference>
        </references>
      </pivotArea>
    </chartFormat>
    <chartFormat chart="0" format="1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9"/>
          </reference>
        </references>
      </pivotArea>
    </chartFormat>
    <chartFormat chart="0" format="1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1"/>
          </reference>
        </references>
      </pivotArea>
    </chartFormat>
    <chartFormat chart="0" format="1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5"/>
          </reference>
        </references>
      </pivotArea>
    </chartFormat>
    <chartFormat chart="0" format="1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6"/>
          </reference>
        </references>
      </pivotArea>
    </chartFormat>
    <chartFormat chart="0" format="1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9"/>
          </reference>
        </references>
      </pivotArea>
    </chartFormat>
    <chartFormat chart="0" format="1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0"/>
          </reference>
        </references>
      </pivotArea>
    </chartFormat>
    <chartFormat chart="0" format="1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1"/>
          </reference>
        </references>
      </pivotArea>
    </chartFormat>
    <chartFormat chart="0" format="1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2"/>
          </reference>
        </references>
      </pivotArea>
    </chartFormat>
    <chartFormat chart="0" format="1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8"/>
          </reference>
        </references>
      </pivotArea>
    </chartFormat>
    <chartFormat chart="0" format="1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9"/>
          </reference>
        </references>
      </pivotArea>
    </chartFormat>
    <chartFormat chart="0" format="2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1"/>
          </reference>
        </references>
      </pivotArea>
    </chartFormat>
    <chartFormat chart="0" format="2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2"/>
          </reference>
        </references>
      </pivotArea>
    </chartFormat>
    <chartFormat chart="0" format="2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4"/>
          </reference>
        </references>
      </pivotArea>
    </chartFormat>
    <chartFormat chart="0" format="2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6"/>
          </reference>
        </references>
      </pivotArea>
    </chartFormat>
    <chartFormat chart="0" format="2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"/>
          </reference>
        </references>
      </pivotArea>
    </chartFormat>
    <chartFormat chart="0" format="2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3"/>
          </reference>
        </references>
      </pivotArea>
    </chartFormat>
    <chartFormat chart="0" format="2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4"/>
          </reference>
        </references>
      </pivotArea>
    </chartFormat>
    <chartFormat chart="0" format="2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7"/>
          </reference>
        </references>
      </pivotArea>
    </chartFormat>
    <chartFormat chart="0" format="2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6"/>
          </reference>
        </references>
      </pivotArea>
    </chartFormat>
    <chartFormat chart="0" format="2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8"/>
          </reference>
        </references>
      </pivotArea>
    </chartFormat>
    <chartFormat chart="0" format="3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0"/>
          </reference>
        </references>
      </pivotArea>
    </chartFormat>
    <chartFormat chart="0" format="3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1"/>
          </reference>
        </references>
      </pivotArea>
    </chartFormat>
    <chartFormat chart="0" format="3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3"/>
          </reference>
        </references>
      </pivotArea>
    </chartFormat>
    <chartFormat chart="0" format="3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6"/>
          </reference>
        </references>
      </pivotArea>
    </chartFormat>
    <chartFormat chart="0" format="3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7"/>
          </reference>
        </references>
      </pivotArea>
    </chartFormat>
    <chartFormat chart="0" format="3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8"/>
          </reference>
        </references>
      </pivotArea>
    </chartFormat>
    <chartFormat chart="0" format="3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36"/>
          </reference>
        </references>
      </pivotArea>
    </chartFormat>
    <chartFormat chart="0" format="3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0"/>
          </reference>
        </references>
      </pivotArea>
    </chartFormat>
    <chartFormat chart="0" format="3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6"/>
          </reference>
        </references>
      </pivotArea>
    </chartFormat>
    <chartFormat chart="0" format="3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0"/>
          </reference>
        </references>
      </pivotArea>
    </chartFormat>
    <chartFormat chart="0" format="4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2"/>
          </reference>
        </references>
      </pivotArea>
    </chartFormat>
    <chartFormat chart="0" format="4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3"/>
          </reference>
        </references>
      </pivotArea>
    </chartFormat>
    <chartFormat chart="0" format="4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4"/>
          </reference>
        </references>
      </pivotArea>
    </chartFormat>
    <chartFormat chart="0" format="4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8"/>
          </reference>
        </references>
      </pivotArea>
    </chartFormat>
    <chartFormat chart="0" format="4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3"/>
          </reference>
        </references>
      </pivotArea>
    </chartFormat>
    <chartFormat chart="0" format="4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4"/>
          </reference>
        </references>
      </pivotArea>
    </chartFormat>
    <chartFormat chart="0" format="4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5"/>
          </reference>
        </references>
      </pivotArea>
    </chartFormat>
    <chartFormat chart="0" format="4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8"/>
          </reference>
        </references>
      </pivotArea>
    </chartFormat>
    <chartFormat chart="0" format="4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5"/>
          </reference>
        </references>
      </pivotArea>
    </chartFormat>
    <chartFormat chart="0" format="4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6"/>
          </reference>
        </references>
      </pivotArea>
    </chartFormat>
    <chartFormat chart="0" format="5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1"/>
          </reference>
          <reference field="14" selected="0">
            <x v="8"/>
          </reference>
        </references>
      </pivotArea>
    </chartFormat>
    <chartFormat chart="0" format="5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0"/>
          </reference>
          <reference field="14" selected="0">
            <x v="36"/>
          </reference>
        </references>
      </pivotArea>
    </chartFormat>
    <chartFormat chart="0" format="5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2"/>
          </reference>
          <reference field="14" selected="0">
            <x v="36"/>
          </reference>
        </references>
      </pivotArea>
    </chartFormat>
    <chartFormat chart="0" format="53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  <chartFormat chart="8" format="54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1"/>
          </reference>
        </references>
      </pivotArea>
    </chartFormat>
    <chartFormat chart="8" format="55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R781"/>
  <sheetViews>
    <sheetView tabSelected="1" zoomScale="57" zoomScaleNormal="57" workbookViewId="0">
      <pane ySplit="5" topLeftCell="A429" activePane="bottomLeft" state="frozen"/>
      <selection pane="bottomLeft" activeCell="E781" sqref="E429:E781"/>
    </sheetView>
  </sheetViews>
  <sheetFormatPr baseColWidth="8" defaultRowHeight="18.75"/>
  <cols>
    <col width="21.85546875" customWidth="1" min="1" max="1"/>
    <col width="5.7109375" customWidth="1" style="141" min="2" max="2"/>
    <col width="29.85546875" customWidth="1" style="141" min="3" max="4"/>
    <col width="76.5703125" customWidth="1" style="141" min="5" max="5"/>
    <col width="50.5703125" customWidth="1" style="141" min="6" max="6"/>
    <col hidden="1" width="46.5703125" customWidth="1" style="141" min="7" max="7"/>
    <col width="15.42578125" bestFit="1" customWidth="1" style="141" min="8" max="8"/>
    <col hidden="1" width="41.42578125" customWidth="1" style="95" min="9" max="9"/>
    <col hidden="1" width="16.140625" customWidth="1" style="141" min="10" max="10"/>
    <col hidden="1" width="20.85546875" customWidth="1" style="141" min="11" max="11"/>
    <col width="15.42578125" bestFit="1" customWidth="1" min="12" max="12"/>
    <col width="15.5703125" customWidth="1" style="141" min="13" max="14"/>
    <col width="68.85546875" customWidth="1" style="95" min="15" max="15"/>
    <col width="23.140625" bestFit="1" customWidth="1" style="123" min="16" max="16"/>
    <col width="78.85546875" bestFit="1" customWidth="1" min="18" max="18"/>
    <col width="17" bestFit="1" customWidth="1" min="19" max="19"/>
    <col width="15.7109375" bestFit="1" customWidth="1" min="20" max="20"/>
    <col width="12.7109375" bestFit="1" customWidth="1" min="21" max="22"/>
    <col width="34.140625" bestFit="1" customWidth="1" min="23" max="23"/>
    <col width="25.42578125" bestFit="1" customWidth="1" min="24" max="24"/>
    <col width="20.5703125" bestFit="1" customWidth="1" min="25" max="25"/>
    <col width="20" bestFit="1" customWidth="1" min="26" max="26"/>
    <col width="19" bestFit="1" customWidth="1" min="27" max="27"/>
    <col width="32.28515625" bestFit="1" customWidth="1" min="28" max="28"/>
    <col width="34.28515625" bestFit="1" customWidth="1" min="29" max="29"/>
    <col width="40.5703125" bestFit="1" customWidth="1" min="30" max="30"/>
    <col width="20.85546875" bestFit="1" customWidth="1" min="31" max="31"/>
    <col width="13.140625" bestFit="1" customWidth="1" min="32" max="32"/>
    <col width="31.5703125" bestFit="1" customWidth="1" min="33" max="33"/>
    <col width="37" bestFit="1" customWidth="1" min="34" max="34"/>
    <col width="15.28515625" bestFit="1" customWidth="1" min="35" max="35"/>
    <col width="19.140625" bestFit="1" customWidth="1" min="36" max="36"/>
    <col width="20.28515625" bestFit="1" customWidth="1" min="37" max="37"/>
    <col width="28.7109375" bestFit="1" customWidth="1" min="38" max="38"/>
    <col width="6" bestFit="1" customWidth="1" min="39" max="39"/>
    <col width="12.140625" bestFit="1" customWidth="1" min="40" max="40"/>
    <col width="55.5703125" bestFit="1" customWidth="1" min="41" max="41"/>
    <col width="32.85546875" bestFit="1" customWidth="1" min="42" max="42"/>
    <col width="33.5703125" bestFit="1" customWidth="1" min="43" max="43"/>
    <col width="17.28515625" bestFit="1" customWidth="1" min="44" max="44"/>
    <col width="21" bestFit="1" customWidth="1" min="45" max="45"/>
    <col width="37" bestFit="1" customWidth="1" min="46" max="46"/>
    <col width="12.140625" bestFit="1" customWidth="1" min="47" max="47"/>
    <col width="19.140625" bestFit="1" customWidth="1" min="48" max="48"/>
    <col width="17.140625" bestFit="1" customWidth="1" min="49" max="49"/>
    <col width="6" bestFit="1" customWidth="1" min="50" max="50"/>
    <col width="11.85546875" bestFit="1" customWidth="1" min="51" max="51"/>
    <col width="23.28515625" bestFit="1" customWidth="1" min="52" max="52"/>
    <col width="37" bestFit="1" customWidth="1" min="53" max="53"/>
    <col width="6" bestFit="1" customWidth="1" min="54" max="54"/>
    <col width="13.28515625" bestFit="1" customWidth="1" min="55" max="55"/>
    <col width="8.42578125" bestFit="1" customWidth="1" min="56" max="56"/>
    <col width="21.42578125" bestFit="1" customWidth="1" min="57" max="57"/>
    <col width="50.140625" bestFit="1" customWidth="1" min="58" max="58"/>
    <col width="50.42578125" bestFit="1" customWidth="1" min="59" max="59"/>
    <col width="32.85546875" bestFit="1" customWidth="1" min="60" max="60"/>
    <col width="33.5703125" bestFit="1" customWidth="1" min="61" max="61"/>
    <col width="14.7109375" bestFit="1" customWidth="1" min="62" max="62"/>
    <col width="31.85546875" bestFit="1" customWidth="1" min="63" max="63"/>
    <col width="23.5703125" bestFit="1" customWidth="1" min="64" max="64"/>
    <col width="16.28515625" bestFit="1" customWidth="1" min="65" max="65"/>
    <col width="37" bestFit="1" customWidth="1" min="66" max="66"/>
    <col width="30.85546875" bestFit="1" customWidth="1" min="67" max="67"/>
    <col width="6" bestFit="1" customWidth="1" min="68" max="68"/>
    <col width="11.42578125" bestFit="1" customWidth="1" min="69" max="69"/>
    <col width="20.5703125" bestFit="1" customWidth="1" min="70" max="70"/>
    <col width="15" bestFit="1" customWidth="1" min="71" max="71"/>
    <col width="11.28515625" bestFit="1" customWidth="1" min="72" max="72"/>
    <col width="14.42578125" bestFit="1" customWidth="1" min="73" max="74"/>
    <col width="17.7109375" bestFit="1" customWidth="1" min="75" max="75"/>
    <col width="12.140625" bestFit="1" customWidth="1" min="76" max="76"/>
  </cols>
  <sheetData>
    <row r="1">
      <c r="R1" s="121" t="inlineStr">
        <is>
          <t xml:space="preserve">Contracted </t>
        </is>
      </c>
    </row>
    <row r="2">
      <c r="R2" s="121" t="inlineStr">
        <is>
          <t xml:space="preserve">Checking </t>
        </is>
      </c>
    </row>
    <row r="3">
      <c r="R3" s="121" t="inlineStr">
        <is>
          <t>Not contracted</t>
        </is>
      </c>
    </row>
    <row r="4">
      <c r="R4" s="121" t="inlineStr">
        <is>
          <t xml:space="preserve">#N/A </t>
        </is>
      </c>
    </row>
    <row r="5" ht="37.5" customHeight="1">
      <c r="A5" s="103" t="inlineStr">
        <is>
          <t>Project</t>
        </is>
      </c>
      <c r="B5" s="103" t="inlineStr">
        <is>
          <t>S/N</t>
        </is>
      </c>
      <c r="C5" s="103" t="inlineStr">
        <is>
          <t>PO Number</t>
        </is>
      </c>
      <c r="D5" s="103" t="inlineStr">
        <is>
          <t>Delivery Stage</t>
        </is>
      </c>
      <c r="E5" s="103" t="inlineStr">
        <is>
          <t>PO Name</t>
        </is>
      </c>
      <c r="F5" s="103" t="inlineStr">
        <is>
          <t>PO Name [Standardized]</t>
        </is>
      </c>
      <c r="G5" s="103" t="inlineStr">
        <is>
          <t>Account Code</t>
        </is>
      </c>
      <c r="H5" s="103" t="inlineStr">
        <is>
          <t>Category</t>
        </is>
      </c>
      <c r="I5" s="104" t="inlineStr">
        <is>
          <t>Status</t>
        </is>
      </c>
      <c r="J5" s="103" t="inlineStr">
        <is>
          <t>PO Issue Date</t>
        </is>
      </c>
      <c r="K5" s="103" t="inlineStr">
        <is>
          <t>Req. Delivery Date</t>
        </is>
      </c>
      <c r="L5" s="96" t="inlineStr">
        <is>
          <t>Vessel Category</t>
        </is>
      </c>
      <c r="M5" s="96" t="inlineStr">
        <is>
          <t>Po Value</t>
        </is>
      </c>
      <c r="N5" s="96" t="inlineStr">
        <is>
          <t>Po Currency</t>
        </is>
      </c>
      <c r="O5" s="101" t="inlineStr">
        <is>
          <t>Supplier Name</t>
        </is>
      </c>
      <c r="P5" s="122" t="inlineStr">
        <is>
          <t>Contract Status</t>
        </is>
      </c>
    </row>
    <row r="6">
      <c r="A6" s="95" t="inlineStr">
        <is>
          <t>Glovis Luminous</t>
        </is>
      </c>
      <c r="C6" s="95" t="inlineStr">
        <is>
          <t>GLUM-60015/26-1</t>
        </is>
      </c>
      <c r="D6" s="95">
        <f>IF(OR(ISNUMBER(SEARCH("Pre Delivery",E6)),ISNUMBER(SEARCH("Pre-Delivery",E6)),ISNUMBER(SEARCH("Predelivery",E6)),ISNUMBER(SEARCH("PD -",E6)),ISNUMBER(SEARCH("PD Lubes",E6))),"Pre-Delivery","")</f>
        <v/>
      </c>
      <c r="E6" s="95" t="inlineStr">
        <is>
          <t>PD - RSC Envirologic</t>
        </is>
      </c>
      <c r="F6" s="95" t="inlineStr">
        <is>
          <t>Lubricants</t>
        </is>
      </c>
      <c r="G6" s="95" t="n"/>
      <c r="H6" s="141" t="inlineStr">
        <is>
          <t>Spares</t>
        </is>
      </c>
      <c r="I6" s="95" t="inlineStr">
        <is>
          <t>PO Created</t>
        </is>
      </c>
      <c r="L6" s="141" t="inlineStr">
        <is>
          <t>PCTC</t>
        </is>
      </c>
      <c r="M6" s="108" t="inlineStr">
        <is>
          <t xml:space="preserve">#N/A </t>
        </is>
      </c>
      <c r="N6" s="108" t="inlineStr">
        <is>
          <t xml:space="preserve">#N/A </t>
        </is>
      </c>
      <c r="O6" s="108" t="inlineStr">
        <is>
          <t xml:space="preserve">#N/A </t>
        </is>
      </c>
      <c r="P6" s="123" t="inlineStr">
        <is>
          <t xml:space="preserve">#N/A </t>
        </is>
      </c>
    </row>
    <row r="7">
      <c r="A7" s="95" t="inlineStr">
        <is>
          <t>Glovis Luminous</t>
        </is>
      </c>
      <c r="C7" s="95" t="inlineStr">
        <is>
          <t>GLUM-60003/26-1</t>
        </is>
      </c>
      <c r="D7" s="95">
        <f>IF(OR(ISNUMBER(SEARCH("Pre Delivery",E7)),ISNUMBER(SEARCH("Pre-Delivery",E7)),ISNUMBER(SEARCH("Predelivery",E7)),ISNUMBER(SEARCH("PD -",E7)),ISNUMBER(SEARCH("PD Lubes",E7))),"Pre-Delivery","")</f>
        <v/>
      </c>
      <c r="E7" s="95" t="inlineStr">
        <is>
          <t>FS-ITBP  -luminous</t>
        </is>
      </c>
      <c r="F7" s="95" t="inlineStr">
        <is>
          <t>IT Equipment - ITBP</t>
        </is>
      </c>
      <c r="G7" s="95" t="n"/>
      <c r="H7" s="141" t="inlineStr">
        <is>
          <t>Spares</t>
        </is>
      </c>
      <c r="I7" s="95" t="inlineStr">
        <is>
          <t>Pending Delivery</t>
        </is>
      </c>
      <c r="J7" s="97" t="n">
        <v>46055</v>
      </c>
      <c r="L7" s="141" t="inlineStr">
        <is>
          <t>PCTC</t>
        </is>
      </c>
      <c r="M7" s="108" t="inlineStr">
        <is>
          <t xml:space="preserve">#N/A </t>
        </is>
      </c>
      <c r="N7" s="108" t="inlineStr">
        <is>
          <t xml:space="preserve">#N/A </t>
        </is>
      </c>
      <c r="O7" s="108" t="inlineStr">
        <is>
          <t xml:space="preserve">#N/A </t>
        </is>
      </c>
      <c r="P7" s="123" t="inlineStr">
        <is>
          <t xml:space="preserve">#N/A </t>
        </is>
      </c>
    </row>
    <row r="8">
      <c r="A8" s="95" t="inlineStr">
        <is>
          <t>Glovis Luminous</t>
        </is>
      </c>
      <c r="C8" s="95" t="inlineStr">
        <is>
          <t>GLUM-MVSP-60002/26-1</t>
        </is>
      </c>
      <c r="D8" s="95">
        <f>IF(OR(ISNUMBER(SEARCH("Pre Delivery",E8)),ISNUMBER(SEARCH("Pre-Delivery",E8)),ISNUMBER(SEARCH("Predelivery",E8)),ISNUMBER(SEARCH("PD -",E8)),ISNUMBER(SEARCH("PD Lubes",E8))),"Pre-Delivery","")</f>
        <v/>
      </c>
      <c r="E8" s="95" t="inlineStr">
        <is>
          <t>FS-X10-SILVERPEAK</t>
        </is>
      </c>
      <c r="F8" s="95" t="inlineStr">
        <is>
          <t>IT Equipment - X10 System</t>
        </is>
      </c>
      <c r="G8" s="95" t="n"/>
      <c r="H8" s="141" t="inlineStr">
        <is>
          <t>Spares</t>
        </is>
      </c>
      <c r="I8" s="95" t="inlineStr">
        <is>
          <t>Pending Supplier Confirmation</t>
        </is>
      </c>
      <c r="J8" s="97" t="n">
        <v>46101</v>
      </c>
      <c r="L8" s="141" t="inlineStr">
        <is>
          <t>PCTC</t>
        </is>
      </c>
      <c r="M8" s="108" t="inlineStr">
        <is>
          <t xml:space="preserve">#N/A </t>
        </is>
      </c>
      <c r="N8" s="108" t="inlineStr">
        <is>
          <t xml:space="preserve">#N/A </t>
        </is>
      </c>
      <c r="O8" s="108" t="inlineStr">
        <is>
          <t xml:space="preserve">#N/A </t>
        </is>
      </c>
      <c r="P8" s="123" t="inlineStr">
        <is>
          <t xml:space="preserve">#N/A </t>
        </is>
      </c>
    </row>
    <row r="9">
      <c r="A9" s="95" t="inlineStr">
        <is>
          <t>Glovis Luminous</t>
        </is>
      </c>
      <c r="C9" s="95" t="inlineStr">
        <is>
          <t>GLUM-60024/26-1</t>
        </is>
      </c>
      <c r="D9" s="95">
        <f>IF(OR(ISNUMBER(SEARCH("Pre Delivery",E9)),ISNUMBER(SEARCH("Pre-Delivery",E9)),ISNUMBER(SEARCH("Predelivery",E9)),ISNUMBER(SEARCH("PD -",E9)),ISNUMBER(SEARCH("PD Lubes",E9))),"Pre-Delivery","")</f>
        <v/>
      </c>
      <c r="E9" s="95" t="inlineStr">
        <is>
          <t>Service: LNG OPERATION MANUAL Development</t>
        </is>
      </c>
      <c r="F9" s="95" t="inlineStr">
        <is>
          <t>LNG Operation Manual</t>
        </is>
      </c>
      <c r="G9" s="95" t="n"/>
      <c r="H9" s="141" t="inlineStr">
        <is>
          <t>Spares</t>
        </is>
      </c>
      <c r="I9" s="95" t="inlineStr">
        <is>
          <t>PO Created</t>
        </is>
      </c>
      <c r="L9" s="141" t="inlineStr">
        <is>
          <t>PCTC</t>
        </is>
      </c>
      <c r="M9" s="108" t="inlineStr">
        <is>
          <t xml:space="preserve">#N/A </t>
        </is>
      </c>
      <c r="N9" s="108" t="inlineStr">
        <is>
          <t xml:space="preserve">#N/A </t>
        </is>
      </c>
      <c r="O9" s="108" t="inlineStr">
        <is>
          <t xml:space="preserve">#N/A </t>
        </is>
      </c>
      <c r="P9" s="123" t="inlineStr">
        <is>
          <t xml:space="preserve">#N/A </t>
        </is>
      </c>
    </row>
    <row r="10">
      <c r="A10" s="95" t="inlineStr">
        <is>
          <t>Glovis Luminous</t>
        </is>
      </c>
      <c r="C10" s="95" t="inlineStr">
        <is>
          <t>GLUM-60006/26-1</t>
        </is>
      </c>
      <c r="D10" s="95">
        <f>IF(OR(ISNUMBER(SEARCH("Pre Delivery",E10)),ISNUMBER(SEARCH("Pre-Delivery",E10)),ISNUMBER(SEARCH("Predelivery",E10)),ISNUMBER(SEARCH("PD -",E10)),ISNUMBER(SEARCH("PD Lubes",E10))),"Pre-Delivery","")</f>
        <v/>
      </c>
      <c r="E10" s="95" t="inlineStr">
        <is>
          <t>Shipyard Extra Buyers Supply - Tripods and Spray Pipes</t>
        </is>
      </c>
      <c r="F10" s="95" t="inlineStr">
        <is>
          <t>Tripods &amp; Spray Pipes</t>
        </is>
      </c>
      <c r="G10" s="95" t="n"/>
      <c r="H10" s="141" t="inlineStr">
        <is>
          <t>Spares</t>
        </is>
      </c>
      <c r="I10" s="95" t="inlineStr">
        <is>
          <t>Pending Delivery</t>
        </is>
      </c>
      <c r="J10" s="97" t="n">
        <v>46091</v>
      </c>
      <c r="L10" s="141" t="inlineStr">
        <is>
          <t>PCTC</t>
        </is>
      </c>
      <c r="M10" s="108" t="inlineStr">
        <is>
          <t xml:space="preserve">#N/A </t>
        </is>
      </c>
      <c r="N10" s="108" t="inlineStr">
        <is>
          <t xml:space="preserve">#N/A </t>
        </is>
      </c>
      <c r="O10" s="108" t="inlineStr">
        <is>
          <t xml:space="preserve">#N/A </t>
        </is>
      </c>
      <c r="P10" s="123" t="inlineStr">
        <is>
          <t xml:space="preserve">#N/A </t>
        </is>
      </c>
    </row>
    <row r="11">
      <c r="A11" s="95" t="inlineStr">
        <is>
          <t>Glovis Luminous</t>
        </is>
      </c>
      <c r="C11" s="95" t="inlineStr">
        <is>
          <t>GLUM-60019/26-1</t>
        </is>
      </c>
      <c r="D11" s="95">
        <f>IF(OR(ISNUMBER(SEARCH("Pre Delivery",E11)),ISNUMBER(SEARCH("Pre-Delivery",E11)),ISNUMBER(SEARCH("Predelivery",E11)),ISNUMBER(SEARCH("PD -",E11)),ISNUMBER(SEARCH("PD Lubes",E11))),"Pre-Delivery","")</f>
        <v/>
      </c>
      <c r="E11" s="95" t="inlineStr">
        <is>
          <t>Shipyard Extra (buyer Supply) - QCDC -GSI</t>
        </is>
      </c>
      <c r="F11" s="95" t="inlineStr">
        <is>
          <t>QCDC</t>
        </is>
      </c>
      <c r="G11" s="95" t="n"/>
      <c r="H11" s="141" t="inlineStr">
        <is>
          <t>Spares</t>
        </is>
      </c>
      <c r="I11" s="95" t="inlineStr">
        <is>
          <t>Pending Supplier Confirmation</t>
        </is>
      </c>
      <c r="J11" s="97" t="n">
        <v>46101</v>
      </c>
      <c r="L11" s="141" t="inlineStr">
        <is>
          <t>PCTC</t>
        </is>
      </c>
      <c r="M11" s="108" t="inlineStr">
        <is>
          <t xml:space="preserve">#N/A </t>
        </is>
      </c>
      <c r="N11" s="108" t="inlineStr">
        <is>
          <t xml:space="preserve">#N/A </t>
        </is>
      </c>
      <c r="O11" s="108" t="inlineStr">
        <is>
          <t xml:space="preserve">#N/A </t>
        </is>
      </c>
      <c r="P11" s="123" t="inlineStr">
        <is>
          <t xml:space="preserve">#N/A </t>
        </is>
      </c>
    </row>
    <row r="12">
      <c r="A12" s="95" t="inlineStr">
        <is>
          <t>Glovis Luminous</t>
        </is>
      </c>
      <c r="C12" s="95" t="inlineStr">
        <is>
          <t>GLUM-60016/26-1</t>
        </is>
      </c>
      <c r="D12" s="95">
        <f>IF(OR(ISNUMBER(SEARCH("Pre Delivery",E12)),ISNUMBER(SEARCH("Pre-Delivery",E12)),ISNUMBER(SEARCH("Predelivery",E12)),ISNUMBER(SEARCH("PD -",E12)),ISNUMBER(SEARCH("PD Lubes",E12))),"Pre-Delivery","")</f>
        <v/>
      </c>
      <c r="E12" s="95" t="inlineStr">
        <is>
          <t>Reliabiltiy Spares - Gas Detection System</t>
        </is>
      </c>
      <c r="F12" s="95" t="inlineStr">
        <is>
          <t>Gas Detection System</t>
        </is>
      </c>
      <c r="G12" s="95" t="n"/>
      <c r="H12" s="141" t="inlineStr">
        <is>
          <t>Spares</t>
        </is>
      </c>
      <c r="I12" s="95" t="inlineStr">
        <is>
          <t>Pending Delivery</t>
        </is>
      </c>
      <c r="J12" s="97" t="n">
        <v>46087</v>
      </c>
      <c r="L12" s="141" t="inlineStr">
        <is>
          <t>PCTC</t>
        </is>
      </c>
      <c r="M12" s="108" t="inlineStr">
        <is>
          <t xml:space="preserve">#N/A </t>
        </is>
      </c>
      <c r="N12" s="108" t="inlineStr">
        <is>
          <t xml:space="preserve">#N/A </t>
        </is>
      </c>
      <c r="O12" s="108" t="inlineStr">
        <is>
          <t xml:space="preserve">#N/A </t>
        </is>
      </c>
      <c r="P12" s="123" t="inlineStr">
        <is>
          <t xml:space="preserve">#N/A </t>
        </is>
      </c>
    </row>
    <row r="13">
      <c r="A13" s="95" t="inlineStr">
        <is>
          <t>Glovis Luminous</t>
        </is>
      </c>
      <c r="C13" s="95" t="inlineStr">
        <is>
          <t>GLUM-60008/26-1</t>
        </is>
      </c>
      <c r="D13" s="95">
        <f>IF(OR(ISNUMBER(SEARCH("Pre Delivery",E13)),ISNUMBER(SEARCH("Pre-Delivery",E13)),ISNUMBER(SEARCH("Predelivery",E13)),ISNUMBER(SEARCH("PD -",E13)),ISNUMBER(SEARCH("PD Lubes",E13))),"Pre-Delivery","")</f>
        <v/>
      </c>
      <c r="E13" s="95" t="inlineStr">
        <is>
          <t>Shipyard Extra Buyers Supply - Hinas SVM SEASPAN 10.8K PCTC</t>
        </is>
      </c>
      <c r="F13" s="95" t="inlineStr">
        <is>
          <t>Navigation - HiNAS SVM</t>
        </is>
      </c>
      <c r="G13" s="95" t="n"/>
      <c r="H13" s="141" t="inlineStr">
        <is>
          <t>Spares</t>
        </is>
      </c>
      <c r="I13" s="95" t="inlineStr">
        <is>
          <t>Pending Supplier Confirmation</t>
        </is>
      </c>
      <c r="J13" s="97" t="n">
        <v>46070</v>
      </c>
      <c r="L13" s="141" t="inlineStr">
        <is>
          <t>PCTC</t>
        </is>
      </c>
      <c r="M13" s="108" t="inlineStr">
        <is>
          <t xml:space="preserve">#N/A </t>
        </is>
      </c>
      <c r="N13" s="108" t="inlineStr">
        <is>
          <t xml:space="preserve">#N/A </t>
        </is>
      </c>
      <c r="O13" s="108" t="inlineStr">
        <is>
          <t xml:space="preserve">#N/A </t>
        </is>
      </c>
      <c r="P13" s="123" t="inlineStr">
        <is>
          <t xml:space="preserve">#N/A </t>
        </is>
      </c>
    </row>
    <row r="14">
      <c r="A14" s="95" t="inlineStr">
        <is>
          <t>Glovis Luminous</t>
        </is>
      </c>
      <c r="C14" s="95" t="inlineStr">
        <is>
          <t>GLUM-60010/26-1</t>
        </is>
      </c>
      <c r="D14" s="95">
        <f>IF(OR(ISNUMBER(SEARCH("Pre Delivery",E14)),ISNUMBER(SEARCH("Pre-Delivery",E14)),ISNUMBER(SEARCH("Predelivery",E14)),ISNUMBER(SEARCH("PD -",E14)),ISNUMBER(SEARCH("PD Lubes",E14))),"Pre-Delivery","")</f>
        <v/>
      </c>
      <c r="E14" s="95" t="inlineStr">
        <is>
          <t>FS-ITBP Additional Item</t>
        </is>
      </c>
      <c r="F14" s="95" t="inlineStr">
        <is>
          <t>IT Equipment - ITBP Additional Items</t>
        </is>
      </c>
      <c r="G14" s="95" t="n"/>
      <c r="H14" s="141" t="inlineStr">
        <is>
          <t>Spares</t>
        </is>
      </c>
      <c r="I14" s="95" t="inlineStr">
        <is>
          <t>Pending Delivery</t>
        </is>
      </c>
      <c r="J14" s="97" t="n">
        <v>46072</v>
      </c>
      <c r="L14" s="141" t="inlineStr">
        <is>
          <t>PCTC</t>
        </is>
      </c>
      <c r="M14" s="108" t="inlineStr">
        <is>
          <t xml:space="preserve">#N/A </t>
        </is>
      </c>
      <c r="N14" s="108" t="inlineStr">
        <is>
          <t xml:space="preserve">#N/A </t>
        </is>
      </c>
      <c r="O14" s="108" t="inlineStr">
        <is>
          <t xml:space="preserve">#N/A </t>
        </is>
      </c>
      <c r="P14" s="123" t="inlineStr">
        <is>
          <t xml:space="preserve">#N/A </t>
        </is>
      </c>
    </row>
    <row r="15">
      <c r="A15" s="95" t="inlineStr">
        <is>
          <t>Glovis Luminous</t>
        </is>
      </c>
      <c r="C15" s="95" t="inlineStr">
        <is>
          <t>GLUM-60023/26-1</t>
        </is>
      </c>
      <c r="D15" s="95">
        <f>IF(OR(ISNUMBER(SEARCH("Pre Delivery",E15)),ISNUMBER(SEARCH("Pre-Delivery",E15)),ISNUMBER(SEARCH("Predelivery",E15)),ISNUMBER(SEARCH("PD -",E15)),ISNUMBER(SEARCH("PD Lubes",E15))),"Pre-Delivery","")</f>
        <v/>
      </c>
      <c r="E15" s="95" t="inlineStr">
        <is>
          <t>Pre Delivery - FLIR Camera</t>
        </is>
      </c>
      <c r="F15" s="95" t="inlineStr">
        <is>
          <t>Thermal Camera (FLIR)</t>
        </is>
      </c>
      <c r="G15" s="95" t="n"/>
      <c r="H15" s="141" t="inlineStr">
        <is>
          <t>Spares</t>
        </is>
      </c>
      <c r="I15" s="95" t="inlineStr">
        <is>
          <t>Pending Delivery</t>
        </is>
      </c>
      <c r="J15" s="97" t="n">
        <v>46099</v>
      </c>
      <c r="L15" s="141" t="inlineStr">
        <is>
          <t>PCTC</t>
        </is>
      </c>
      <c r="M15" s="108" t="inlineStr">
        <is>
          <t xml:space="preserve">#N/A </t>
        </is>
      </c>
      <c r="N15" s="108" t="inlineStr">
        <is>
          <t xml:space="preserve">#N/A </t>
        </is>
      </c>
      <c r="O15" s="108" t="inlineStr">
        <is>
          <t xml:space="preserve">#N/A </t>
        </is>
      </c>
      <c r="P15" s="123" t="inlineStr">
        <is>
          <t xml:space="preserve">#N/A </t>
        </is>
      </c>
    </row>
    <row r="16">
      <c r="A16" s="95" t="inlineStr">
        <is>
          <t>Glovis Luminous</t>
        </is>
      </c>
      <c r="C16" s="95" t="inlineStr">
        <is>
          <t>GLUM-60001/26-1</t>
        </is>
      </c>
      <c r="D16" s="95">
        <f>IF(OR(ISNUMBER(SEARCH("Pre Delivery",E16)),ISNUMBER(SEARCH("Pre-Delivery",E16)),ISNUMBER(SEARCH("Predelivery",E16)),ISNUMBER(SEARCH("PD -",E16)),ISNUMBER(SEARCH("PD Lubes",E16))),"Pre-Delivery","")</f>
        <v/>
      </c>
      <c r="E16" s="95" t="inlineStr">
        <is>
          <t>Shipyard Extra Owner supply - Captains Eye</t>
        </is>
      </c>
      <c r="F16" s="95" t="inlineStr">
        <is>
          <t>Navigation - Captains Eye</t>
        </is>
      </c>
      <c r="G16" s="95" t="n"/>
      <c r="H16" s="141" t="inlineStr">
        <is>
          <t>Spares</t>
        </is>
      </c>
      <c r="I16" s="95" t="inlineStr">
        <is>
          <t>Pending Delivery</t>
        </is>
      </c>
      <c r="J16" s="97" t="n">
        <v>46037</v>
      </c>
      <c r="L16" s="141" t="inlineStr">
        <is>
          <t>PCTC</t>
        </is>
      </c>
      <c r="M16" s="108" t="inlineStr">
        <is>
          <t xml:space="preserve">#N/A </t>
        </is>
      </c>
      <c r="N16" s="108" t="inlineStr">
        <is>
          <t xml:space="preserve">#N/A </t>
        </is>
      </c>
      <c r="O16" s="108" t="inlineStr">
        <is>
          <t xml:space="preserve">#N/A </t>
        </is>
      </c>
      <c r="P16" s="123" t="inlineStr">
        <is>
          <t xml:space="preserve">#N/A </t>
        </is>
      </c>
    </row>
    <row r="17">
      <c r="A17" s="95" t="inlineStr">
        <is>
          <t>Glovis Luminous</t>
        </is>
      </c>
      <c r="C17" s="95" t="inlineStr">
        <is>
          <t>GLUM-60017/26-1</t>
        </is>
      </c>
      <c r="D17" s="95">
        <f>IF(OR(ISNUMBER(SEARCH("Pre Delivery",E17)),ISNUMBER(SEARCH("Pre-Delivery",E17)),ISNUMBER(SEARCH("Predelivery",E17)),ISNUMBER(SEARCH("PD -",E17)),ISNUMBER(SEARCH("PD Lubes",E17))),"Pre-Delivery","")</f>
        <v/>
      </c>
      <c r="E17" s="95" t="inlineStr">
        <is>
          <t>Reliability Spares - Fire detection system</t>
        </is>
      </c>
      <c r="F17" s="95" t="inlineStr">
        <is>
          <t>Fire Detection System</t>
        </is>
      </c>
      <c r="G17" s="95" t="n"/>
      <c r="H17" s="141" t="inlineStr">
        <is>
          <t>Spares</t>
        </is>
      </c>
      <c r="I17" s="95" t="inlineStr">
        <is>
          <t>Pending Delivery</t>
        </is>
      </c>
      <c r="J17" s="97" t="n">
        <v>46087</v>
      </c>
      <c r="L17" s="141" t="inlineStr">
        <is>
          <t>PCTC</t>
        </is>
      </c>
      <c r="M17" s="108" t="inlineStr">
        <is>
          <t xml:space="preserve">#N/A </t>
        </is>
      </c>
      <c r="N17" s="108" t="inlineStr">
        <is>
          <t xml:space="preserve">#N/A </t>
        </is>
      </c>
      <c r="O17" s="108" t="inlineStr">
        <is>
          <t xml:space="preserve">#N/A </t>
        </is>
      </c>
      <c r="P17" s="123" t="inlineStr">
        <is>
          <t xml:space="preserve">#N/A </t>
        </is>
      </c>
    </row>
    <row r="18">
      <c r="A18" s="95" t="inlineStr">
        <is>
          <t>Glovis Luminous</t>
        </is>
      </c>
      <c r="C18" s="95" t="inlineStr">
        <is>
          <t>GLUM-60002/26-1</t>
        </is>
      </c>
      <c r="D18" s="95">
        <f>IF(OR(ISNUMBER(SEARCH("Pre Delivery",E18)),ISNUMBER(SEARCH("Pre-Delivery",E18)),ISNUMBER(SEARCH("Predelivery",E18)),ISNUMBER(SEARCH("PD -",E18)),ISNUMBER(SEARCH("PD Lubes",E18))),"Pre-Delivery","")</f>
        <v/>
      </c>
      <c r="E18" s="95" t="inlineStr">
        <is>
          <t>FS-KVH-GSI</t>
        </is>
      </c>
      <c r="F18" s="95" t="inlineStr">
        <is>
          <t>Communications - VSAT (KVH)</t>
        </is>
      </c>
      <c r="G18" s="95" t="n"/>
      <c r="H18" s="141" t="inlineStr">
        <is>
          <t>Spares</t>
        </is>
      </c>
      <c r="I18" s="95" t="inlineStr">
        <is>
          <t>Pending Delivery</t>
        </is>
      </c>
      <c r="J18" s="97" t="n">
        <v>46048</v>
      </c>
      <c r="L18" s="141" t="inlineStr">
        <is>
          <t>PCTC</t>
        </is>
      </c>
      <c r="M18" s="108" t="inlineStr">
        <is>
          <t xml:space="preserve">#N/A </t>
        </is>
      </c>
      <c r="N18" s="108" t="inlineStr">
        <is>
          <t xml:space="preserve">#N/A </t>
        </is>
      </c>
      <c r="O18" s="108" t="inlineStr">
        <is>
          <t xml:space="preserve">#N/A </t>
        </is>
      </c>
      <c r="P18" s="123" t="inlineStr">
        <is>
          <t xml:space="preserve">#N/A </t>
        </is>
      </c>
    </row>
    <row r="19">
      <c r="A19" s="95" t="inlineStr">
        <is>
          <t>Glovis Luminous</t>
        </is>
      </c>
      <c r="C19" s="95" t="inlineStr">
        <is>
          <t>GLUM-60022/26-1</t>
        </is>
      </c>
      <c r="D19" s="95">
        <f>IF(OR(ISNUMBER(SEARCH("Pre Delivery",E19)),ISNUMBER(SEARCH("Pre-Delivery",E19)),ISNUMBER(SEARCH("Predelivery",E19)),ISNUMBER(SEARCH("PD -",E19)),ISNUMBER(SEARCH("PD Lubes",E19))),"Pre-Delivery","")</f>
        <v/>
      </c>
      <c r="E19" s="95" t="inlineStr">
        <is>
          <t>Pre Delivery - Sample Cooler</t>
        </is>
      </c>
      <c r="F19" s="95" t="inlineStr">
        <is>
          <t>Sample Cooler</t>
        </is>
      </c>
      <c r="G19" s="95" t="n"/>
      <c r="H19" s="141" t="inlineStr">
        <is>
          <t>Spares</t>
        </is>
      </c>
      <c r="I19" s="95" t="inlineStr">
        <is>
          <t>Pending Supplier Confirmation</t>
        </is>
      </c>
      <c r="J19" s="97" t="n">
        <v>46101</v>
      </c>
      <c r="L19" s="141" t="inlineStr">
        <is>
          <t>PCTC</t>
        </is>
      </c>
      <c r="M19" s="108" t="inlineStr">
        <is>
          <t xml:space="preserve">#N/A </t>
        </is>
      </c>
      <c r="N19" s="108" t="inlineStr">
        <is>
          <t xml:space="preserve">#N/A </t>
        </is>
      </c>
      <c r="O19" s="108" t="inlineStr">
        <is>
          <t xml:space="preserve">#N/A </t>
        </is>
      </c>
      <c r="P19" s="123" t="inlineStr">
        <is>
          <t xml:space="preserve">#N/A </t>
        </is>
      </c>
    </row>
    <row r="20">
      <c r="A20" s="95" t="inlineStr">
        <is>
          <t>Glovis Luminous</t>
        </is>
      </c>
      <c r="C20" s="95" t="inlineStr">
        <is>
          <t>GLUM-60009/26-1</t>
        </is>
      </c>
      <c r="D20" s="95">
        <f>IF(OR(ISNUMBER(SEARCH("Pre Delivery",E20)),ISNUMBER(SEARCH("Pre-Delivery",E20)),ISNUMBER(SEARCH("Predelivery",E20)),ISNUMBER(SEARCH("PD -",E20)),ISNUMBER(SEARCH("PD Lubes",E20))),"Pre-Delivery","")</f>
        <v/>
      </c>
      <c r="E20" s="95" t="inlineStr">
        <is>
          <t>FS-ITBP CABLES</t>
        </is>
      </c>
      <c r="F20" s="95" t="inlineStr">
        <is>
          <t>IT Equipment - ITBP Cables</t>
        </is>
      </c>
      <c r="G20" s="95" t="n"/>
      <c r="H20" s="141" t="inlineStr">
        <is>
          <t>Spares</t>
        </is>
      </c>
      <c r="I20" s="95" t="inlineStr">
        <is>
          <t>Pending Supplier Confirmation</t>
        </is>
      </c>
      <c r="J20" s="97" t="n">
        <v>46071</v>
      </c>
      <c r="L20" s="141" t="inlineStr">
        <is>
          <t>PCTC</t>
        </is>
      </c>
      <c r="M20" s="108" t="inlineStr">
        <is>
          <t xml:space="preserve">#N/A </t>
        </is>
      </c>
      <c r="N20" s="108" t="inlineStr">
        <is>
          <t xml:space="preserve">#N/A </t>
        </is>
      </c>
      <c r="O20" s="108" t="inlineStr">
        <is>
          <t xml:space="preserve">#N/A </t>
        </is>
      </c>
      <c r="P20" s="123" t="inlineStr">
        <is>
          <t xml:space="preserve">#N/A </t>
        </is>
      </c>
    </row>
    <row r="21">
      <c r="A21" s="95" t="inlineStr">
        <is>
          <t>Glovis Luminous</t>
        </is>
      </c>
      <c r="C21" s="95" t="inlineStr">
        <is>
          <t>GLUM-60007/26-1</t>
        </is>
      </c>
      <c r="D21" s="95">
        <f>IF(OR(ISNUMBER(SEARCH("Pre Delivery",E21)),ISNUMBER(SEARCH("Pre-Delivery",E21)),ISNUMBER(SEARCH("Predelivery",E21)),ISNUMBER(SEARCH("PD -",E21)),ISNUMBER(SEARCH("PD Lubes",E21))),"Pre-Delivery","")</f>
        <v/>
      </c>
      <c r="E21" s="95" t="inlineStr">
        <is>
          <t>FS-LENOVO-Luminous</t>
        </is>
      </c>
      <c r="F21" s="95" t="inlineStr">
        <is>
          <t>IT Equipment - Computers (Lenovo)</t>
        </is>
      </c>
      <c r="G21" s="95" t="n"/>
      <c r="H21" s="141" t="inlineStr">
        <is>
          <t>Spares</t>
        </is>
      </c>
      <c r="I21" s="95" t="inlineStr">
        <is>
          <t>Pending Delivery</t>
        </is>
      </c>
      <c r="J21" s="97" t="n">
        <v>46066</v>
      </c>
      <c r="L21" s="141" t="inlineStr">
        <is>
          <t>PCTC</t>
        </is>
      </c>
      <c r="M21" s="108" t="inlineStr">
        <is>
          <t xml:space="preserve">#N/A </t>
        </is>
      </c>
      <c r="N21" s="108" t="inlineStr">
        <is>
          <t xml:space="preserve">#N/A </t>
        </is>
      </c>
      <c r="O21" s="108" t="inlineStr">
        <is>
          <t xml:space="preserve">#N/A </t>
        </is>
      </c>
      <c r="P21" s="123" t="inlineStr">
        <is>
          <t xml:space="preserve">#N/A </t>
        </is>
      </c>
    </row>
    <row r="22">
      <c r="A22" s="95" t="inlineStr">
        <is>
          <t>Glovis Luminous</t>
        </is>
      </c>
      <c r="C22" s="95" t="inlineStr">
        <is>
          <t>GLUM-60012/26-1</t>
        </is>
      </c>
      <c r="D22" s="95">
        <f>IF(OR(ISNUMBER(SEARCH("Pre Delivery",E22)),ISNUMBER(SEARCH("Pre-Delivery",E22)),ISNUMBER(SEARCH("Predelivery",E22)),ISNUMBER(SEARCH("PD -",E22)),ISNUMBER(SEARCH("PD Lubes",E22))),"Pre-Delivery","")</f>
        <v/>
      </c>
      <c r="E22" s="95" t="inlineStr">
        <is>
          <t>FS-ITBP MISC LAB KIT</t>
        </is>
      </c>
      <c r="F22" s="95" t="inlineStr">
        <is>
          <t>IT Equipment - ITBP Lab Kit</t>
        </is>
      </c>
      <c r="G22" s="95" t="n"/>
      <c r="H22" s="141" t="inlineStr">
        <is>
          <t>Spares</t>
        </is>
      </c>
      <c r="I22" s="95" t="inlineStr">
        <is>
          <t>Pending Delivery</t>
        </is>
      </c>
      <c r="J22" s="97" t="n">
        <v>46079</v>
      </c>
      <c r="L22" s="141" t="inlineStr">
        <is>
          <t>PCTC</t>
        </is>
      </c>
      <c r="M22" s="108" t="inlineStr">
        <is>
          <t xml:space="preserve">#N/A </t>
        </is>
      </c>
      <c r="N22" s="108" t="inlineStr">
        <is>
          <t xml:space="preserve">#N/A </t>
        </is>
      </c>
      <c r="O22" s="108" t="inlineStr">
        <is>
          <t xml:space="preserve">#N/A </t>
        </is>
      </c>
      <c r="P22" s="123" t="inlineStr">
        <is>
          <t xml:space="preserve">#N/A </t>
        </is>
      </c>
    </row>
    <row r="23">
      <c r="A23" s="95" t="inlineStr">
        <is>
          <t>Glovis Luminous</t>
        </is>
      </c>
      <c r="C23" s="95" t="inlineStr">
        <is>
          <t>GLUM-60020/26-1</t>
        </is>
      </c>
      <c r="D23" s="95">
        <f>IF(OR(ISNUMBER(SEARCH("Pre Delivery",E23)),ISNUMBER(SEARCH("Pre-Delivery",E23)),ISNUMBER(SEARCH("Predelivery",E23)),ISNUMBER(SEARCH("PD -",E23)),ISNUMBER(SEARCH("PD Lubes",E23))),"Pre-Delivery","")</f>
        <v/>
      </c>
      <c r="E23" s="95" t="inlineStr">
        <is>
          <t>Pre Delivery - Cryogenic PPE</t>
        </is>
      </c>
      <c r="F23" s="95" t="inlineStr">
        <is>
          <t>Cryogenic PPE</t>
        </is>
      </c>
      <c r="G23" s="95" t="n"/>
      <c r="H23" s="141" t="inlineStr">
        <is>
          <t>Spares</t>
        </is>
      </c>
      <c r="I23" s="95" t="inlineStr">
        <is>
          <t>Pending Supplier Confirmation</t>
        </is>
      </c>
      <c r="J23" s="97" t="n">
        <v>46098</v>
      </c>
      <c r="L23" s="141" t="inlineStr">
        <is>
          <t>PCTC</t>
        </is>
      </c>
      <c r="M23" s="108" t="inlineStr">
        <is>
          <t xml:space="preserve">#N/A </t>
        </is>
      </c>
      <c r="N23" s="108" t="inlineStr">
        <is>
          <t xml:space="preserve">#N/A </t>
        </is>
      </c>
      <c r="O23" s="108" t="inlineStr">
        <is>
          <t xml:space="preserve">#N/A </t>
        </is>
      </c>
      <c r="P23" s="123" t="inlineStr">
        <is>
          <t xml:space="preserve">#N/A </t>
        </is>
      </c>
    </row>
    <row r="24">
      <c r="A24" s="95" t="inlineStr">
        <is>
          <t>Glovis Luminous</t>
        </is>
      </c>
      <c r="C24" s="95" t="inlineStr">
        <is>
          <t>GLUM-60018/26-1</t>
        </is>
      </c>
      <c r="D24" s="95">
        <f>IF(OR(ISNUMBER(SEARCH("Pre Delivery",E24)),ISNUMBER(SEARCH("Pre-Delivery",E24)),ISNUMBER(SEARCH("Predelivery",E24)),ISNUMBER(SEARCH("PD -",E24)),ISNUMBER(SEARCH("PD Lubes",E24))),"Pre-Delivery","")</f>
        <v/>
      </c>
      <c r="E24" s="95" t="inlineStr">
        <is>
          <t>Pre Delivery - LNG Bunkering Equipment</t>
        </is>
      </c>
      <c r="F24" s="95" t="inlineStr">
        <is>
          <t>LNG Bunkering Equipment</t>
        </is>
      </c>
      <c r="G24" s="95" t="n"/>
      <c r="H24" s="141" t="inlineStr">
        <is>
          <t>Spares</t>
        </is>
      </c>
      <c r="I24" s="95" t="inlineStr">
        <is>
          <t>Pending Supplier Confirmation</t>
        </is>
      </c>
      <c r="J24" s="97" t="n">
        <v>46100</v>
      </c>
      <c r="L24" s="141" t="inlineStr">
        <is>
          <t>PCTC</t>
        </is>
      </c>
      <c r="M24" s="108" t="inlineStr">
        <is>
          <t xml:space="preserve">#N/A </t>
        </is>
      </c>
      <c r="N24" s="108" t="inlineStr">
        <is>
          <t xml:space="preserve">#N/A </t>
        </is>
      </c>
      <c r="O24" s="108" t="inlineStr">
        <is>
          <t xml:space="preserve">#N/A </t>
        </is>
      </c>
      <c r="P24" s="123" t="inlineStr">
        <is>
          <t xml:space="preserve">#N/A </t>
        </is>
      </c>
    </row>
    <row r="25">
      <c r="A25" s="95" t="inlineStr">
        <is>
          <t>Glovis Luminous</t>
        </is>
      </c>
      <c r="C25" s="95" t="inlineStr">
        <is>
          <t>GLUM-60021/26-1</t>
        </is>
      </c>
      <c r="D25" s="95">
        <f>IF(OR(ISNUMBER(SEARCH("Pre Delivery",E25)),ISNUMBER(SEARCH("Pre-Delivery",E25)),ISNUMBER(SEARCH("Predelivery",E25)),ISNUMBER(SEARCH("PD -",E25)),ISNUMBER(SEARCH("PD Lubes",E25))),"Pre-Delivery","")</f>
        <v/>
      </c>
      <c r="E25" s="95" t="inlineStr">
        <is>
          <t>Pre Delivery - Seatab</t>
        </is>
      </c>
      <c r="F25" s="95" t="inlineStr">
        <is>
          <t>Seatab</t>
        </is>
      </c>
      <c r="G25" s="102" t="n"/>
      <c r="H25" s="141" t="inlineStr">
        <is>
          <t>Spares</t>
        </is>
      </c>
      <c r="I25" s="95" t="inlineStr">
        <is>
          <t>Pending Supplier Confirmation</t>
        </is>
      </c>
      <c r="J25" s="97" t="n">
        <v>46099</v>
      </c>
      <c r="L25" s="141" t="inlineStr">
        <is>
          <t>PCTC</t>
        </is>
      </c>
      <c r="M25" s="108" t="inlineStr">
        <is>
          <t xml:space="preserve">#N/A </t>
        </is>
      </c>
      <c r="N25" s="108" t="inlineStr">
        <is>
          <t xml:space="preserve">#N/A </t>
        </is>
      </c>
      <c r="O25" s="108" t="inlineStr">
        <is>
          <t xml:space="preserve">#N/A </t>
        </is>
      </c>
      <c r="P25" s="123" t="inlineStr">
        <is>
          <t xml:space="preserve">#N/A </t>
        </is>
      </c>
    </row>
    <row r="26">
      <c r="A26" s="95" t="inlineStr">
        <is>
          <t>Glovis Luminous</t>
        </is>
      </c>
      <c r="C26" s="95" t="inlineStr">
        <is>
          <t>GLUM-60004/26-1</t>
        </is>
      </c>
      <c r="D26" s="95">
        <f>IF(OR(ISNUMBER(SEARCH("Pre Delivery",E26)),ISNUMBER(SEARCH("Pre-Delivery",E26)),ISNUMBER(SEARCH("Predelivery",E26)),ISNUMBER(SEARCH("PD -",E26)),ISNUMBER(SEARCH("PD Lubes",E26))),"Pre-Delivery","")</f>
        <v/>
      </c>
      <c r="E26" s="102" t="inlineStr">
        <is>
          <t>Pre Delivery - Garbage Compactor</t>
        </is>
      </c>
      <c r="F26" s="95" t="inlineStr">
        <is>
          <t>Garbage Compactor</t>
        </is>
      </c>
      <c r="G26" s="102" t="n"/>
      <c r="H26" s="141" t="inlineStr">
        <is>
          <t>Spares</t>
        </is>
      </c>
      <c r="I26" s="95" t="inlineStr">
        <is>
          <t>Pending Delivery</t>
        </is>
      </c>
      <c r="J26" s="97" t="n">
        <v>46059</v>
      </c>
      <c r="L26" s="141" t="inlineStr">
        <is>
          <t>PCTC</t>
        </is>
      </c>
      <c r="M26" s="108" t="inlineStr">
        <is>
          <t xml:space="preserve">#N/A </t>
        </is>
      </c>
      <c r="N26" s="108" t="inlineStr">
        <is>
          <t xml:space="preserve">#N/A </t>
        </is>
      </c>
      <c r="O26" s="108" t="inlineStr">
        <is>
          <t xml:space="preserve">#N/A </t>
        </is>
      </c>
      <c r="P26" s="123" t="inlineStr">
        <is>
          <t xml:space="preserve">#N/A </t>
        </is>
      </c>
    </row>
    <row r="27">
      <c r="A27" s="95" t="inlineStr">
        <is>
          <t>Glovis Luminous</t>
        </is>
      </c>
      <c r="C27" s="95" t="inlineStr">
        <is>
          <t>GLUM-60005/26-1</t>
        </is>
      </c>
      <c r="D27" s="95">
        <f>IF(OR(ISNUMBER(SEARCH("Pre Delivery",E27)),ISNUMBER(SEARCH("Pre-Delivery",E27)),ISNUMBER(SEARCH("Predelivery",E27)),ISNUMBER(SEARCH("PD -",E27)),ISNUMBER(SEARCH("PD Lubes",E27))),"Pre-Delivery","")</f>
        <v/>
      </c>
      <c r="E27" s="95" t="inlineStr">
        <is>
          <t>SHIPYARD EXTRA ONWER SUPPLY - Abanaki Skimmers</t>
        </is>
      </c>
      <c r="F27" s="95" t="inlineStr">
        <is>
          <t>Oil Skimmers - Abanaki</t>
        </is>
      </c>
      <c r="G27" s="95" t="n"/>
      <c r="H27" s="141" t="inlineStr">
        <is>
          <t>Spares</t>
        </is>
      </c>
      <c r="I27" s="95" t="inlineStr">
        <is>
          <t>Pending Supplier Confirmation</t>
        </is>
      </c>
      <c r="J27" s="97" t="n">
        <v>46065</v>
      </c>
      <c r="L27" s="141" t="inlineStr">
        <is>
          <t>PCTC</t>
        </is>
      </c>
      <c r="M27" s="108" t="inlineStr">
        <is>
          <t xml:space="preserve">#N/A </t>
        </is>
      </c>
      <c r="N27" s="108" t="inlineStr">
        <is>
          <t xml:space="preserve">#N/A </t>
        </is>
      </c>
      <c r="O27" s="108" t="inlineStr">
        <is>
          <t xml:space="preserve">#N/A </t>
        </is>
      </c>
      <c r="P27" s="123" t="inlineStr">
        <is>
          <t xml:space="preserve">#N/A </t>
        </is>
      </c>
    </row>
    <row r="28">
      <c r="A28" s="95" t="inlineStr">
        <is>
          <t>Glovis Luminous</t>
        </is>
      </c>
      <c r="C28" s="95" t="inlineStr">
        <is>
          <t>GLUM-60014/26</t>
        </is>
      </c>
      <c r="D28" s="95">
        <f>IF(OR(ISNUMBER(SEARCH("Pre Delivery",E28)),ISNUMBER(SEARCH("Pre-Delivery",E28)),ISNUMBER(SEARCH("Predelivery",E28)),ISNUMBER(SEARCH("PD -",E28)),ISNUMBER(SEARCH("PD Lubes",E28))),"Pre-Delivery","")</f>
        <v/>
      </c>
      <c r="E28" s="95" t="inlineStr">
        <is>
          <t>Reliability Spares - PCTC-Seaspan - Boilers QUOT26012103</t>
        </is>
      </c>
      <c r="F28" s="95" t="inlineStr">
        <is>
          <t>Boiler Spares</t>
        </is>
      </c>
      <c r="G28" s="95" t="n"/>
      <c r="H28" s="141" t="inlineStr">
        <is>
          <t>Spares</t>
        </is>
      </c>
      <c r="I28" s="95" t="inlineStr">
        <is>
          <t>Pending Approval</t>
        </is>
      </c>
      <c r="J28" s="97" t="n">
        <v>46078</v>
      </c>
      <c r="K28" s="141" t="inlineStr">
        <is>
          <t>To be Approved</t>
        </is>
      </c>
      <c r="L28" s="141" t="inlineStr">
        <is>
          <t>PCTC</t>
        </is>
      </c>
      <c r="M28" s="108" t="inlineStr">
        <is>
          <t xml:space="preserve">#N/A </t>
        </is>
      </c>
      <c r="N28" s="108" t="inlineStr">
        <is>
          <t xml:space="preserve">#N/A </t>
        </is>
      </c>
      <c r="O28" s="108" t="inlineStr">
        <is>
          <t xml:space="preserve">#N/A </t>
        </is>
      </c>
      <c r="P28" s="123" t="inlineStr">
        <is>
          <t xml:space="preserve">#N/A </t>
        </is>
      </c>
    </row>
    <row r="29">
      <c r="A29" s="95" t="inlineStr">
        <is>
          <t>Glovis Luminous</t>
        </is>
      </c>
      <c r="C29" s="95" t="inlineStr">
        <is>
          <t>GLUM-60025/26</t>
        </is>
      </c>
      <c r="D29" s="95">
        <f>IF(OR(ISNUMBER(SEARCH("Pre Delivery",E29)),ISNUMBER(SEARCH("Pre-Delivery",E29)),ISNUMBER(SEARCH("Predelivery",E29)),ISNUMBER(SEARCH("PD -",E29)),ISNUMBER(SEARCH("PD Lubes",E29))),"Pre-Delivery","")</f>
        <v/>
      </c>
      <c r="E29" s="95" t="inlineStr">
        <is>
          <t>Ultrasonic Cleaner</t>
        </is>
      </c>
      <c r="F29" s="95" t="inlineStr">
        <is>
          <t>Ultrasonic Cleaner</t>
        </is>
      </c>
      <c r="G29" s="95" t="n"/>
      <c r="H29" s="141" t="inlineStr">
        <is>
          <t>Stores</t>
        </is>
      </c>
      <c r="I29" s="95" t="inlineStr">
        <is>
          <t>Pending Approval</t>
        </is>
      </c>
      <c r="K29" s="141" t="inlineStr">
        <is>
          <t>To be Approved</t>
        </is>
      </c>
      <c r="L29" s="141" t="inlineStr">
        <is>
          <t>PCTC</t>
        </is>
      </c>
      <c r="M29" s="108" t="inlineStr">
        <is>
          <t xml:space="preserve">#N/A </t>
        </is>
      </c>
      <c r="N29" s="108" t="inlineStr">
        <is>
          <t xml:space="preserve">#N/A </t>
        </is>
      </c>
      <c r="O29" s="108" t="inlineStr">
        <is>
          <t xml:space="preserve">#N/A </t>
        </is>
      </c>
      <c r="P29" s="123" t="inlineStr">
        <is>
          <t xml:space="preserve">#N/A </t>
        </is>
      </c>
    </row>
    <row r="30">
      <c r="A30" s="95" t="inlineStr">
        <is>
          <t>Glovis Luminous</t>
        </is>
      </c>
      <c r="C30" s="95" t="inlineStr">
        <is>
          <t>GLUM-60026/26</t>
        </is>
      </c>
      <c r="D30" s="95">
        <f>IF(OR(ISNUMBER(SEARCH("Pre Delivery",E30)),ISNUMBER(SEARCH("Pre-Delivery",E30)),ISNUMBER(SEARCH("Predelivery",E30)),ISNUMBER(SEARCH("PD -",E30)),ISNUMBER(SEARCH("PD Lubes",E30))),"Pre-Delivery","")</f>
        <v/>
      </c>
      <c r="E30" s="95" t="inlineStr">
        <is>
          <t>OPA 90 KIT - 12-barrel kit</t>
        </is>
      </c>
      <c r="F30" s="95" t="inlineStr">
        <is>
          <t>OPA 90 Kit</t>
        </is>
      </c>
      <c r="G30" s="95" t="n"/>
      <c r="H30" s="141" t="inlineStr">
        <is>
          <t>Stores</t>
        </is>
      </c>
      <c r="I30" s="95" t="inlineStr">
        <is>
          <t>Pending Approval</t>
        </is>
      </c>
      <c r="K30" s="141" t="inlineStr">
        <is>
          <t>To be Approved</t>
        </is>
      </c>
      <c r="L30" s="141" t="inlineStr">
        <is>
          <t>PCTC</t>
        </is>
      </c>
      <c r="M30" s="108" t="inlineStr">
        <is>
          <t xml:space="preserve">#N/A </t>
        </is>
      </c>
      <c r="N30" s="108" t="inlineStr">
        <is>
          <t xml:space="preserve">#N/A </t>
        </is>
      </c>
      <c r="O30" s="108" t="inlineStr">
        <is>
          <t xml:space="preserve">#N/A </t>
        </is>
      </c>
      <c r="P30" s="123" t="inlineStr">
        <is>
          <t xml:space="preserve">#N/A </t>
        </is>
      </c>
    </row>
    <row r="31">
      <c r="A31" s="95" t="inlineStr">
        <is>
          <t>Glovis Luminous</t>
        </is>
      </c>
      <c r="C31" s="95" t="inlineStr">
        <is>
          <t>GLUM-60027/26</t>
        </is>
      </c>
      <c r="D31" s="95">
        <f>IF(OR(ISNUMBER(SEARCH("Pre Delivery",E31)),ISNUMBER(SEARCH("Pre-Delivery",E31)),ISNUMBER(SEARCH("Predelivery",E31)),ISNUMBER(SEARCH("PD -",E31)),ISNUMBER(SEARCH("PD Lubes",E31))),"Pre-Delivery","")</f>
        <v/>
      </c>
      <c r="E31" s="95" t="inlineStr">
        <is>
          <t>H.P machine - 2pcs (prefer Branded - Karcher/ KEW)</t>
        </is>
      </c>
      <c r="F31" s="95" t="inlineStr">
        <is>
          <t>High Pressure Washer</t>
        </is>
      </c>
      <c r="G31" s="95" t="n"/>
      <c r="H31" s="141" t="inlineStr">
        <is>
          <t>Stores</t>
        </is>
      </c>
      <c r="I31" s="95" t="inlineStr">
        <is>
          <t>Pending Approval</t>
        </is>
      </c>
      <c r="K31" s="141" t="inlineStr">
        <is>
          <t>To be Approved</t>
        </is>
      </c>
      <c r="L31" s="141" t="inlineStr">
        <is>
          <t>PCTC</t>
        </is>
      </c>
      <c r="M31" s="108" t="inlineStr">
        <is>
          <t xml:space="preserve">#N/A </t>
        </is>
      </c>
      <c r="N31" s="108" t="inlineStr">
        <is>
          <t xml:space="preserve">#N/A </t>
        </is>
      </c>
      <c r="O31" s="108" t="inlineStr">
        <is>
          <t xml:space="preserve">#N/A </t>
        </is>
      </c>
      <c r="P31" s="123" t="inlineStr">
        <is>
          <t xml:space="preserve">#N/A </t>
        </is>
      </c>
    </row>
    <row r="32">
      <c r="A32" s="95" t="inlineStr">
        <is>
          <t>Glovis Luminous</t>
        </is>
      </c>
      <c r="C32" s="95" t="inlineStr">
        <is>
          <t>GLUM-60028/26</t>
        </is>
      </c>
      <c r="D32" s="95">
        <f>IF(OR(ISNUMBER(SEARCH("Pre Delivery",E32)),ISNUMBER(SEARCH("Pre-Delivery",E32)),ISNUMBER(SEARCH("Predelivery",E32)),ISNUMBER(SEARCH("PD -",E32)),ISNUMBER(SEARCH("PD Lubes",E32))),"Pre-Delivery","")</f>
        <v/>
      </c>
      <c r="E32" s="95" t="inlineStr">
        <is>
          <t>Steam Splash Suit</t>
        </is>
      </c>
      <c r="F32" s="95" t="inlineStr">
        <is>
          <t>Steam Splash Suit</t>
        </is>
      </c>
      <c r="G32" s="95" t="n"/>
      <c r="H32" s="141" t="inlineStr">
        <is>
          <t>Stores</t>
        </is>
      </c>
      <c r="I32" s="95" t="inlineStr">
        <is>
          <t>Pending Approval</t>
        </is>
      </c>
      <c r="K32" s="141" t="inlineStr">
        <is>
          <t>To be Approved</t>
        </is>
      </c>
      <c r="L32" s="141" t="inlineStr">
        <is>
          <t>PCTC</t>
        </is>
      </c>
      <c r="M32" s="108" t="inlineStr">
        <is>
          <t xml:space="preserve">#N/A </t>
        </is>
      </c>
      <c r="N32" s="108" t="inlineStr">
        <is>
          <t xml:space="preserve">#N/A </t>
        </is>
      </c>
      <c r="O32" s="108" t="inlineStr">
        <is>
          <t xml:space="preserve">#N/A </t>
        </is>
      </c>
      <c r="P32" s="123" t="inlineStr">
        <is>
          <t xml:space="preserve">#N/A </t>
        </is>
      </c>
    </row>
    <row r="33" ht="19.5" customFormat="1" customHeight="1" s="100" thickBot="1">
      <c r="A33" s="98" t="inlineStr">
        <is>
          <t>Glovis Luminous</t>
        </is>
      </c>
      <c r="B33" s="142" t="n"/>
      <c r="C33" s="98" t="inlineStr">
        <is>
          <t>GLUM-60033/26</t>
        </is>
      </c>
      <c r="D33" s="98">
        <f>IF(OR(ISNUMBER(SEARCH("Pre Delivery",E33)),ISNUMBER(SEARCH("Pre-Delivery",E33)),ISNUMBER(SEARCH("Predelivery",E33)),ISNUMBER(SEARCH("PD -",E33)),ISNUMBER(SEARCH("PD Lubes",E33))),"Pre-Delivery","")</f>
        <v/>
      </c>
      <c r="E33" s="98" t="inlineStr">
        <is>
          <t>Gas Meter</t>
        </is>
      </c>
      <c r="F33" s="98" t="inlineStr">
        <is>
          <t>Gas Meters</t>
        </is>
      </c>
      <c r="G33" s="98" t="n"/>
      <c r="H33" s="142" t="inlineStr">
        <is>
          <t>Stores</t>
        </is>
      </c>
      <c r="I33" s="98" t="n"/>
      <c r="J33" s="142" t="n"/>
      <c r="K33" s="142" t="n"/>
      <c r="L33" s="142" t="inlineStr">
        <is>
          <t>PCTC</t>
        </is>
      </c>
      <c r="M33" s="110" t="inlineStr">
        <is>
          <t xml:space="preserve">#N/A </t>
        </is>
      </c>
      <c r="N33" s="110" t="inlineStr">
        <is>
          <t xml:space="preserve">#N/A </t>
        </is>
      </c>
      <c r="O33" s="110" t="inlineStr">
        <is>
          <t xml:space="preserve">#N/A </t>
        </is>
      </c>
      <c r="P33" s="124" t="inlineStr">
        <is>
          <t xml:space="preserve">#N/A </t>
        </is>
      </c>
    </row>
    <row r="34">
      <c r="A34" s="95" t="inlineStr">
        <is>
          <t>Glovis LightHouse</t>
        </is>
      </c>
      <c r="D34" s="95">
        <f>IF(OR(ISNUMBER(SEARCH("Pre Delivery",E34)),ISNUMBER(SEARCH("Pre-Delivery",E34)),ISNUMBER(SEARCH("Predelivery",E34)),ISNUMBER(SEARCH("PD -",E34)),ISNUMBER(SEARCH("PD Lubes",E34))),"Pre-Delivery","")</f>
        <v/>
      </c>
      <c r="E34" s="141" t="inlineStr">
        <is>
          <t>Oily Water Separator</t>
        </is>
      </c>
      <c r="F34" s="95" t="inlineStr">
        <is>
          <t>Oily Water Separator</t>
        </is>
      </c>
      <c r="H34" s="141" t="inlineStr">
        <is>
          <t>Alfa Laval</t>
        </is>
      </c>
      <c r="I34" s="107" t="n"/>
      <c r="J34" s="108" t="n"/>
      <c r="K34" s="108" t="n"/>
      <c r="L34" s="141" t="inlineStr">
        <is>
          <t>PCTC</t>
        </is>
      </c>
      <c r="M34" s="141" t="inlineStr">
        <is>
          <t xml:space="preserve">#N/A </t>
        </is>
      </c>
      <c r="N34" s="141" t="e">
        <v>#N/A</v>
      </c>
      <c r="O34" s="95" t="e">
        <v>#N/A</v>
      </c>
      <c r="P34" s="123" t="inlineStr">
        <is>
          <t xml:space="preserve">#N/A </t>
        </is>
      </c>
    </row>
    <row r="35">
      <c r="A35" s="95" t="inlineStr">
        <is>
          <t>Glovis LightHouse</t>
        </is>
      </c>
      <c r="D35" s="95">
        <f>IF(OR(ISNUMBER(SEARCH("Pre Delivery",E35)),ISNUMBER(SEARCH("Pre-Delivery",E35)),ISNUMBER(SEARCH("Predelivery",E35)),ISNUMBER(SEARCH("PD -",E35)),ISNUMBER(SEARCH("PD Lubes",E35))),"Pre-Delivery","")</f>
        <v/>
      </c>
      <c r="E35" s="141" t="inlineStr">
        <is>
          <t>BWTS Spares</t>
        </is>
      </c>
      <c r="F35" s="95" t="inlineStr">
        <is>
          <t>BWTS Spares</t>
        </is>
      </c>
      <c r="H35" s="141" t="inlineStr">
        <is>
          <t>Alfa Laval</t>
        </is>
      </c>
      <c r="I35" s="107" t="n"/>
      <c r="J35" s="108" t="n"/>
      <c r="K35" s="108" t="n"/>
      <c r="L35" s="141" t="inlineStr">
        <is>
          <t>PCTC</t>
        </is>
      </c>
      <c r="M35" s="141" t="inlineStr">
        <is>
          <t xml:space="preserve"> #N/A </t>
        </is>
      </c>
      <c r="N35" s="141" t="e">
        <v>#N/A</v>
      </c>
      <c r="O35" s="95" t="e">
        <v>#N/A</v>
      </c>
      <c r="P35" s="123" t="inlineStr">
        <is>
          <t xml:space="preserve">#N/A </t>
        </is>
      </c>
    </row>
    <row r="36">
      <c r="A36" s="95" t="inlineStr">
        <is>
          <t>Glovis LightHouse</t>
        </is>
      </c>
      <c r="C36" s="141" t="inlineStr">
        <is>
          <t>GLIG-60094/26-1</t>
        </is>
      </c>
      <c r="D36" s="95">
        <f>IF(OR(ISNUMBER(SEARCH("Pre Delivery",E36)),ISNUMBER(SEARCH("Pre-Delivery",E36)),ISNUMBER(SEARCH("Predelivery",E36)),ISNUMBER(SEARCH("PD -",E36)),ISNUMBER(SEARCH("PD Lubes",E36))),"Pre-Delivery","")</f>
        <v/>
      </c>
      <c r="E36" s="141" t="inlineStr">
        <is>
          <t>EV Lance</t>
        </is>
      </c>
      <c r="F36" s="95" t="inlineStr">
        <is>
          <t>EV Lance</t>
        </is>
      </c>
      <c r="H36" s="141" t="inlineStr">
        <is>
          <t>Spares</t>
        </is>
      </c>
      <c r="I36" s="107" t="n"/>
      <c r="J36" s="108" t="n"/>
      <c r="K36" s="108" t="n"/>
      <c r="L36" s="141" t="inlineStr">
        <is>
          <t>PCTC</t>
        </is>
      </c>
      <c r="M36" s="143" t="n">
        <v>1794590</v>
      </c>
      <c r="N36" s="143" t="inlineStr">
        <is>
          <t>JPY</t>
        </is>
      </c>
      <c r="O36" s="95" t="inlineStr">
        <is>
          <t>MOL Techno Trade Ltd</t>
        </is>
      </c>
      <c r="P36" s="123" t="inlineStr">
        <is>
          <t xml:space="preserve">Checking </t>
        </is>
      </c>
    </row>
    <row r="37">
      <c r="A37" s="95" t="inlineStr">
        <is>
          <t>Glovis LightHouse</t>
        </is>
      </c>
      <c r="C37" s="141" t="inlineStr">
        <is>
          <t>GLIG-60034/26-1</t>
        </is>
      </c>
      <c r="D37" s="95">
        <f>IF(OR(ISNUMBER(SEARCH("Pre Delivery",E37)),ISNUMBER(SEARCH("Pre-Delivery",E37)),ISNUMBER(SEARCH("Predelivery",E37)),ISNUMBER(SEARCH("PD -",E37)),ISNUMBER(SEARCH("PD Lubes",E37))),"Pre-Delivery","")</f>
        <v/>
      </c>
      <c r="E37" s="141" t="inlineStr">
        <is>
          <t>Jonghap - PCTC Loose Fittings Procurement</t>
        </is>
      </c>
      <c r="F37" s="95" t="inlineStr">
        <is>
          <t>RO-RO Equipment - Loose Fittings</t>
        </is>
      </c>
      <c r="H37" s="141" t="inlineStr">
        <is>
          <t>Spares</t>
        </is>
      </c>
      <c r="I37" s="107" t="n"/>
      <c r="J37" s="108" t="n"/>
      <c r="K37" s="108" t="n"/>
      <c r="L37" s="141" t="inlineStr">
        <is>
          <t>PCTC</t>
        </is>
      </c>
      <c r="M37" s="143" t="n">
        <v>486174</v>
      </c>
      <c r="N37" s="143" t="inlineStr">
        <is>
          <t>USD</t>
        </is>
      </c>
      <c r="O37" s="95" t="inlineStr">
        <is>
          <t>Jonghap Maritime Engineering Inc.</t>
        </is>
      </c>
      <c r="P37" s="123" t="inlineStr">
        <is>
          <t xml:space="preserve">Contracted </t>
        </is>
      </c>
    </row>
    <row r="38">
      <c r="A38" s="95" t="inlineStr">
        <is>
          <t>Glovis LightHouse</t>
        </is>
      </c>
      <c r="C38" s="141" t="inlineStr">
        <is>
          <t>GLIG-60030/26-1</t>
        </is>
      </c>
      <c r="D38" s="95">
        <f>IF(OR(ISNUMBER(SEARCH("Pre Delivery",E38)),ISNUMBER(SEARCH("Pre-Delivery",E38)),ISNUMBER(SEARCH("Predelivery",E38)),ISNUMBER(SEARCH("PD -",E38)),ISNUMBER(SEARCH("PD Lubes",E38))),"Pre-Delivery","")</f>
        <v/>
      </c>
      <c r="E38" s="141" t="inlineStr">
        <is>
          <t>Pre Delivery Lubes Order# 3 (5714478288)</t>
        </is>
      </c>
      <c r="F38" s="95" t="inlineStr">
        <is>
          <t>Lubricants</t>
        </is>
      </c>
      <c r="H38" s="141" t="inlineStr">
        <is>
          <t>Lube Oil</t>
        </is>
      </c>
      <c r="I38" s="107" t="n"/>
      <c r="J38" s="108" t="n"/>
      <c r="K38" s="108" t="n"/>
      <c r="L38" s="141" t="inlineStr">
        <is>
          <t>PCTC</t>
        </is>
      </c>
      <c r="M38" s="143" t="n">
        <v>305941</v>
      </c>
      <c r="N38" s="143" t="inlineStr">
        <is>
          <t>USD</t>
        </is>
      </c>
      <c r="O38" s="95" t="inlineStr">
        <is>
          <t>TotalEnergies Lubrifiants</t>
        </is>
      </c>
      <c r="P38" s="123" t="inlineStr">
        <is>
          <t xml:space="preserve">Contracted </t>
        </is>
      </c>
    </row>
    <row r="39">
      <c r="A39" s="95" t="inlineStr">
        <is>
          <t>Glovis LightHouse</t>
        </is>
      </c>
      <c r="C39" s="141" t="inlineStr">
        <is>
          <t>GLIG-60021/26-1</t>
        </is>
      </c>
      <c r="D39" s="95">
        <f>IF(OR(ISNUMBER(SEARCH("Pre Delivery",E39)),ISNUMBER(SEARCH("Pre-Delivery",E39)),ISNUMBER(SEARCH("Predelivery",E39)),ISNUMBER(SEARCH("PD -",E39)),ISNUMBER(SEARCH("PD Lubes",E39))),"Pre-Delivery","")</f>
        <v/>
      </c>
      <c r="E39" s="141" t="inlineStr">
        <is>
          <t>FS-Interface-Light house</t>
        </is>
      </c>
      <c r="F39" s="95" t="inlineStr">
        <is>
          <t>IT Equipment - Interface / Integration</t>
        </is>
      </c>
      <c r="H39" s="141" t="inlineStr">
        <is>
          <t>Others</t>
        </is>
      </c>
      <c r="I39" s="107" t="n"/>
      <c r="J39" s="108" t="n"/>
      <c r="K39" s="108" t="n"/>
      <c r="L39" s="141" t="inlineStr">
        <is>
          <t>PCTC</t>
        </is>
      </c>
      <c r="M39" s="143" t="n">
        <v>260191</v>
      </c>
      <c r="N39" s="143" t="inlineStr">
        <is>
          <t>HKD</t>
        </is>
      </c>
      <c r="O39" s="95" t="inlineStr">
        <is>
          <t>Interface Computer System Co. Ltd.</t>
        </is>
      </c>
      <c r="P39" s="123" t="inlineStr">
        <is>
          <t xml:space="preserve">Checking </t>
        </is>
      </c>
    </row>
    <row r="40">
      <c r="A40" s="95" t="inlineStr">
        <is>
          <t>Glovis LightHouse</t>
        </is>
      </c>
      <c r="C40" s="141" t="inlineStr">
        <is>
          <t>GLIG-60005/26-1</t>
        </is>
      </c>
      <c r="D40" s="95">
        <f>IF(OR(ISNUMBER(SEARCH("Pre Delivery",E40)),ISNUMBER(SEARCH("Pre-Delivery",E40)),ISNUMBER(SEARCH("Predelivery",E40)),ISNUMBER(SEARCH("PD -",E40)),ISNUMBER(SEARCH("PD Lubes",E40))),"Pre-Delivery","")</f>
        <v/>
      </c>
      <c r="E40" s="141" t="inlineStr">
        <is>
          <t>Shipyard Extra Owner supply - Captains Eye</t>
        </is>
      </c>
      <c r="F40" s="95" t="inlineStr">
        <is>
          <t>Navigation - Captains Eye</t>
        </is>
      </c>
      <c r="H40" s="141" t="inlineStr">
        <is>
          <t>Spares</t>
        </is>
      </c>
      <c r="I40" s="107" t="n"/>
      <c r="J40" s="108" t="n"/>
      <c r="K40" s="108" t="n"/>
      <c r="L40" s="141" t="inlineStr">
        <is>
          <t>PCTC</t>
        </is>
      </c>
      <c r="M40" s="143" t="n">
        <v>224200</v>
      </c>
      <c r="N40" s="143" t="inlineStr">
        <is>
          <t>USD</t>
        </is>
      </c>
      <c r="O40" s="95" t="inlineStr">
        <is>
          <t>Captain's Eye</t>
        </is>
      </c>
      <c r="P40" s="123" t="inlineStr">
        <is>
          <t xml:space="preserve">Contracted </t>
        </is>
      </c>
    </row>
    <row r="41">
      <c r="A41" s="95" t="inlineStr">
        <is>
          <t>Glovis LightHouse</t>
        </is>
      </c>
      <c r="C41" s="141" t="inlineStr">
        <is>
          <t>GLIG-60079/26-1</t>
        </is>
      </c>
      <c r="D41" s="95">
        <f>IF(OR(ISNUMBER(SEARCH("Pre Delivery",E41)),ISNUMBER(SEARCH("Pre-Delivery",E41)),ISNUMBER(SEARCH("Predelivery",E41)),ISNUMBER(SEARCH("PD -",E41)),ISNUMBER(SEARCH("PD Lubes",E41))),"Pre-Delivery","")</f>
        <v/>
      </c>
      <c r="E41" s="141" t="inlineStr">
        <is>
          <t>Main Engine Spares</t>
        </is>
      </c>
      <c r="F41" s="95" t="inlineStr">
        <is>
          <t>Engine Spares - Main Engine</t>
        </is>
      </c>
      <c r="H41" s="141" t="inlineStr">
        <is>
          <t>Spares</t>
        </is>
      </c>
      <c r="I41" s="107" t="n"/>
      <c r="J41" s="108" t="n"/>
      <c r="K41" s="108" t="n"/>
      <c r="L41" s="141" t="inlineStr">
        <is>
          <t>PCTC</t>
        </is>
      </c>
      <c r="M41" s="143" t="n">
        <v>215083</v>
      </c>
      <c r="N41" s="143" t="inlineStr">
        <is>
          <t>EUR</t>
        </is>
      </c>
      <c r="O41" s="95" t="inlineStr">
        <is>
          <t>MAN B and W Diesel-Copenhagen Denmark</t>
        </is>
      </c>
      <c r="P41" s="123" t="inlineStr">
        <is>
          <t xml:space="preserve">Checking </t>
        </is>
      </c>
    </row>
    <row r="42">
      <c r="A42" s="95" t="inlineStr">
        <is>
          <t>Glovis LightHouse</t>
        </is>
      </c>
      <c r="C42" s="141" t="inlineStr">
        <is>
          <t>GLIG-60080/26-1</t>
        </is>
      </c>
      <c r="D42" s="95">
        <f>IF(OR(ISNUMBER(SEARCH("Pre Delivery",E42)),ISNUMBER(SEARCH("Pre-Delivery",E42)),ISNUMBER(SEARCH("Predelivery",E42)),ISNUMBER(SEARCH("PD -",E42)),ISNUMBER(SEARCH("PD Lubes",E42))),"Pre-Delivery","")</f>
        <v/>
      </c>
      <c r="E42" s="141" t="inlineStr">
        <is>
          <t>Aux. Engine Spares</t>
        </is>
      </c>
      <c r="F42" s="95" t="inlineStr">
        <is>
          <t>Engine Spares - Auxiliary Engine</t>
        </is>
      </c>
      <c r="H42" s="141" t="inlineStr">
        <is>
          <t>Spares</t>
        </is>
      </c>
      <c r="I42" s="107" t="n"/>
      <c r="J42" s="108" t="n"/>
      <c r="K42" s="108" t="n"/>
      <c r="L42" s="141" t="inlineStr">
        <is>
          <t>PCTC</t>
        </is>
      </c>
      <c r="M42" s="143" t="n">
        <v>113839</v>
      </c>
      <c r="N42" s="143" t="inlineStr">
        <is>
          <t>EUR</t>
        </is>
      </c>
      <c r="O42" s="95" t="inlineStr">
        <is>
          <t>Wartsila Canada Inc.</t>
        </is>
      </c>
      <c r="P42" s="123" t="inlineStr">
        <is>
          <t xml:space="preserve">Checking </t>
        </is>
      </c>
    </row>
    <row r="43" ht="37.5" customHeight="1">
      <c r="A43" s="95" t="inlineStr">
        <is>
          <t>Glovis LightHouse</t>
        </is>
      </c>
      <c r="D43" s="95">
        <f>IF(OR(ISNUMBER(SEARCH("Pre Delivery",E43)),ISNUMBER(SEARCH("Pre-Delivery",E43)),ISNUMBER(SEARCH("Predelivery",E43)),ISNUMBER(SEARCH("PD -",E43)),ISNUMBER(SEARCH("PD Lubes",E43))),"Pre-Delivery","")</f>
        <v/>
      </c>
      <c r="E43" s="141" t="inlineStr">
        <is>
          <t>Sewage Traetment Plant</t>
        </is>
      </c>
      <c r="F43" s="95" t="inlineStr">
        <is>
          <t>Sewage Treatment Plant</t>
        </is>
      </c>
      <c r="H43" s="141" t="inlineStr">
        <is>
          <t>CSSC Nanjing</t>
        </is>
      </c>
      <c r="I43" s="107" t="n"/>
      <c r="J43" s="108" t="n"/>
      <c r="K43" s="108" t="n"/>
      <c r="L43" s="141" t="inlineStr">
        <is>
          <t>PCTC</t>
        </is>
      </c>
      <c r="M43" s="141" t="inlineStr">
        <is>
          <t xml:space="preserve"> #N/A </t>
        </is>
      </c>
      <c r="N43" s="141" t="e">
        <v>#N/A</v>
      </c>
      <c r="O43" s="95" t="e">
        <v>#N/A</v>
      </c>
      <c r="P43" s="123" t="inlineStr">
        <is>
          <t xml:space="preserve">#N/A </t>
        </is>
      </c>
    </row>
    <row r="44" ht="37.5" customHeight="1">
      <c r="A44" s="95" t="inlineStr">
        <is>
          <t>Glovis LightHouse</t>
        </is>
      </c>
      <c r="D44" s="95">
        <f>IF(OR(ISNUMBER(SEARCH("Pre Delivery",E44)),ISNUMBER(SEARCH("Pre-Delivery",E44)),ISNUMBER(SEARCH("Predelivery",E44)),ISNUMBER(SEARCH("PD -",E44)),ISNUMBER(SEARCH("PD Lubes",E44))),"Pre-Delivery","")</f>
        <v/>
      </c>
      <c r="E44" s="141" t="inlineStr">
        <is>
          <t>Sewage Discharge P/P</t>
        </is>
      </c>
      <c r="F44" s="95" t="inlineStr">
        <is>
          <t>Sewage Discharge Pump</t>
        </is>
      </c>
      <c r="H44" s="141" t="inlineStr">
        <is>
          <t>CSSC Nanjing</t>
        </is>
      </c>
      <c r="I44" s="107" t="n"/>
      <c r="J44" s="108" t="n"/>
      <c r="K44" s="108" t="n"/>
      <c r="L44" s="141" t="inlineStr">
        <is>
          <t>PCTC</t>
        </is>
      </c>
      <c r="M44" s="141" t="inlineStr">
        <is>
          <t xml:space="preserve"> #N/A </t>
        </is>
      </c>
      <c r="N44" s="141" t="e">
        <v>#N/A</v>
      </c>
      <c r="O44" s="95" t="e">
        <v>#N/A</v>
      </c>
      <c r="P44" s="123" t="inlineStr">
        <is>
          <t xml:space="preserve">#N/A </t>
        </is>
      </c>
    </row>
    <row r="45">
      <c r="A45" s="95" t="inlineStr">
        <is>
          <t>Glovis LightHouse</t>
        </is>
      </c>
      <c r="C45" s="141" t="inlineStr">
        <is>
          <t>GLIG-60002/25-1</t>
        </is>
      </c>
      <c r="D45" s="95">
        <f>IF(OR(ISNUMBER(SEARCH("Pre Delivery",E45)),ISNUMBER(SEARCH("Pre-Delivery",E45)),ISNUMBER(SEARCH("Predelivery",E45)),ISNUMBER(SEARCH("PD -",E45)),ISNUMBER(SEARCH("PD Lubes",E45))),"Pre-Delivery","")</f>
        <v/>
      </c>
      <c r="E45" s="141" t="inlineStr">
        <is>
          <t>Pre-Delivery - Lubes</t>
        </is>
      </c>
      <c r="F45" s="95" t="inlineStr">
        <is>
          <t>Lubricants</t>
        </is>
      </c>
      <c r="H45" s="141" t="inlineStr">
        <is>
          <t>Lube Oil</t>
        </is>
      </c>
      <c r="I45" s="107" t="n"/>
      <c r="J45" s="108" t="n"/>
      <c r="K45" s="108" t="n"/>
      <c r="L45" s="141" t="inlineStr">
        <is>
          <t>PCTC</t>
        </is>
      </c>
      <c r="M45" s="143" t="n">
        <v>83443</v>
      </c>
      <c r="N45" s="143" t="inlineStr">
        <is>
          <t>USD</t>
        </is>
      </c>
      <c r="O45" s="95" t="inlineStr">
        <is>
          <t>TotalEnergies Lubrifiants</t>
        </is>
      </c>
      <c r="P45" s="123" t="inlineStr">
        <is>
          <t xml:space="preserve">Contracted </t>
        </is>
      </c>
    </row>
    <row r="46">
      <c r="A46" s="95" t="inlineStr">
        <is>
          <t>Glovis LightHouse</t>
        </is>
      </c>
      <c r="C46" s="141" t="inlineStr">
        <is>
          <t>GLIG-60076/26-1</t>
        </is>
      </c>
      <c r="D46" s="95">
        <f>IF(OR(ISNUMBER(SEARCH("Pre Delivery",E46)),ISNUMBER(SEARCH("Pre-Delivery",E46)),ISNUMBER(SEARCH("Predelivery",E46)),ISNUMBER(SEARCH("PD -",E46)),ISNUMBER(SEARCH("PD Lubes",E46))),"Pre-Delivery","")</f>
        <v/>
      </c>
      <c r="E46" s="141" t="inlineStr">
        <is>
          <t>Steam Splash Suit</t>
        </is>
      </c>
      <c r="F46" s="95" t="inlineStr">
        <is>
          <t>Steam Splash Suit</t>
        </is>
      </c>
      <c r="H46" s="141" t="inlineStr">
        <is>
          <t>Stores</t>
        </is>
      </c>
      <c r="I46" s="107" t="n"/>
      <c r="J46" s="108" t="n"/>
      <c r="K46" s="108" t="n"/>
      <c r="L46" s="141" t="inlineStr">
        <is>
          <t>PCTC</t>
        </is>
      </c>
      <c r="M46" s="143" t="n">
        <v>83000</v>
      </c>
      <c r="N46" s="143" t="inlineStr">
        <is>
          <t>INR</t>
        </is>
      </c>
      <c r="O46" s="95" t="inlineStr">
        <is>
          <t>Shiva Enterprises</t>
        </is>
      </c>
      <c r="P46" s="123" t="inlineStr">
        <is>
          <t xml:space="preserve">Checking </t>
        </is>
      </c>
    </row>
    <row r="47">
      <c r="A47" s="95" t="inlineStr">
        <is>
          <t>Glovis LightHouse</t>
        </is>
      </c>
      <c r="C47" s="141" t="inlineStr">
        <is>
          <t>GLIG-60066/26-1</t>
        </is>
      </c>
      <c r="D47" s="95">
        <f>IF(OR(ISNUMBER(SEARCH("Pre Delivery",E47)),ISNUMBER(SEARCH("Pre-Delivery",E47)),ISNUMBER(SEARCH("Predelivery",E47)),ISNUMBER(SEARCH("PD -",E47)),ISNUMBER(SEARCH("PD Lubes",E47))),"Pre-Delivery","")</f>
        <v/>
      </c>
      <c r="E47" s="141" t="inlineStr">
        <is>
          <t>Mooring Rope</t>
        </is>
      </c>
      <c r="F47" s="95" t="inlineStr">
        <is>
          <t>Mooring Ropes</t>
        </is>
      </c>
      <c r="H47" s="141" t="inlineStr">
        <is>
          <t>Spares</t>
        </is>
      </c>
      <c r="I47" s="107" t="n"/>
      <c r="J47" s="108" t="n"/>
      <c r="K47" s="108" t="n"/>
      <c r="L47" s="141" t="inlineStr">
        <is>
          <t>PCTC</t>
        </is>
      </c>
      <c r="M47" s="143" t="n">
        <v>80788</v>
      </c>
      <c r="N47" s="143" t="inlineStr">
        <is>
          <t>USD</t>
        </is>
      </c>
      <c r="O47" s="95" t="inlineStr">
        <is>
          <t>XINGLUN ROPE CABLE CO.,LTD</t>
        </is>
      </c>
      <c r="P47" s="123" t="inlineStr">
        <is>
          <t xml:space="preserve">Contracted </t>
        </is>
      </c>
    </row>
    <row r="48" ht="37.5" customHeight="1">
      <c r="A48" s="95" t="inlineStr">
        <is>
          <t>Glovis LightHouse</t>
        </is>
      </c>
      <c r="C48" s="141" t="inlineStr">
        <is>
          <t>GLIG-60024/26-1</t>
        </is>
      </c>
      <c r="D48" s="95">
        <f>IF(OR(ISNUMBER(SEARCH("Pre Delivery",E48)),ISNUMBER(SEARCH("Pre-Delivery",E48)),ISNUMBER(SEARCH("Predelivery",E48)),ISNUMBER(SEARCH("PD -",E48)),ISNUMBER(SEARCH("PD Lubes",E48))),"Pre-Delivery","")</f>
        <v/>
      </c>
      <c r="E48" s="141" t="inlineStr">
        <is>
          <t>Shipyard Extra Buyer Supply - HiNAS SVM 10800 A-Q-2025-09-02_R0</t>
        </is>
      </c>
      <c r="F48" s="95" t="inlineStr">
        <is>
          <t>Navigation - HiNAS SVM</t>
        </is>
      </c>
      <c r="H48" s="141" t="inlineStr">
        <is>
          <t>Spares</t>
        </is>
      </c>
      <c r="I48" s="107" t="n"/>
      <c r="J48" s="108" t="n"/>
      <c r="K48" s="108" t="n"/>
      <c r="L48" s="141" t="inlineStr">
        <is>
          <t>PCTC</t>
        </is>
      </c>
      <c r="M48" s="143" t="n">
        <v>63600</v>
      </c>
      <c r="N48" s="143" t="inlineStr">
        <is>
          <t>USD</t>
        </is>
      </c>
      <c r="O48" s="95" t="inlineStr">
        <is>
          <t>Avikus Co., Ltd.</t>
        </is>
      </c>
      <c r="P48" s="123" t="inlineStr">
        <is>
          <t xml:space="preserve">Contracted </t>
        </is>
      </c>
    </row>
    <row r="49">
      <c r="A49" s="95" t="inlineStr">
        <is>
          <t>Glovis LightHouse</t>
        </is>
      </c>
      <c r="C49" s="141" t="inlineStr">
        <is>
          <t>GLIG-60003/26-1</t>
        </is>
      </c>
      <c r="D49" s="95">
        <f>IF(OR(ISNUMBER(SEARCH("Pre Delivery",E49)),ISNUMBER(SEARCH("Pre-Delivery",E49)),ISNUMBER(SEARCH("Predelivery",E49)),ISNUMBER(SEARCH("PD -",E49)),ISNUMBER(SEARCH("PD Lubes",E49))),"Pre-Delivery","")</f>
        <v/>
      </c>
      <c r="E49" s="141" t="inlineStr">
        <is>
          <t>Interface PO</t>
        </is>
      </c>
      <c r="F49" s="95" t="inlineStr">
        <is>
          <t>IT Equipment - Interface / Integration</t>
        </is>
      </c>
      <c r="H49" s="141" t="inlineStr">
        <is>
          <t>Others</t>
        </is>
      </c>
      <c r="I49" s="107" t="n"/>
      <c r="J49" s="108" t="n"/>
      <c r="K49" s="108" t="n"/>
      <c r="L49" s="141" t="inlineStr">
        <is>
          <t>PCTC</t>
        </is>
      </c>
      <c r="M49" s="143" t="n">
        <v>55710</v>
      </c>
      <c r="N49" s="143" t="inlineStr">
        <is>
          <t>HKD</t>
        </is>
      </c>
      <c r="O49" s="95" t="inlineStr">
        <is>
          <t>Interface Computer System Co. Ltd.</t>
        </is>
      </c>
      <c r="P49" s="123" t="inlineStr">
        <is>
          <t xml:space="preserve">Checking </t>
        </is>
      </c>
    </row>
    <row r="50">
      <c r="A50" s="95" t="inlineStr">
        <is>
          <t>Glovis LightHouse</t>
        </is>
      </c>
      <c r="D50" s="95">
        <f>IF(OR(ISNUMBER(SEARCH("Pre Delivery",E50)),ISNUMBER(SEARCH("Pre-Delivery",E50)),ISNUMBER(SEARCH("Predelivery",E50)),ISNUMBER(SEARCH("PD -",E50)),ISNUMBER(SEARCH("PD Lubes",E50))),"Pre-Delivery","")</f>
        <v/>
      </c>
      <c r="E50" s="141" t="inlineStr">
        <is>
          <t>RSC Lube oil - qty / Total for Glovis Lighthouse</t>
        </is>
      </c>
      <c r="F50" s="95" t="inlineStr">
        <is>
          <t>Lubricants</t>
        </is>
      </c>
      <c r="H50" s="141" t="inlineStr">
        <is>
          <t>Lube Oil</t>
        </is>
      </c>
      <c r="I50" s="107" t="n"/>
      <c r="J50" s="108" t="n"/>
      <c r="K50" s="108" t="n"/>
      <c r="L50" s="141" t="inlineStr">
        <is>
          <t>PCTC</t>
        </is>
      </c>
      <c r="M50" s="141" t="inlineStr">
        <is>
          <t xml:space="preserve"> #N/A </t>
        </is>
      </c>
      <c r="N50" s="141" t="e">
        <v>#N/A</v>
      </c>
      <c r="O50" s="95" t="e">
        <v>#N/A</v>
      </c>
      <c r="P50" s="123" t="inlineStr">
        <is>
          <t xml:space="preserve">#N/A </t>
        </is>
      </c>
    </row>
    <row r="51">
      <c r="A51" s="95" t="inlineStr">
        <is>
          <t>Glovis LightHouse</t>
        </is>
      </c>
      <c r="C51" s="141" t="inlineStr">
        <is>
          <t>GLIG-60001/25-1</t>
        </is>
      </c>
      <c r="D51" s="95">
        <f>IF(OR(ISNUMBER(SEARCH("Pre Delivery",E51)),ISNUMBER(SEARCH("Pre-Delivery",E51)),ISNUMBER(SEARCH("Predelivery",E51)),ISNUMBER(SEARCH("PD -",E51)),ISNUMBER(SEARCH("PD Lubes",E51))),"Pre-Delivery","")</f>
        <v/>
      </c>
      <c r="E51" s="141" t="inlineStr">
        <is>
          <t>Lubricants - Pre Delivery</t>
        </is>
      </c>
      <c r="F51" s="95" t="inlineStr">
        <is>
          <t>Lubricants</t>
        </is>
      </c>
      <c r="H51" s="141" t="inlineStr">
        <is>
          <t>Lube Oil</t>
        </is>
      </c>
      <c r="I51" s="107" t="n"/>
      <c r="J51" s="108" t="n"/>
      <c r="K51" s="108" t="n"/>
      <c r="L51" s="141" t="inlineStr">
        <is>
          <t>PCTC</t>
        </is>
      </c>
      <c r="M51" s="143" t="n">
        <v>51230</v>
      </c>
      <c r="N51" s="143" t="inlineStr">
        <is>
          <t>USD</t>
        </is>
      </c>
      <c r="O51" s="95" t="inlineStr">
        <is>
          <t>TotalEnergies Lubrifiants</t>
        </is>
      </c>
      <c r="P51" s="123" t="inlineStr">
        <is>
          <t xml:space="preserve">Contracted </t>
        </is>
      </c>
    </row>
    <row r="52">
      <c r="A52" s="95" t="inlineStr">
        <is>
          <t>Glovis LightHouse</t>
        </is>
      </c>
      <c r="C52" s="141" t="inlineStr">
        <is>
          <t>GLIG-60022/26-1</t>
        </is>
      </c>
      <c r="D52" s="95">
        <f>IF(OR(ISNUMBER(SEARCH("Pre Delivery",E52)),ISNUMBER(SEARCH("Pre-Delivery",E52)),ISNUMBER(SEARCH("Predelivery",E52)),ISNUMBER(SEARCH("PD -",E52)),ISNUMBER(SEARCH("PD Lubes",E52))),"Pre-Delivery","")</f>
        <v/>
      </c>
      <c r="E52" s="141" t="inlineStr">
        <is>
          <t>FS-LENOVO-Lighthouse</t>
        </is>
      </c>
      <c r="F52" s="95" t="inlineStr">
        <is>
          <t>IT Equipment - Computers (Lenovo)</t>
        </is>
      </c>
      <c r="H52" s="141" t="inlineStr">
        <is>
          <t>Others</t>
        </is>
      </c>
      <c r="I52" s="107" t="n"/>
      <c r="J52" s="108" t="n"/>
      <c r="K52" s="108" t="n"/>
      <c r="L52" s="141" t="inlineStr">
        <is>
          <t>PCTC</t>
        </is>
      </c>
      <c r="M52" s="143" t="n">
        <v>49419</v>
      </c>
      <c r="N52" s="143" t="inlineStr">
        <is>
          <t>CAD</t>
        </is>
      </c>
      <c r="O52" s="95" t="inlineStr">
        <is>
          <t>IT Blueprint Solutions Consulting Inc</t>
        </is>
      </c>
      <c r="P52" s="123" t="inlineStr">
        <is>
          <t xml:space="preserve">Checking </t>
        </is>
      </c>
    </row>
    <row r="53" ht="37.5" customHeight="1">
      <c r="A53" s="95" t="inlineStr">
        <is>
          <t>Glovis LightHouse</t>
        </is>
      </c>
      <c r="C53" s="141" t="inlineStr">
        <is>
          <t>GLIG-60087/26-1</t>
        </is>
      </c>
      <c r="D53" s="95">
        <f>IF(OR(ISNUMBER(SEARCH("Pre Delivery",E53)),ISNUMBER(SEARCH("Pre-Delivery",E53)),ISNUMBER(SEARCH("Predelivery",E53)),ISNUMBER(SEARCH("PD -",E53)),ISNUMBER(SEARCH("PD Lubes",E53))),"Pre-Delivery","")</f>
        <v/>
      </c>
      <c r="E53" s="141" t="inlineStr">
        <is>
          <t>Buyer Supply - 10,800 PCTC Citadel VHF/GPS and UHF ANTENNA system</t>
        </is>
      </c>
      <c r="F53" s="141" t="inlineStr">
        <is>
          <t>Citadel VHF/GPS/UHF System</t>
        </is>
      </c>
      <c r="H53" s="141" t="inlineStr">
        <is>
          <t>Spares</t>
        </is>
      </c>
      <c r="I53" s="107" t="n"/>
      <c r="J53" s="108" t="n"/>
      <c r="K53" s="108" t="n"/>
      <c r="L53" s="141" t="inlineStr">
        <is>
          <t>PCTC</t>
        </is>
      </c>
      <c r="M53" s="143" t="n">
        <v>39000</v>
      </c>
      <c r="N53" s="143" t="inlineStr">
        <is>
          <t>USD</t>
        </is>
      </c>
      <c r="O53" s="95" t="inlineStr">
        <is>
          <t>West Nautical Pte Ltd</t>
        </is>
      </c>
      <c r="P53" s="123" t="inlineStr">
        <is>
          <t xml:space="preserve">Contracted </t>
        </is>
      </c>
    </row>
    <row r="54">
      <c r="A54" s="95" t="inlineStr">
        <is>
          <t>Glovis LightHouse</t>
        </is>
      </c>
      <c r="C54" s="141" t="inlineStr">
        <is>
          <t>GLIG-60100/26-1</t>
        </is>
      </c>
      <c r="D54" s="95">
        <f>IF(OR(ISNUMBER(SEARCH("Pre Delivery",E54)),ISNUMBER(SEARCH("Pre-Delivery",E54)),ISNUMBER(SEARCH("Predelivery",E54)),ISNUMBER(SEARCH("PD -",E54)),ISNUMBER(SEARCH("PD Lubes",E54))),"Pre-Delivery","")</f>
        <v/>
      </c>
      <c r="E54" s="141" t="inlineStr">
        <is>
          <t>UHF Radio (Handheld)</t>
        </is>
      </c>
      <c r="F54" s="141" t="inlineStr">
        <is>
          <t>UHF Radio</t>
        </is>
      </c>
      <c r="H54" s="141" t="inlineStr">
        <is>
          <t>Spares</t>
        </is>
      </c>
      <c r="I54" s="107" t="n"/>
      <c r="J54" s="108" t="n"/>
      <c r="K54" s="108" t="n"/>
      <c r="L54" s="141" t="inlineStr">
        <is>
          <t>PCTC</t>
        </is>
      </c>
      <c r="M54" s="143" t="n">
        <v>32128</v>
      </c>
      <c r="N54" s="143" t="inlineStr">
        <is>
          <t>USD</t>
        </is>
      </c>
      <c r="O54" s="95" t="inlineStr">
        <is>
          <t>Vessel Link Marine Supply &amp; Service Ltd</t>
        </is>
      </c>
      <c r="P54" s="123" t="inlineStr">
        <is>
          <t xml:space="preserve">Contracted </t>
        </is>
      </c>
    </row>
    <row r="55">
      <c r="A55" s="95" t="inlineStr">
        <is>
          <t>Glovis LightHouse</t>
        </is>
      </c>
      <c r="C55" s="141" t="inlineStr">
        <is>
          <t>GLIG-60078/26-1</t>
        </is>
      </c>
      <c r="D55" s="95">
        <f>IF(OR(ISNUMBER(SEARCH("Pre Delivery",E55)),ISNUMBER(SEARCH("Pre-Delivery",E55)),ISNUMBER(SEARCH("Predelivery",E55)),ISNUMBER(SEARCH("PD -",E55)),ISNUMBER(SEARCH("PD Lubes",E55))),"Pre-Delivery","")</f>
        <v/>
      </c>
      <c r="E55" s="141" t="inlineStr">
        <is>
          <t>Pre Delivery - Welding Equipment</t>
        </is>
      </c>
      <c r="F55" s="141" t="inlineStr">
        <is>
          <t>Welding Equipment</t>
        </is>
      </c>
      <c r="H55" s="141" t="inlineStr">
        <is>
          <t>Chemicals</t>
        </is>
      </c>
      <c r="I55" s="107" t="n"/>
      <c r="J55" s="108" t="n"/>
      <c r="K55" s="108" t="n"/>
      <c r="L55" s="141" t="inlineStr">
        <is>
          <t>PCTC</t>
        </is>
      </c>
      <c r="M55" s="143" t="n">
        <v>30943</v>
      </c>
      <c r="N55" s="143" t="inlineStr">
        <is>
          <t>USD</t>
        </is>
      </c>
      <c r="O55" s="95" t="inlineStr">
        <is>
          <t>Drew Marine USA, Inc</t>
        </is>
      </c>
      <c r="P55" s="123" t="inlineStr">
        <is>
          <t xml:space="preserve">Contracted </t>
        </is>
      </c>
    </row>
    <row r="56">
      <c r="A56" s="95" t="inlineStr">
        <is>
          <t>Glovis LightHouse</t>
        </is>
      </c>
      <c r="C56" s="141" t="inlineStr">
        <is>
          <t>GLIG-60096/26-1</t>
        </is>
      </c>
      <c r="D56" s="95">
        <f>IF(OR(ISNUMBER(SEARCH("Pre Delivery",E56)),ISNUMBER(SEARCH("Pre-Delivery",E56)),ISNUMBER(SEARCH("Predelivery",E56)),ISNUMBER(SEARCH("PD -",E56)),ISNUMBER(SEARCH("PD Lubes",E56))),"Pre-Delivery","")</f>
        <v/>
      </c>
      <c r="E56" s="141" t="inlineStr">
        <is>
          <t>Final Sailing Qty of Lubes</t>
        </is>
      </c>
      <c r="F56" s="141" t="inlineStr">
        <is>
          <t>Lubricants</t>
        </is>
      </c>
      <c r="H56" s="141" t="inlineStr">
        <is>
          <t>Lube Oil</t>
        </is>
      </c>
      <c r="I56" s="107" t="n"/>
      <c r="J56" s="108" t="n"/>
      <c r="K56" s="108" t="n"/>
      <c r="L56" s="141" t="inlineStr">
        <is>
          <t>PCTC</t>
        </is>
      </c>
      <c r="M56" s="143" t="n">
        <v>30700</v>
      </c>
      <c r="N56" s="143" t="inlineStr">
        <is>
          <t>USD</t>
        </is>
      </c>
      <c r="O56" s="95" t="inlineStr">
        <is>
          <t>TotalEnergies Lubrifiants</t>
        </is>
      </c>
      <c r="P56" s="123" t="inlineStr">
        <is>
          <t xml:space="preserve">Contracted </t>
        </is>
      </c>
    </row>
    <row r="57">
      <c r="A57" s="95" t="inlineStr">
        <is>
          <t>Glovis LightHouse</t>
        </is>
      </c>
      <c r="C57" s="141" t="inlineStr">
        <is>
          <t>GLIG-60012/26-1</t>
        </is>
      </c>
      <c r="D57" s="95">
        <f>IF(OR(ISNUMBER(SEARCH("Pre Delivery",E57)),ISNUMBER(SEARCH("Pre-Delivery",E57)),ISNUMBER(SEARCH("Predelivery",E57)),ISNUMBER(SEARCH("PD -",E57)),ISNUMBER(SEARCH("PD Lubes",E57))),"Pre-Delivery","")</f>
        <v/>
      </c>
      <c r="E57" s="141" t="inlineStr">
        <is>
          <t>FS-ITBP  -glovis lighthouse</t>
        </is>
      </c>
      <c r="F57" s="141" t="inlineStr">
        <is>
          <t>IT Equipment - ITBP</t>
        </is>
      </c>
      <c r="H57" s="141" t="inlineStr">
        <is>
          <t>Others</t>
        </is>
      </c>
      <c r="I57" s="107" t="n"/>
      <c r="J57" s="108" t="n"/>
      <c r="K57" s="108" t="n"/>
      <c r="L57" s="141" t="inlineStr">
        <is>
          <t>PCTC</t>
        </is>
      </c>
      <c r="M57" s="143" t="n">
        <v>29716</v>
      </c>
      <c r="N57" s="143" t="inlineStr">
        <is>
          <t>USD</t>
        </is>
      </c>
      <c r="O57" s="95" t="inlineStr">
        <is>
          <t>IT Blueprint Solutions Consulting Inc</t>
        </is>
      </c>
      <c r="P57" s="123" t="inlineStr">
        <is>
          <t xml:space="preserve">Contracted </t>
        </is>
      </c>
    </row>
    <row r="58">
      <c r="A58" s="95" t="inlineStr">
        <is>
          <t>Glovis LightHouse</t>
        </is>
      </c>
      <c r="C58" s="141" t="inlineStr">
        <is>
          <t>GLIG-60037/26-1</t>
        </is>
      </c>
      <c r="D58" s="95">
        <f>IF(OR(ISNUMBER(SEARCH("Pre Delivery",E58)),ISNUMBER(SEARCH("Pre-Delivery",E58)),ISNUMBER(SEARCH("Predelivery",E58)),ISNUMBER(SEARCH("PD -",E58)),ISNUMBER(SEARCH("PD Lubes",E58))),"Pre-Delivery","")</f>
        <v/>
      </c>
      <c r="E58" s="141" t="inlineStr">
        <is>
          <t>Reliabiltiy Spares - Gas Detection System</t>
        </is>
      </c>
      <c r="F58" s="141" t="inlineStr">
        <is>
          <t>Gas Detection System</t>
        </is>
      </c>
      <c r="H58" s="141" t="inlineStr">
        <is>
          <t>Spares</t>
        </is>
      </c>
      <c r="I58" s="107" t="n"/>
      <c r="J58" s="108" t="n"/>
      <c r="K58" s="108" t="n"/>
      <c r="L58" s="141" t="inlineStr">
        <is>
          <t>PCTC</t>
        </is>
      </c>
      <c r="M58" s="143" t="n">
        <v>28136</v>
      </c>
      <c r="N58" s="143" t="inlineStr">
        <is>
          <t>USD</t>
        </is>
      </c>
      <c r="O58" s="95" t="inlineStr">
        <is>
          <t>Consilium Marine and Safety Canada</t>
        </is>
      </c>
      <c r="P58" s="123" t="inlineStr">
        <is>
          <t xml:space="preserve">Contracted </t>
        </is>
      </c>
    </row>
    <row r="59">
      <c r="A59" s="95" t="inlineStr">
        <is>
          <t>Glovis LightHouse</t>
        </is>
      </c>
      <c r="C59" s="141" t="inlineStr">
        <is>
          <t>GLIG-60010/26-1</t>
        </is>
      </c>
      <c r="D59" s="95">
        <f>IF(OR(ISNUMBER(SEARCH("Pre Delivery",E59)),ISNUMBER(SEARCH("Pre-Delivery",E59)),ISNUMBER(SEARCH("Predelivery",E59)),ISNUMBER(SEARCH("PD -",E59)),ISNUMBER(SEARCH("PD Lubes",E59))),"Pre-Delivery","")</f>
        <v/>
      </c>
      <c r="E59" s="141" t="inlineStr">
        <is>
          <t>FS-VLINK-H1610</t>
        </is>
      </c>
      <c r="F59" s="141" t="inlineStr">
        <is>
          <t>Communications - VLINK</t>
        </is>
      </c>
      <c r="H59" s="141" t="inlineStr">
        <is>
          <t>Others</t>
        </is>
      </c>
      <c r="I59" s="107" t="n"/>
      <c r="J59" s="108" t="n"/>
      <c r="K59" s="108" t="n"/>
      <c r="L59" s="141" t="inlineStr">
        <is>
          <t>PCTC</t>
        </is>
      </c>
      <c r="M59" s="143" t="n">
        <v>25285</v>
      </c>
      <c r="N59" s="143" t="inlineStr">
        <is>
          <t>USD</t>
        </is>
      </c>
      <c r="O59" s="95" t="inlineStr">
        <is>
          <t>Vessel Link Marine Supply &amp; Service Ltd</t>
        </is>
      </c>
      <c r="P59" s="123" t="inlineStr">
        <is>
          <t xml:space="preserve">Contracted </t>
        </is>
      </c>
    </row>
    <row r="60">
      <c r="A60" s="95" t="inlineStr">
        <is>
          <t>Glovis LightHouse</t>
        </is>
      </c>
      <c r="C60" s="141" t="inlineStr">
        <is>
          <t>GLIG-60033/26-1</t>
        </is>
      </c>
      <c r="D60" s="95">
        <f>IF(OR(ISNUMBER(SEARCH("Pre Delivery",E60)),ISNUMBER(SEARCH("Pre-Delivery",E60)),ISNUMBER(SEARCH("Predelivery",E60)),ISNUMBER(SEARCH("PD -",E60)),ISNUMBER(SEARCH("PD Lubes",E60))),"Pre-Delivery","")</f>
        <v/>
      </c>
      <c r="E60" s="141" t="inlineStr">
        <is>
          <t>Reliability Spares - PCTC-Seaspan - Boilers QUOT26012103</t>
        </is>
      </c>
      <c r="F60" s="141" t="inlineStr">
        <is>
          <t>Boiler Spares</t>
        </is>
      </c>
      <c r="H60" s="141" t="inlineStr">
        <is>
          <t>Spares</t>
        </is>
      </c>
      <c r="I60" s="107" t="n"/>
      <c r="J60" s="108" t="n"/>
      <c r="K60" s="108" t="n"/>
      <c r="L60" s="141" t="inlineStr">
        <is>
          <t>PCTC</t>
        </is>
      </c>
      <c r="M60" s="143" t="n">
        <v>23968</v>
      </c>
      <c r="N60" s="143" t="inlineStr">
        <is>
          <t>USD</t>
        </is>
      </c>
      <c r="O60" s="95" t="inlineStr">
        <is>
          <t>Kangrim Industries Company Limited</t>
        </is>
      </c>
      <c r="P60" s="123" t="inlineStr">
        <is>
          <t xml:space="preserve">Contracted </t>
        </is>
      </c>
    </row>
    <row r="61">
      <c r="A61" s="95" t="inlineStr">
        <is>
          <t>Glovis LightHouse</t>
        </is>
      </c>
      <c r="C61" s="141" t="inlineStr">
        <is>
          <t>GLIG-60067/26-1</t>
        </is>
      </c>
      <c r="D61" s="95">
        <f>IF(OR(ISNUMBER(SEARCH("Pre Delivery",E61)),ISNUMBER(SEARCH("Pre-Delivery",E61)),ISNUMBER(SEARCH("Predelivery",E61)),ISNUMBER(SEARCH("PD -",E61)),ISNUMBER(SEARCH("PD Lubes",E61))),"Pre-Delivery","")</f>
        <v/>
      </c>
      <c r="E61" s="141" t="inlineStr">
        <is>
          <t>Service: LNG OPERATION MANUAL Development</t>
        </is>
      </c>
      <c r="F61" s="141" t="inlineStr">
        <is>
          <t>LNG Operation Manual</t>
        </is>
      </c>
      <c r="H61" s="141" t="inlineStr">
        <is>
          <t>Others</t>
        </is>
      </c>
      <c r="I61" s="107" t="n"/>
      <c r="J61" s="108" t="n"/>
      <c r="K61" s="108" t="n"/>
      <c r="L61" s="141" t="inlineStr">
        <is>
          <t>PCTC</t>
        </is>
      </c>
      <c r="M61" s="143" t="n">
        <v>21500</v>
      </c>
      <c r="N61" s="143" t="inlineStr">
        <is>
          <t>USD</t>
        </is>
      </c>
      <c r="O61" s="95" t="inlineStr">
        <is>
          <t>VMT Co., Ltd</t>
        </is>
      </c>
      <c r="P61" s="123" t="inlineStr">
        <is>
          <t xml:space="preserve">Contracted </t>
        </is>
      </c>
    </row>
    <row r="62">
      <c r="A62" s="95" t="inlineStr">
        <is>
          <t>Glovis LightHouse</t>
        </is>
      </c>
      <c r="C62" s="141" t="inlineStr">
        <is>
          <t>GLIG-60075/26-1</t>
        </is>
      </c>
      <c r="D62" s="95">
        <f>IF(OR(ISNUMBER(SEARCH("Pre Delivery",E62)),ISNUMBER(SEARCH("Pre-Delivery",E62)),ISNUMBER(SEARCH("Predelivery",E62)),ISNUMBER(SEARCH("PD -",E62)),ISNUMBER(SEARCH("PD Lubes",E62))),"Pre-Delivery","")</f>
        <v/>
      </c>
      <c r="E62" s="141" t="inlineStr">
        <is>
          <t>Pre Delivery - Engineering Products &amp; Kits (DREW)</t>
        </is>
      </c>
      <c r="F62" s="141" t="inlineStr">
        <is>
          <t>Engineering Products &amp; Chemicals</t>
        </is>
      </c>
      <c r="H62" s="141" t="inlineStr">
        <is>
          <t>Chemicals</t>
        </is>
      </c>
      <c r="I62" s="107" t="n"/>
      <c r="J62" s="108" t="n"/>
      <c r="K62" s="108" t="n"/>
      <c r="L62" s="141" t="inlineStr">
        <is>
          <t>PCTC</t>
        </is>
      </c>
      <c r="M62" s="143" t="n">
        <v>20709</v>
      </c>
      <c r="N62" s="143" t="inlineStr">
        <is>
          <t>USD</t>
        </is>
      </c>
      <c r="O62" s="95" t="inlineStr">
        <is>
          <t>Drew Marine USA, Inc</t>
        </is>
      </c>
      <c r="P62" s="123" t="inlineStr">
        <is>
          <t xml:space="preserve">Contracted </t>
        </is>
      </c>
    </row>
    <row r="63">
      <c r="A63" s="95" t="inlineStr">
        <is>
          <t>Glovis LightHouse</t>
        </is>
      </c>
      <c r="C63" s="141" t="inlineStr">
        <is>
          <t>GLIG-60084/26-1</t>
        </is>
      </c>
      <c r="D63" s="95">
        <f>IF(OR(ISNUMBER(SEARCH("Pre Delivery",E63)),ISNUMBER(SEARCH("Pre-Delivery",E63)),ISNUMBER(SEARCH("Predelivery",E63)),ISNUMBER(SEARCH("PD -",E63)),ISNUMBER(SEARCH("PD Lubes",E63))),"Pre-Delivery","")</f>
        <v/>
      </c>
      <c r="E63" s="141" t="inlineStr">
        <is>
          <t>DF Tools</t>
        </is>
      </c>
      <c r="F63" s="141" t="inlineStr">
        <is>
          <t>Dual Fuel Tools</t>
        </is>
      </c>
      <c r="H63" s="141" t="inlineStr">
        <is>
          <t>Stores</t>
        </is>
      </c>
      <c r="I63" s="107" t="n"/>
      <c r="J63" s="108" t="n"/>
      <c r="K63" s="108" t="n"/>
      <c r="L63" s="141" t="inlineStr">
        <is>
          <t>PCTC</t>
        </is>
      </c>
      <c r="M63" s="143" t="n">
        <v>20589</v>
      </c>
      <c r="N63" s="143" t="inlineStr">
        <is>
          <t>USD</t>
        </is>
      </c>
      <c r="O63" s="95" t="inlineStr">
        <is>
          <t>Vessel Link Marine Supply &amp; Service Ltd</t>
        </is>
      </c>
      <c r="P63" s="123" t="inlineStr">
        <is>
          <t xml:space="preserve">Contracted </t>
        </is>
      </c>
    </row>
    <row r="64">
      <c r="A64" s="95" t="inlineStr">
        <is>
          <t>Glovis LightHouse</t>
        </is>
      </c>
      <c r="C64" s="141" t="inlineStr">
        <is>
          <t>GLIG-60017/26-1</t>
        </is>
      </c>
      <c r="D64" s="95">
        <f>IF(OR(ISNUMBER(SEARCH("Pre Delivery",E64)),ISNUMBER(SEARCH("Pre-Delivery",E64)),ISNUMBER(SEARCH("Predelivery",E64)),ISNUMBER(SEARCH("PD -",E64)),ISNUMBER(SEARCH("PD Lubes",E64))),"Pre-Delivery","")</f>
        <v/>
      </c>
      <c r="E64" s="141" t="inlineStr">
        <is>
          <t>FS-SIHUI</t>
        </is>
      </c>
      <c r="F64" s="141" t="inlineStr">
        <is>
          <t>IT Equipment - Sihui Marine</t>
        </is>
      </c>
      <c r="H64" s="141" t="inlineStr">
        <is>
          <t>Others</t>
        </is>
      </c>
      <c r="I64" s="107" t="n"/>
      <c r="J64" s="108" t="n"/>
      <c r="K64" s="108" t="n"/>
      <c r="L64" s="141" t="inlineStr">
        <is>
          <t>PCTC</t>
        </is>
      </c>
      <c r="M64" s="143" t="n">
        <v>20000</v>
      </c>
      <c r="N64" s="143" t="inlineStr">
        <is>
          <t>USD</t>
        </is>
      </c>
      <c r="O64" s="95" t="inlineStr">
        <is>
          <t>SIHUI MARINE CO LTD</t>
        </is>
      </c>
      <c r="P64" s="123" t="inlineStr">
        <is>
          <t xml:space="preserve">Contracted </t>
        </is>
      </c>
    </row>
    <row r="65" ht="37.5" customHeight="1">
      <c r="A65" s="95" t="inlineStr">
        <is>
          <t>Glovis LightHouse</t>
        </is>
      </c>
      <c r="C65" s="141" t="inlineStr">
        <is>
          <t>GLIG-60005/25-1</t>
        </is>
      </c>
      <c r="D65" s="95">
        <f>IF(OR(ISNUMBER(SEARCH("Pre Delivery",E65)),ISNUMBER(SEARCH("Pre-Delivery",E65)),ISNUMBER(SEARCH("Predelivery",E65)),ISNUMBER(SEARCH("PD -",E65)),ISNUMBER(SEARCH("PD Lubes",E65))),"Pre-Delivery","")</f>
        <v/>
      </c>
      <c r="E65" s="141" t="inlineStr">
        <is>
          <t>SHIPYARD EXTRA OWNER SUPPLY - SWS-10.8k CEU extra cost for SMiG application</t>
        </is>
      </c>
      <c r="F65" s="141" t="inlineStr">
        <is>
          <t>Safety Integration - SMiG</t>
        </is>
      </c>
      <c r="H65" s="141" t="inlineStr">
        <is>
          <t>Spares</t>
        </is>
      </c>
      <c r="I65" s="107" t="n"/>
      <c r="J65" s="108" t="n"/>
      <c r="K65" s="108" t="n"/>
      <c r="L65" s="141" t="inlineStr">
        <is>
          <t>PCTC</t>
        </is>
      </c>
      <c r="M65" s="143" t="n">
        <v>19300</v>
      </c>
      <c r="N65" s="143" t="inlineStr">
        <is>
          <t>USD</t>
        </is>
      </c>
      <c r="O65" s="95" t="inlineStr">
        <is>
          <t>Consilium Marine and Safety Canada</t>
        </is>
      </c>
      <c r="P65" s="123" t="inlineStr">
        <is>
          <t xml:space="preserve">Contracted </t>
        </is>
      </c>
    </row>
    <row r="66">
      <c r="A66" s="95" t="inlineStr">
        <is>
          <t>Glovis LightHouse</t>
        </is>
      </c>
      <c r="C66" s="141" t="inlineStr">
        <is>
          <t>GLIG-60098/26-1</t>
        </is>
      </c>
      <c r="D66" s="95">
        <f>IF(OR(ISNUMBER(SEARCH("Pre Delivery",E66)),ISNUMBER(SEARCH("Pre-Delivery",E66)),ISNUMBER(SEARCH("Predelivery",E66)),ISNUMBER(SEARCH("PD -",E66)),ISNUMBER(SEARCH("PD Lubes",E66))),"Pre-Delivery","")</f>
        <v/>
      </c>
      <c r="E66" s="141" t="inlineStr">
        <is>
          <t>Reliability Nitrogen Generator</t>
        </is>
      </c>
      <c r="F66" s="141" t="inlineStr">
        <is>
          <t>Nitrogen Generator</t>
        </is>
      </c>
      <c r="H66" s="141" t="inlineStr">
        <is>
          <t>Spares</t>
        </is>
      </c>
      <c r="I66" s="107" t="n"/>
      <c r="J66" s="108" t="n"/>
      <c r="K66" s="108" t="n"/>
      <c r="L66" s="141" t="inlineStr">
        <is>
          <t>PCTC</t>
        </is>
      </c>
      <c r="M66" s="143" t="n">
        <v>12020</v>
      </c>
      <c r="N66" s="143" t="inlineStr">
        <is>
          <t>USD</t>
        </is>
      </c>
      <c r="O66" s="95" t="inlineStr">
        <is>
          <t>Air Products AS</t>
        </is>
      </c>
      <c r="P66" s="123" t="inlineStr">
        <is>
          <t xml:space="preserve">Contracted </t>
        </is>
      </c>
    </row>
    <row r="67">
      <c r="A67" s="95" t="inlineStr">
        <is>
          <t>Glovis LightHouse</t>
        </is>
      </c>
      <c r="C67" s="141" t="inlineStr">
        <is>
          <t>GLIG-60036/26-1</t>
        </is>
      </c>
      <c r="D67" s="95">
        <f>IF(OR(ISNUMBER(SEARCH("Pre Delivery",E67)),ISNUMBER(SEARCH("Pre-Delivery",E67)),ISNUMBER(SEARCH("Predelivery",E67)),ISNUMBER(SEARCH("PD -",E67)),ISNUMBER(SEARCH("PD Lubes",E67))),"Pre-Delivery","")</f>
        <v/>
      </c>
      <c r="E67" s="141" t="inlineStr">
        <is>
          <t>Wartsila Training PCTC</t>
        </is>
      </c>
      <c r="F67" s="141" t="inlineStr">
        <is>
          <t>Training - Wartsila</t>
        </is>
      </c>
      <c r="H67" s="141" t="inlineStr">
        <is>
          <t>Others</t>
        </is>
      </c>
      <c r="I67" s="107" t="n"/>
      <c r="J67" s="108" t="n"/>
      <c r="K67" s="108" t="n"/>
      <c r="L67" s="141" t="inlineStr">
        <is>
          <t>PCTC</t>
        </is>
      </c>
      <c r="M67" s="143" t="n">
        <v>11760</v>
      </c>
      <c r="N67" s="143" t="inlineStr">
        <is>
          <t>EUR</t>
        </is>
      </c>
      <c r="O67" s="95" t="inlineStr">
        <is>
          <t>Wartsila Canada Inc.</t>
        </is>
      </c>
      <c r="P67" s="123" t="inlineStr">
        <is>
          <t xml:space="preserve">Checking </t>
        </is>
      </c>
    </row>
    <row r="68">
      <c r="A68" s="95" t="inlineStr">
        <is>
          <t>Glovis LightHouse</t>
        </is>
      </c>
      <c r="C68" s="141" t="inlineStr">
        <is>
          <t>GLIG-60047/26-1</t>
        </is>
      </c>
      <c r="D68" s="95">
        <f>IF(OR(ISNUMBER(SEARCH("Pre Delivery",E68)),ISNUMBER(SEARCH("Pre-Delivery",E68)),ISNUMBER(SEARCH("Predelivery",E68)),ISNUMBER(SEARCH("PD -",E68)),ISNUMBER(SEARCH("PD Lubes",E68))),"Pre-Delivery","")</f>
        <v/>
      </c>
      <c r="E68" s="141" t="inlineStr">
        <is>
          <t>Pre Delivery - Sample Cooler</t>
        </is>
      </c>
      <c r="F68" s="141" t="inlineStr">
        <is>
          <t>Sample Cooler</t>
        </is>
      </c>
      <c r="H68" s="141" t="inlineStr">
        <is>
          <t>Spares</t>
        </is>
      </c>
      <c r="I68" s="107" t="n"/>
      <c r="J68" s="108" t="n"/>
      <c r="K68" s="108" t="n"/>
      <c r="L68" s="141" t="inlineStr">
        <is>
          <t>PCTC</t>
        </is>
      </c>
      <c r="M68" s="143" t="n">
        <v>10858</v>
      </c>
      <c r="N68" s="143" t="inlineStr">
        <is>
          <t>USD</t>
        </is>
      </c>
      <c r="O68" s="95" t="inlineStr">
        <is>
          <t>Drew Marine USA, Inc</t>
        </is>
      </c>
      <c r="P68" s="123" t="inlineStr">
        <is>
          <t xml:space="preserve">Contracted </t>
        </is>
      </c>
    </row>
    <row r="69">
      <c r="A69" s="95" t="inlineStr">
        <is>
          <t>Glovis LightHouse</t>
        </is>
      </c>
      <c r="C69" s="141" t="inlineStr">
        <is>
          <t>GLIG-60020/26</t>
        </is>
      </c>
      <c r="D69" s="95">
        <f>IF(OR(ISNUMBER(SEARCH("Pre Delivery",E69)),ISNUMBER(SEARCH("Pre-Delivery",E69)),ISNUMBER(SEARCH("Predelivery",E69)),ISNUMBER(SEARCH("PD -",E69)),ISNUMBER(SEARCH("PD Lubes",E69))),"Pre-Delivery","")</f>
        <v/>
      </c>
      <c r="E69" s="141" t="inlineStr">
        <is>
          <t>Interface -equipment-lighthouse</t>
        </is>
      </c>
      <c r="F69" s="141" t="inlineStr">
        <is>
          <t>IT Equipment - Interface / Integration</t>
        </is>
      </c>
      <c r="H69" s="141" t="inlineStr">
        <is>
          <t>Others</t>
        </is>
      </c>
      <c r="I69" s="107" t="n"/>
      <c r="J69" s="108" t="n"/>
      <c r="K69" s="108" t="n"/>
      <c r="L69" s="141" t="inlineStr">
        <is>
          <t>PCTC</t>
        </is>
      </c>
      <c r="M69" s="141" t="inlineStr">
        <is>
          <t xml:space="preserve"> #N/A </t>
        </is>
      </c>
      <c r="N69" s="141" t="e">
        <v>#N/A</v>
      </c>
      <c r="O69" s="95" t="e">
        <v>#N/A</v>
      </c>
      <c r="P69" s="123" t="inlineStr">
        <is>
          <t xml:space="preserve">#N/A </t>
        </is>
      </c>
    </row>
    <row r="70">
      <c r="A70" s="95" t="inlineStr">
        <is>
          <t>Glovis LightHouse</t>
        </is>
      </c>
      <c r="C70" s="141" t="inlineStr">
        <is>
          <t>GLIG-60018/26</t>
        </is>
      </c>
      <c r="D70" s="95">
        <f>IF(OR(ISNUMBER(SEARCH("Pre Delivery",E70)),ISNUMBER(SEARCH("Pre-Delivery",E70)),ISNUMBER(SEARCH("Predelivery",E70)),ISNUMBER(SEARCH("PD -",E70)),ISNUMBER(SEARCH("PD Lubes",E70))),"Pre-Delivery","")</f>
        <v/>
      </c>
      <c r="E70" s="141" t="inlineStr">
        <is>
          <t>FS-KVH-LIGHTHOUSE</t>
        </is>
      </c>
      <c r="F70" s="141" t="inlineStr">
        <is>
          <t>Communications - VSAT (KVH)</t>
        </is>
      </c>
      <c r="H70" s="141" t="inlineStr">
        <is>
          <t>Others</t>
        </is>
      </c>
      <c r="I70" s="107" t="n"/>
      <c r="J70" s="108" t="n"/>
      <c r="K70" s="108" t="n"/>
      <c r="L70" s="141" t="inlineStr">
        <is>
          <t>PCTC</t>
        </is>
      </c>
      <c r="M70" s="141" t="inlineStr">
        <is>
          <t xml:space="preserve"> #N/A </t>
        </is>
      </c>
      <c r="N70" s="141" t="e">
        <v>#N/A</v>
      </c>
      <c r="O70" s="95" t="e">
        <v>#N/A</v>
      </c>
      <c r="P70" s="123" t="inlineStr">
        <is>
          <t xml:space="preserve">#N/A </t>
        </is>
      </c>
    </row>
    <row r="71">
      <c r="A71" s="95" t="inlineStr">
        <is>
          <t>Glovis LightHouse</t>
        </is>
      </c>
      <c r="C71" s="141" t="inlineStr">
        <is>
          <t>GLIG-60016/26</t>
        </is>
      </c>
      <c r="D71" s="95">
        <f>IF(OR(ISNUMBER(SEARCH("Pre Delivery",E71)),ISNUMBER(SEARCH("Pre-Delivery",E71)),ISNUMBER(SEARCH("Predelivery",E71)),ISNUMBER(SEARCH("PD -",E71)),ISNUMBER(SEARCH("PD Lubes",E71))),"Pre-Delivery","")</f>
        <v/>
      </c>
      <c r="E71" s="141" t="inlineStr">
        <is>
          <t>Sihui Marine-light house</t>
        </is>
      </c>
      <c r="F71" s="141" t="inlineStr">
        <is>
          <t>IT Equipment - Sihui Marine</t>
        </is>
      </c>
      <c r="H71" s="141" t="inlineStr">
        <is>
          <t>Others</t>
        </is>
      </c>
      <c r="I71" s="107" t="n"/>
      <c r="J71" s="108" t="n"/>
      <c r="K71" s="108" t="n"/>
      <c r="L71" s="141" t="inlineStr">
        <is>
          <t>PCTC</t>
        </is>
      </c>
      <c r="M71" s="141" t="inlineStr">
        <is>
          <t xml:space="preserve"> #N/A </t>
        </is>
      </c>
      <c r="N71" s="141" t="e">
        <v>#N/A</v>
      </c>
      <c r="O71" s="95" t="e">
        <v>#N/A</v>
      </c>
      <c r="P71" s="123" t="inlineStr">
        <is>
          <t xml:space="preserve">#N/A </t>
        </is>
      </c>
    </row>
    <row r="72">
      <c r="A72" s="95" t="inlineStr">
        <is>
          <t>Glovis LightHouse</t>
        </is>
      </c>
      <c r="C72" s="141" t="inlineStr">
        <is>
          <t>GLIG-60014/26</t>
        </is>
      </c>
      <c r="D72" s="95">
        <f>IF(OR(ISNUMBER(SEARCH("Pre Delivery",E72)),ISNUMBER(SEARCH("Pre-Delivery",E72)),ISNUMBER(SEARCH("Predelivery",E72)),ISNUMBER(SEARCH("PD -",E72)),ISNUMBER(SEARCH("PD Lubes",E72))),"Pre-Delivery","")</f>
        <v/>
      </c>
      <c r="E72" s="141" t="inlineStr">
        <is>
          <t>FS-X10</t>
        </is>
      </c>
      <c r="F72" s="141" t="inlineStr">
        <is>
          <t>IT Equipment - X10 System</t>
        </is>
      </c>
      <c r="H72" s="141" t="inlineStr">
        <is>
          <t>Others</t>
        </is>
      </c>
      <c r="I72" s="107" t="n"/>
      <c r="J72" s="108" t="n"/>
      <c r="K72" s="108" t="n"/>
      <c r="L72" s="141" t="inlineStr">
        <is>
          <t>PCTC</t>
        </is>
      </c>
      <c r="M72" s="141" t="inlineStr">
        <is>
          <t xml:space="preserve"> #N/A </t>
        </is>
      </c>
      <c r="N72" s="141" t="e">
        <v>#N/A</v>
      </c>
      <c r="O72" s="95" t="e">
        <v>#N/A</v>
      </c>
      <c r="P72" s="123" t="inlineStr">
        <is>
          <t xml:space="preserve">#N/A </t>
        </is>
      </c>
    </row>
    <row r="73">
      <c r="A73" s="95" t="inlineStr">
        <is>
          <t>Glovis LightHouse</t>
        </is>
      </c>
      <c r="C73" s="141" t="inlineStr">
        <is>
          <t>GLIG-60009/26</t>
        </is>
      </c>
      <c r="D73" s="95">
        <f>IF(OR(ISNUMBER(SEARCH("Pre Delivery",E73)),ISNUMBER(SEARCH("Pre-Delivery",E73)),ISNUMBER(SEARCH("Predelivery",E73)),ISNUMBER(SEARCH("PD -",E73)),ISNUMBER(SEARCH("PD Lubes",E73))),"Pre-Delivery","")</f>
        <v/>
      </c>
      <c r="E73" s="141" t="inlineStr">
        <is>
          <t>FS-ITBP  -1</t>
        </is>
      </c>
      <c r="F73" s="141" t="inlineStr">
        <is>
          <t>IT Equipment - ITBP</t>
        </is>
      </c>
      <c r="H73" s="141" t="inlineStr">
        <is>
          <t>Others</t>
        </is>
      </c>
      <c r="I73" s="107" t="n"/>
      <c r="J73" s="108" t="n"/>
      <c r="K73" s="108" t="n"/>
      <c r="L73" s="141" t="inlineStr">
        <is>
          <t>PCTC</t>
        </is>
      </c>
      <c r="M73" s="141" t="inlineStr">
        <is>
          <t xml:space="preserve"> #N/A </t>
        </is>
      </c>
      <c r="N73" s="141" t="e">
        <v>#N/A</v>
      </c>
      <c r="O73" s="95" t="e">
        <v>#N/A</v>
      </c>
      <c r="P73" s="123" t="inlineStr">
        <is>
          <t xml:space="preserve">#N/A </t>
        </is>
      </c>
    </row>
    <row r="74">
      <c r="A74" s="95" t="inlineStr">
        <is>
          <t>Glovis LightHouse</t>
        </is>
      </c>
      <c r="C74" s="141" t="inlineStr">
        <is>
          <t>GLIG-60007/25</t>
        </is>
      </c>
      <c r="D74" s="95">
        <f>IF(OR(ISNUMBER(SEARCH("Pre Delivery",E74)),ISNUMBER(SEARCH("Pre-Delivery",E74)),ISNUMBER(SEARCH("Predelivery",E74)),ISNUMBER(SEARCH("PD -",E74)),ISNUMBER(SEARCH("PD Lubes",E74))),"Pre-Delivery","")</f>
        <v/>
      </c>
      <c r="E74" s="141" t="inlineStr">
        <is>
          <t>FS services</t>
        </is>
      </c>
      <c r="F74" s="141" t="inlineStr">
        <is>
          <t>Fleet Systems - Services</t>
        </is>
      </c>
      <c r="H74" s="141" t="inlineStr">
        <is>
          <t>Others</t>
        </is>
      </c>
      <c r="I74" s="107" t="n"/>
      <c r="J74" s="108" t="n"/>
      <c r="K74" s="108" t="n"/>
      <c r="L74" s="141" t="inlineStr">
        <is>
          <t>PCTC</t>
        </is>
      </c>
      <c r="M74" s="141" t="inlineStr">
        <is>
          <t xml:space="preserve"> #N/A </t>
        </is>
      </c>
      <c r="N74" s="141" t="e">
        <v>#N/A</v>
      </c>
      <c r="O74" s="95" t="e">
        <v>#N/A</v>
      </c>
      <c r="P74" s="123" t="inlineStr">
        <is>
          <t xml:space="preserve">#N/A </t>
        </is>
      </c>
    </row>
    <row r="75">
      <c r="A75" s="95" t="inlineStr">
        <is>
          <t>Glovis LightHouse</t>
        </is>
      </c>
      <c r="C75" s="141" t="inlineStr">
        <is>
          <t>GLIG-60040/26-1</t>
        </is>
      </c>
      <c r="D75" s="95">
        <f>IF(OR(ISNUMBER(SEARCH("Pre Delivery",E75)),ISNUMBER(SEARCH("Pre-Delivery",E75)),ISNUMBER(SEARCH("Predelivery",E75)),ISNUMBER(SEARCH("PD -",E75)),ISNUMBER(SEARCH("PD Lubes",E75))),"Pre-Delivery","")</f>
        <v/>
      </c>
      <c r="E75" s="141" t="inlineStr">
        <is>
          <t>FS-VLINK-Starlink Accessories</t>
        </is>
      </c>
      <c r="F75" s="141" t="inlineStr">
        <is>
          <t>Communications - Starlink Accessories</t>
        </is>
      </c>
      <c r="H75" s="141" t="inlineStr">
        <is>
          <t>Others</t>
        </is>
      </c>
      <c r="I75" s="107" t="n"/>
      <c r="J75" s="108" t="n"/>
      <c r="K75" s="108" t="n"/>
      <c r="L75" s="141" t="inlineStr">
        <is>
          <t>PCTC</t>
        </is>
      </c>
      <c r="M75" s="141" t="inlineStr">
        <is>
          <t xml:space="preserve"> #N/A </t>
        </is>
      </c>
      <c r="N75" s="141" t="e">
        <v>#N/A</v>
      </c>
      <c r="O75" s="95" t="e">
        <v>#N/A</v>
      </c>
      <c r="P75" s="123" t="inlineStr">
        <is>
          <t xml:space="preserve">#N/A </t>
        </is>
      </c>
    </row>
    <row r="76">
      <c r="A76" s="95" t="inlineStr">
        <is>
          <t>Glovis LightHouse</t>
        </is>
      </c>
      <c r="C76" s="141" t="inlineStr">
        <is>
          <t>GLIG-60002/26</t>
        </is>
      </c>
      <c r="D76" s="95">
        <f>IF(OR(ISNUMBER(SEARCH("Pre Delivery",E76)),ISNUMBER(SEARCH("Pre-Delivery",E76)),ISNUMBER(SEARCH("Predelivery",E76)),ISNUMBER(SEARCH("PD -",E76)),ISNUMBER(SEARCH("PD Lubes",E76))),"Pre-Delivery","")</f>
        <v/>
      </c>
      <c r="E76" s="141" t="inlineStr">
        <is>
          <t>fs interface</t>
        </is>
      </c>
      <c r="F76" s="141" t="inlineStr">
        <is>
          <t>IT Equipment - Interface / Integration</t>
        </is>
      </c>
      <c r="H76" s="141" t="inlineStr">
        <is>
          <t>Others</t>
        </is>
      </c>
      <c r="I76" s="107" t="n"/>
      <c r="J76" s="108" t="n"/>
      <c r="K76" s="108" t="n"/>
      <c r="L76" s="141" t="inlineStr">
        <is>
          <t>PCTC</t>
        </is>
      </c>
      <c r="M76" s="141" t="inlineStr">
        <is>
          <t xml:space="preserve"> #N/A </t>
        </is>
      </c>
      <c r="N76" s="141" t="e">
        <v>#N/A</v>
      </c>
      <c r="O76" s="95" t="e">
        <v>#N/A</v>
      </c>
      <c r="P76" s="123" t="inlineStr">
        <is>
          <t xml:space="preserve">#N/A </t>
        </is>
      </c>
    </row>
    <row r="77">
      <c r="A77" s="95" t="inlineStr">
        <is>
          <t>Glovis LightHouse</t>
        </is>
      </c>
      <c r="C77" s="141" t="inlineStr">
        <is>
          <t>GLIG-60032/26</t>
        </is>
      </c>
      <c r="D77" s="95">
        <f>IF(OR(ISNUMBER(SEARCH("Pre Delivery",E77)),ISNUMBER(SEARCH("Pre-Delivery",E77)),ISNUMBER(SEARCH("Predelivery",E77)),ISNUMBER(SEARCH("PD -",E77)),ISNUMBER(SEARCH("PD Lubes",E77))),"Pre-Delivery","")</f>
        <v/>
      </c>
      <c r="E77" s="141" t="inlineStr">
        <is>
          <t>FS-ITBP-LICENSES</t>
        </is>
      </c>
      <c r="F77" s="141" t="inlineStr">
        <is>
          <t>IT Equipment - ITBP Licenses</t>
        </is>
      </c>
      <c r="H77" s="141" t="inlineStr">
        <is>
          <t>Others</t>
        </is>
      </c>
      <c r="I77" s="107" t="n"/>
      <c r="J77" s="108" t="n"/>
      <c r="K77" s="108" t="n"/>
      <c r="L77" s="141" t="inlineStr">
        <is>
          <t>PCTC</t>
        </is>
      </c>
      <c r="M77" s="141" t="inlineStr">
        <is>
          <t xml:space="preserve"> #N/A </t>
        </is>
      </c>
      <c r="N77" s="141" t="e">
        <v>#N/A</v>
      </c>
      <c r="O77" s="95" t="e">
        <v>#N/A</v>
      </c>
      <c r="P77" s="123" t="inlineStr">
        <is>
          <t xml:space="preserve">#N/A </t>
        </is>
      </c>
    </row>
    <row r="78">
      <c r="A78" s="95" t="inlineStr">
        <is>
          <t>Glovis LightHouse</t>
        </is>
      </c>
      <c r="C78" s="141" t="inlineStr">
        <is>
          <t>GLIG-60001/26</t>
        </is>
      </c>
      <c r="D78" s="95">
        <f>IF(OR(ISNUMBER(SEARCH("Pre Delivery",E78)),ISNUMBER(SEARCH("Pre-Delivery",E78)),ISNUMBER(SEARCH("Predelivery",E78)),ISNUMBER(SEARCH("PD -",E78)),ISNUMBER(SEARCH("PD Lubes",E78))),"Pre-Delivery","")</f>
        <v/>
      </c>
      <c r="E78" s="141" t="inlineStr">
        <is>
          <t>FS</t>
        </is>
      </c>
      <c r="F78" s="141" t="inlineStr">
        <is>
          <t>Fleet Systems - General</t>
        </is>
      </c>
      <c r="H78" s="141" t="inlineStr">
        <is>
          <t>Others</t>
        </is>
      </c>
      <c r="I78" s="107" t="n"/>
      <c r="J78" s="108" t="n"/>
      <c r="K78" s="108" t="n"/>
      <c r="L78" s="141" t="inlineStr">
        <is>
          <t>PCTC</t>
        </is>
      </c>
      <c r="M78" s="141" t="inlineStr">
        <is>
          <t xml:space="preserve"> #N/A </t>
        </is>
      </c>
      <c r="N78" s="141" t="e">
        <v>#N/A</v>
      </c>
      <c r="O78" s="95" t="e">
        <v>#N/A</v>
      </c>
      <c r="P78" s="123" t="inlineStr">
        <is>
          <t xml:space="preserve">#N/A </t>
        </is>
      </c>
    </row>
    <row r="79">
      <c r="A79" s="95" t="inlineStr">
        <is>
          <t>Glovis LightHouse</t>
        </is>
      </c>
      <c r="C79" s="141" t="inlineStr">
        <is>
          <t>GLIG-60081/26</t>
        </is>
      </c>
      <c r="D79" s="95">
        <f>IF(OR(ISNUMBER(SEARCH("Pre Delivery",E79)),ISNUMBER(SEARCH("Pre-Delivery",E79)),ISNUMBER(SEARCH("Predelivery",E79)),ISNUMBER(SEARCH("PD -",E79)),ISNUMBER(SEARCH("PD Lubes",E79))),"Pre-Delivery","")</f>
        <v/>
      </c>
      <c r="E79" s="141" t="inlineStr">
        <is>
          <t>FS-ITBP tax invoice</t>
        </is>
      </c>
      <c r="F79" s="141" t="inlineStr">
        <is>
          <t>IT Equipment - ITBP Tax Invoice</t>
        </is>
      </c>
      <c r="H79" s="141" t="inlineStr">
        <is>
          <t>Others</t>
        </is>
      </c>
      <c r="I79" s="107" t="n"/>
      <c r="J79" s="108" t="n"/>
      <c r="K79" s="108" t="n"/>
      <c r="L79" s="141" t="inlineStr">
        <is>
          <t>PCTC</t>
        </is>
      </c>
      <c r="M79" s="141" t="inlineStr">
        <is>
          <t xml:space="preserve"> #N/A </t>
        </is>
      </c>
      <c r="N79" s="141" t="e">
        <v>#N/A</v>
      </c>
      <c r="O79" s="95" t="e">
        <v>#N/A</v>
      </c>
      <c r="P79" s="123" t="inlineStr">
        <is>
          <t xml:space="preserve">#N/A </t>
        </is>
      </c>
    </row>
    <row r="80">
      <c r="A80" s="95" t="inlineStr">
        <is>
          <t>Glovis LightHouse</t>
        </is>
      </c>
      <c r="C80" s="141" t="inlineStr">
        <is>
          <t>GLIG-60082/26</t>
        </is>
      </c>
      <c r="D80" s="95">
        <f>IF(OR(ISNUMBER(SEARCH("Pre Delivery",E80)),ISNUMBER(SEARCH("Pre-Delivery",E80)),ISNUMBER(SEARCH("Predelivery",E80)),ISNUMBER(SEARCH("PD -",E80)),ISNUMBER(SEARCH("PD Lubes",E80))),"Pre-Delivery","")</f>
        <v/>
      </c>
      <c r="E80" s="141" t="inlineStr">
        <is>
          <t>fs-x10 sample test</t>
        </is>
      </c>
      <c r="F80" s="141" t="inlineStr">
        <is>
          <t>IT Equipment - X10 System</t>
        </is>
      </c>
      <c r="H80" s="141" t="inlineStr">
        <is>
          <t>Others</t>
        </is>
      </c>
      <c r="I80" s="107" t="n"/>
      <c r="J80" s="108" t="n"/>
      <c r="K80" s="108" t="n"/>
      <c r="L80" s="141" t="inlineStr">
        <is>
          <t>PCTC</t>
        </is>
      </c>
      <c r="M80" s="141" t="inlineStr">
        <is>
          <t xml:space="preserve"> #N/A </t>
        </is>
      </c>
      <c r="N80" s="141" t="e">
        <v>#N/A</v>
      </c>
      <c r="O80" s="95" t="e">
        <v>#N/A</v>
      </c>
      <c r="P80" s="123" t="inlineStr">
        <is>
          <t xml:space="preserve">#N/A </t>
        </is>
      </c>
    </row>
    <row r="81">
      <c r="A81" s="95" t="inlineStr">
        <is>
          <t>Glovis LightHouse</t>
        </is>
      </c>
      <c r="C81" s="141" t="inlineStr">
        <is>
          <t>GLIG-60042/26-1</t>
        </is>
      </c>
      <c r="D81" s="95">
        <f>IF(OR(ISNUMBER(SEARCH("Pre Delivery",E81)),ISNUMBER(SEARCH("Pre-Delivery",E81)),ISNUMBER(SEARCH("Predelivery",E81)),ISNUMBER(SEARCH("PD -",E81)),ISNUMBER(SEARCH("PD Lubes",E81))),"Pre-Delivery","")</f>
        <v/>
      </c>
      <c r="E81" s="141" t="inlineStr">
        <is>
          <t>SHIPYARD EXTRA OWNER SUPPLY- Abanaki Skimmers</t>
        </is>
      </c>
      <c r="F81" s="141" t="inlineStr">
        <is>
          <t>Oil Skimmers - Abanaki</t>
        </is>
      </c>
      <c r="H81" s="141" t="inlineStr">
        <is>
          <t>Spares</t>
        </is>
      </c>
      <c r="I81" s="107" t="n"/>
      <c r="J81" s="108" t="n"/>
      <c r="K81" s="108" t="n"/>
      <c r="L81" s="141" t="inlineStr">
        <is>
          <t>PCTC</t>
        </is>
      </c>
      <c r="M81" s="143" t="n">
        <v>10325</v>
      </c>
      <c r="N81" s="143" t="inlineStr">
        <is>
          <t>USD</t>
        </is>
      </c>
      <c r="O81" s="95" t="inlineStr">
        <is>
          <t>Hermont Marine Inc</t>
        </is>
      </c>
      <c r="P81" s="123" t="inlineStr">
        <is>
          <t xml:space="preserve">Contracted </t>
        </is>
      </c>
    </row>
    <row r="82">
      <c r="A82" s="95" t="inlineStr">
        <is>
          <t>Glovis LightHouse</t>
        </is>
      </c>
      <c r="C82" s="141" t="inlineStr">
        <is>
          <t>GLIG-60038/26-1</t>
        </is>
      </c>
      <c r="D82" s="95">
        <f>IF(OR(ISNUMBER(SEARCH("Pre Delivery",E82)),ISNUMBER(SEARCH("Pre-Delivery",E82)),ISNUMBER(SEARCH("Predelivery",E82)),ISNUMBER(SEARCH("PD -",E82)),ISNUMBER(SEARCH("PD Lubes",E82))),"Pre-Delivery","")</f>
        <v/>
      </c>
      <c r="E82" s="141" t="inlineStr">
        <is>
          <t>Reliability Spares - Fire detection system</t>
        </is>
      </c>
      <c r="F82" s="141" t="inlineStr">
        <is>
          <t>Fire Detection System</t>
        </is>
      </c>
      <c r="H82" s="141" t="inlineStr">
        <is>
          <t>Spares</t>
        </is>
      </c>
      <c r="I82" s="107" t="n"/>
      <c r="J82" s="108" t="n"/>
      <c r="K82" s="108" t="n"/>
      <c r="L82" s="141" t="inlineStr">
        <is>
          <t>PCTC</t>
        </is>
      </c>
      <c r="M82" s="143" t="n">
        <v>9933</v>
      </c>
      <c r="N82" s="143" t="inlineStr">
        <is>
          <t>USD</t>
        </is>
      </c>
      <c r="O82" s="95" t="inlineStr">
        <is>
          <t>Consilium Marine and Safety Canada</t>
        </is>
      </c>
      <c r="P82" s="123" t="inlineStr">
        <is>
          <t xml:space="preserve">Contracted </t>
        </is>
      </c>
    </row>
    <row r="83">
      <c r="A83" s="95" t="inlineStr">
        <is>
          <t>Glovis LightHouse</t>
        </is>
      </c>
      <c r="C83" s="141" t="inlineStr">
        <is>
          <t>GLIG-60068/26-1</t>
        </is>
      </c>
      <c r="D83" s="95">
        <f>IF(OR(ISNUMBER(SEARCH("Pre Delivery",E83)),ISNUMBER(SEARCH("Pre-Delivery",E83)),ISNUMBER(SEARCH("Predelivery",E83)),ISNUMBER(SEARCH("PD -",E83)),ISNUMBER(SEARCH("PD Lubes",E83))),"Pre-Delivery","")</f>
        <v/>
      </c>
      <c r="E83" s="141" t="inlineStr">
        <is>
          <t>Pre Delivery - Treatment Chemical</t>
        </is>
      </c>
      <c r="F83" s="141" t="inlineStr">
        <is>
          <t>Treatment Chemicals</t>
        </is>
      </c>
      <c r="H83" s="141" t="inlineStr">
        <is>
          <t>Chemicals</t>
        </is>
      </c>
      <c r="I83" s="107" t="n"/>
      <c r="J83" s="108" t="n"/>
      <c r="K83" s="108" t="n"/>
      <c r="L83" s="141" t="inlineStr">
        <is>
          <t>PCTC</t>
        </is>
      </c>
      <c r="M83" s="143" t="n">
        <v>9266</v>
      </c>
      <c r="N83" s="143" t="inlineStr">
        <is>
          <t>USD</t>
        </is>
      </c>
      <c r="O83" s="95" t="inlineStr">
        <is>
          <t>Drew Marine USA, Inc</t>
        </is>
      </c>
      <c r="P83" s="123" t="inlineStr">
        <is>
          <t xml:space="preserve">Contracted </t>
        </is>
      </c>
    </row>
    <row r="84">
      <c r="A84" s="95" t="inlineStr">
        <is>
          <t>Glovis LightHouse</t>
        </is>
      </c>
      <c r="C84" s="141" t="inlineStr">
        <is>
          <t>GLIG-60092/26-1</t>
        </is>
      </c>
      <c r="D84" s="95">
        <f>IF(OR(ISNUMBER(SEARCH("Pre Delivery",E84)),ISNUMBER(SEARCH("Pre-Delivery",E84)),ISNUMBER(SEARCH("Predelivery",E84)),ISNUMBER(SEARCH("PD -",E84)),ISNUMBER(SEARCH("PD Lubes",E84))),"Pre-Delivery","")</f>
        <v/>
      </c>
      <c r="E84" s="141" t="inlineStr">
        <is>
          <t>Publications</t>
        </is>
      </c>
      <c r="F84" s="141" t="inlineStr">
        <is>
          <t>Publications &amp; Manuals</t>
        </is>
      </c>
      <c r="H84" s="141" t="inlineStr">
        <is>
          <t>Stores</t>
        </is>
      </c>
      <c r="I84" s="107" t="n"/>
      <c r="J84" s="108" t="n"/>
      <c r="K84" s="108" t="n"/>
      <c r="L84" s="141" t="inlineStr">
        <is>
          <t>PCTC</t>
        </is>
      </c>
      <c r="M84" s="143" t="n">
        <v>9105</v>
      </c>
      <c r="N84" s="143" t="inlineStr">
        <is>
          <t>USD</t>
        </is>
      </c>
      <c r="O84" s="95" t="inlineStr">
        <is>
          <t>Yinxiang Industrial HK Co Limited</t>
        </is>
      </c>
      <c r="P84" s="123" t="inlineStr">
        <is>
          <t xml:space="preserve">Contracted </t>
        </is>
      </c>
    </row>
    <row r="85">
      <c r="A85" s="95" t="inlineStr">
        <is>
          <t>Glovis LightHouse</t>
        </is>
      </c>
      <c r="C85" s="141" t="inlineStr">
        <is>
          <t>GLIG-60071/26-1</t>
        </is>
      </c>
      <c r="D85" s="95">
        <f>IF(OR(ISNUMBER(SEARCH("Pre Delivery",E85)),ISNUMBER(SEARCH("Pre-Delivery",E85)),ISNUMBER(SEARCH("Predelivery",E85)),ISNUMBER(SEARCH("PD -",E85)),ISNUMBER(SEARCH("PD Lubes",E85))),"Pre-Delivery","")</f>
        <v/>
      </c>
      <c r="E85" s="141" t="inlineStr">
        <is>
          <t>Refrigerant Equipment</t>
        </is>
      </c>
      <c r="F85" s="141" t="inlineStr">
        <is>
          <t>Refrigerant Equipment</t>
        </is>
      </c>
      <c r="H85" s="141" t="inlineStr">
        <is>
          <t>Chemicals</t>
        </is>
      </c>
      <c r="I85" s="107" t="n"/>
      <c r="J85" s="108" t="n"/>
      <c r="K85" s="108" t="n"/>
      <c r="L85" s="141" t="inlineStr">
        <is>
          <t>PCTC</t>
        </is>
      </c>
      <c r="M85" s="143" t="n">
        <v>7740</v>
      </c>
      <c r="N85" s="143" t="inlineStr">
        <is>
          <t>USD</t>
        </is>
      </c>
      <c r="O85" s="95" t="inlineStr">
        <is>
          <t>Drew Marine USA, Inc</t>
        </is>
      </c>
      <c r="P85" s="123" t="inlineStr">
        <is>
          <t xml:space="preserve">Contracted </t>
        </is>
      </c>
    </row>
    <row r="86">
      <c r="A86" s="95" t="inlineStr">
        <is>
          <t>Glovis LightHouse</t>
        </is>
      </c>
      <c r="C86" s="141" t="inlineStr">
        <is>
          <t>GLIG-60048/26-1</t>
        </is>
      </c>
      <c r="D86" s="95">
        <f>IF(OR(ISNUMBER(SEARCH("Pre Delivery",E86)),ISNUMBER(SEARCH("Pre-Delivery",E86)),ISNUMBER(SEARCH("Predelivery",E86)),ISNUMBER(SEARCH("PD -",E86)),ISNUMBER(SEARCH("PD Lubes",E86))),"Pre-Delivery","")</f>
        <v/>
      </c>
      <c r="E86" s="141" t="inlineStr">
        <is>
          <t>Reliability - Donghwa Spares for BOG Compressor</t>
        </is>
      </c>
      <c r="F86" s="141" t="inlineStr">
        <is>
          <t>BOG Compressor Spares</t>
        </is>
      </c>
      <c r="H86" s="141" t="inlineStr">
        <is>
          <t>Spares</t>
        </is>
      </c>
      <c r="I86" s="107" t="n"/>
      <c r="J86" s="108" t="n"/>
      <c r="K86" s="108" t="n"/>
      <c r="L86" s="141" t="inlineStr">
        <is>
          <t>PCTC</t>
        </is>
      </c>
      <c r="M86" s="143" t="n">
        <v>7060</v>
      </c>
      <c r="N86" s="143" t="inlineStr">
        <is>
          <t>USD</t>
        </is>
      </c>
      <c r="O86" s="95" t="inlineStr">
        <is>
          <t>DONGHWA ENTEC CO. ,LTD</t>
        </is>
      </c>
      <c r="P86" s="123" t="inlineStr">
        <is>
          <t xml:space="preserve">Contracted </t>
        </is>
      </c>
    </row>
    <row r="87">
      <c r="A87" s="95" t="inlineStr">
        <is>
          <t>Glovis LightHouse</t>
        </is>
      </c>
      <c r="C87" s="141" t="inlineStr">
        <is>
          <t>GLIG-60103/26-1</t>
        </is>
      </c>
      <c r="D87" s="95">
        <f>IF(OR(ISNUMBER(SEARCH("Pre Delivery",E87)),ISNUMBER(SEARCH("Pre-Delivery",E87)),ISNUMBER(SEARCH("Predelivery",E87)),ISNUMBER(SEARCH("PD -",E87)),ISNUMBER(SEARCH("PD Lubes",E87))),"Pre-Delivery","")</f>
        <v/>
      </c>
      <c r="E87" s="141" t="inlineStr">
        <is>
          <t>IMPA Stores - BA Compressor</t>
        </is>
      </c>
      <c r="F87" s="141" t="inlineStr">
        <is>
          <t>IMPA Stores - BA Compressor</t>
        </is>
      </c>
      <c r="H87" s="141" t="inlineStr">
        <is>
          <t>Stores</t>
        </is>
      </c>
      <c r="I87" s="107" t="n"/>
      <c r="J87" s="108" t="n"/>
      <c r="K87" s="108" t="n"/>
      <c r="L87" s="141" t="inlineStr">
        <is>
          <t>PCTC</t>
        </is>
      </c>
      <c r="M87" s="143" t="n">
        <v>6929</v>
      </c>
      <c r="N87" s="143" t="inlineStr">
        <is>
          <t>USD</t>
        </is>
      </c>
      <c r="O87" s="95" t="inlineStr">
        <is>
          <t>Dan Marine Group Ltd.</t>
        </is>
      </c>
      <c r="P87" s="123" t="inlineStr">
        <is>
          <t xml:space="preserve">Contracted </t>
        </is>
      </c>
    </row>
    <row r="88">
      <c r="A88" s="95" t="inlineStr">
        <is>
          <t>Glovis LightHouse</t>
        </is>
      </c>
      <c r="C88" s="141" t="inlineStr">
        <is>
          <t>GLIG-60019/26-1</t>
        </is>
      </c>
      <c r="D88" s="95">
        <f>IF(OR(ISNUMBER(SEARCH("Pre Delivery",E88)),ISNUMBER(SEARCH("Pre-Delivery",E88)),ISNUMBER(SEARCH("Predelivery",E88)),ISNUMBER(SEARCH("PD -",E88)),ISNUMBER(SEARCH("PD Lubes",E88))),"Pre-Delivery","")</f>
        <v/>
      </c>
      <c r="E88" s="141" t="inlineStr">
        <is>
          <t>FS-KVH -LIGHTHOUSE UPDATED</t>
        </is>
      </c>
      <c r="F88" s="141" t="inlineStr">
        <is>
          <t>Communications - VSAT (KVH)</t>
        </is>
      </c>
      <c r="H88" s="141" t="inlineStr">
        <is>
          <t>Others</t>
        </is>
      </c>
      <c r="I88" s="107" t="n"/>
      <c r="J88" s="108" t="n"/>
      <c r="K88" s="108" t="n"/>
      <c r="L88" s="141" t="inlineStr">
        <is>
          <t>PCTC</t>
        </is>
      </c>
      <c r="M88" s="143" t="n">
        <v>6775</v>
      </c>
      <c r="N88" s="143" t="inlineStr">
        <is>
          <t>USD</t>
        </is>
      </c>
      <c r="O88" s="95" t="inlineStr">
        <is>
          <t>KVH Industries Inc</t>
        </is>
      </c>
      <c r="P88" s="123" t="inlineStr">
        <is>
          <t xml:space="preserve">Contracted </t>
        </is>
      </c>
    </row>
    <row r="89">
      <c r="A89" s="95" t="inlineStr">
        <is>
          <t>Glovis LightHouse</t>
        </is>
      </c>
      <c r="C89" s="141" t="inlineStr">
        <is>
          <t>GLIG-60060/26-1</t>
        </is>
      </c>
      <c r="D89" s="95">
        <f>IF(OR(ISNUMBER(SEARCH("Pre Delivery",E89)),ISNUMBER(SEARCH("Pre-Delivery",E89)),ISNUMBER(SEARCH("Predelivery",E89)),ISNUMBER(SEARCH("PD -",E89)),ISNUMBER(SEARCH("PD Lubes",E89))),"Pre-Delivery","")</f>
        <v/>
      </c>
      <c r="E89" s="141" t="inlineStr">
        <is>
          <t>IMPA Stores - Engine</t>
        </is>
      </c>
      <c r="F89" s="141" t="inlineStr">
        <is>
          <t>IMPA Stores - Engine</t>
        </is>
      </c>
      <c r="H89" s="141" t="inlineStr">
        <is>
          <t>Stores</t>
        </is>
      </c>
      <c r="I89" s="107" t="n"/>
      <c r="J89" s="108" t="n"/>
      <c r="K89" s="108" t="n"/>
      <c r="L89" s="141" t="inlineStr">
        <is>
          <t>PCTC</t>
        </is>
      </c>
      <c r="M89" s="143" t="n">
        <v>6363</v>
      </c>
      <c r="N89" s="143" t="inlineStr">
        <is>
          <t>USD</t>
        </is>
      </c>
      <c r="O89" s="95" t="inlineStr">
        <is>
          <t>Fuji Marine Logistics Shunyang(Shanghai) Co., LIMITED</t>
        </is>
      </c>
      <c r="P89" s="123" t="inlineStr">
        <is>
          <t xml:space="preserve">Contracted </t>
        </is>
      </c>
    </row>
    <row r="90">
      <c r="A90" s="95" t="inlineStr">
        <is>
          <t>Glovis LightHouse</t>
        </is>
      </c>
      <c r="C90" s="141" t="inlineStr">
        <is>
          <t>GLIG-60063/26-1</t>
        </is>
      </c>
      <c r="D90" s="95">
        <f>IF(OR(ISNUMBER(SEARCH("Pre Delivery",E90)),ISNUMBER(SEARCH("Pre-Delivery",E90)),ISNUMBER(SEARCH("Predelivery",E90)),ISNUMBER(SEARCH("PD -",E90)),ISNUMBER(SEARCH("PD Lubes",E90))),"Pre-Delivery","")</f>
        <v/>
      </c>
      <c r="E90" s="141" t="inlineStr">
        <is>
          <t>IMPA Stores - Engine</t>
        </is>
      </c>
      <c r="F90" s="141" t="inlineStr">
        <is>
          <t>IMPA Stores - Engine</t>
        </is>
      </c>
      <c r="H90" s="141" t="inlineStr">
        <is>
          <t>Stores</t>
        </is>
      </c>
      <c r="I90" s="107" t="n"/>
      <c r="J90" s="108" t="n"/>
      <c r="K90" s="108" t="n"/>
      <c r="L90" s="141" t="inlineStr">
        <is>
          <t>PCTC</t>
        </is>
      </c>
      <c r="M90" s="143" t="n">
        <v>6224</v>
      </c>
      <c r="N90" s="143" t="inlineStr">
        <is>
          <t>USD</t>
        </is>
      </c>
      <c r="O90" s="95" t="inlineStr">
        <is>
          <t>Fuji Marine Logistics Shunyang(Shanghai) Co., LIMITED</t>
        </is>
      </c>
      <c r="P90" s="123" t="inlineStr">
        <is>
          <t xml:space="preserve">Contracted </t>
        </is>
      </c>
    </row>
    <row r="91">
      <c r="A91" s="95" t="inlineStr">
        <is>
          <t>Glovis LightHouse</t>
        </is>
      </c>
      <c r="C91" s="141" t="inlineStr">
        <is>
          <t>GLIG-60102/26-1</t>
        </is>
      </c>
      <c r="D91" s="95">
        <f>IF(OR(ISNUMBER(SEARCH("Pre Delivery",E91)),ISNUMBER(SEARCH("Pre-Delivery",E91)),ISNUMBER(SEARCH("Predelivery",E91)),ISNUMBER(SEARCH("PD -",E91)),ISNUMBER(SEARCH("PD Lubes",E91))),"Pre-Delivery","")</f>
        <v/>
      </c>
      <c r="E91" s="141" t="inlineStr">
        <is>
          <t>Temperature Calibrators</t>
        </is>
      </c>
      <c r="F91" s="141" t="inlineStr">
        <is>
          <t>Temperature Calibrators</t>
        </is>
      </c>
      <c r="H91" s="141" t="inlineStr">
        <is>
          <t>Stores</t>
        </is>
      </c>
      <c r="I91" s="107" t="n"/>
      <c r="J91" s="108" t="n"/>
      <c r="K91" s="108" t="n"/>
      <c r="L91" s="141" t="inlineStr">
        <is>
          <t>PCTC</t>
        </is>
      </c>
      <c r="M91" s="143" t="n">
        <v>5860</v>
      </c>
      <c r="N91" s="143" t="inlineStr">
        <is>
          <t>USD</t>
        </is>
      </c>
      <c r="O91" s="95" t="inlineStr">
        <is>
          <t>Dan Marine Group Ltd.</t>
        </is>
      </c>
      <c r="P91" s="123" t="inlineStr">
        <is>
          <t xml:space="preserve">Contracted </t>
        </is>
      </c>
    </row>
    <row r="92">
      <c r="A92" s="95" t="inlineStr">
        <is>
          <t>Glovis LightHouse</t>
        </is>
      </c>
      <c r="C92" s="141" t="inlineStr">
        <is>
          <t>GLIG-60102/26-1</t>
        </is>
      </c>
      <c r="D92" s="95">
        <f>IF(OR(ISNUMBER(SEARCH("Pre Delivery",E92)),ISNUMBER(SEARCH("Pre-Delivery",E92)),ISNUMBER(SEARCH("Predelivery",E92)),ISNUMBER(SEARCH("PD -",E92)),ISNUMBER(SEARCH("PD Lubes",E92))),"Pre-Delivery","")</f>
        <v/>
      </c>
      <c r="E92" s="141" t="inlineStr">
        <is>
          <t>Pressure Calibrators</t>
        </is>
      </c>
      <c r="F92" s="141" t="inlineStr">
        <is>
          <t>Pressure Calibrators</t>
        </is>
      </c>
      <c r="H92" s="141" t="inlineStr">
        <is>
          <t>Stores</t>
        </is>
      </c>
      <c r="I92" s="107" t="n"/>
      <c r="J92" s="108" t="n"/>
      <c r="K92" s="108" t="n"/>
      <c r="L92" s="141" t="inlineStr">
        <is>
          <t>PCTC</t>
        </is>
      </c>
      <c r="M92" s="143" t="n">
        <v>5860</v>
      </c>
      <c r="N92" s="143" t="inlineStr">
        <is>
          <t>USD</t>
        </is>
      </c>
      <c r="O92" s="95" t="inlineStr">
        <is>
          <t>Dan Marine Group Ltd.</t>
        </is>
      </c>
      <c r="P92" s="123" t="inlineStr">
        <is>
          <t xml:space="preserve">Contracted </t>
        </is>
      </c>
    </row>
    <row r="93">
      <c r="A93" s="95" t="inlineStr">
        <is>
          <t>Glovis LightHouse</t>
        </is>
      </c>
      <c r="C93" s="141" t="inlineStr">
        <is>
          <t>GLIG-60008/26-1</t>
        </is>
      </c>
      <c r="D93" s="95">
        <f>IF(OR(ISNUMBER(SEARCH("Pre Delivery",E93)),ISNUMBER(SEARCH("Pre-Delivery",E93)),ISNUMBER(SEARCH("Predelivery",E93)),ISNUMBER(SEARCH("PD -",E93)),ISNUMBER(SEARCH("PD Lubes",E93))),"Pre-Delivery","")</f>
        <v/>
      </c>
      <c r="E93" s="141" t="inlineStr">
        <is>
          <t>AST PO</t>
        </is>
      </c>
      <c r="F93" s="141" t="inlineStr">
        <is>
          <t>IT Equipment - Interface / Integration</t>
        </is>
      </c>
      <c r="H93" s="141" t="inlineStr">
        <is>
          <t>Others</t>
        </is>
      </c>
      <c r="I93" s="107" t="n"/>
      <c r="J93" s="108" t="n"/>
      <c r="K93" s="108" t="n"/>
      <c r="L93" s="141" t="inlineStr">
        <is>
          <t>PCTC</t>
        </is>
      </c>
      <c r="M93" s="143" t="n">
        <v>5766</v>
      </c>
      <c r="N93" s="143" t="inlineStr">
        <is>
          <t>USD</t>
        </is>
      </c>
      <c r="O93" s="95" t="inlineStr">
        <is>
          <t>Applied Satellite Technology Systems US LLC (AST Americas)</t>
        </is>
      </c>
      <c r="P93" s="123" t="inlineStr">
        <is>
          <t xml:space="preserve">Contracted </t>
        </is>
      </c>
    </row>
    <row r="94">
      <c r="A94" s="95" t="inlineStr">
        <is>
          <t>Glovis LightHouse</t>
        </is>
      </c>
      <c r="C94" s="141" t="inlineStr">
        <is>
          <t>GLIG-60045/26-1</t>
        </is>
      </c>
      <c r="D94" s="95">
        <f>IF(OR(ISNUMBER(SEARCH("Pre Delivery",E94)),ISNUMBER(SEARCH("Pre-Delivery",E94)),ISNUMBER(SEARCH("Predelivery",E94)),ISNUMBER(SEARCH("PD -",E94)),ISNUMBER(SEARCH("PD Lubes",E94))),"Pre-Delivery","")</f>
        <v/>
      </c>
      <c r="E94" s="141" t="inlineStr">
        <is>
          <t>Maintenance Chemicals</t>
        </is>
      </c>
      <c r="F94" s="141" t="inlineStr">
        <is>
          <t>Maintenance Chemicals</t>
        </is>
      </c>
      <c r="H94" s="141" t="inlineStr">
        <is>
          <t>Chemicals</t>
        </is>
      </c>
      <c r="I94" s="107" t="n"/>
      <c r="J94" s="108" t="n"/>
      <c r="K94" s="108" t="n"/>
      <c r="L94" s="141" t="inlineStr">
        <is>
          <t>PCTC</t>
        </is>
      </c>
      <c r="M94" s="143" t="n">
        <v>5339</v>
      </c>
      <c r="N94" s="143" t="inlineStr">
        <is>
          <t>USD</t>
        </is>
      </c>
      <c r="O94" s="95" t="inlineStr">
        <is>
          <t>Drew Marine USA, Inc</t>
        </is>
      </c>
      <c r="P94" s="123" t="inlineStr">
        <is>
          <t xml:space="preserve">Contracted </t>
        </is>
      </c>
    </row>
    <row r="95">
      <c r="A95" s="95" t="inlineStr">
        <is>
          <t>Glovis LightHouse</t>
        </is>
      </c>
      <c r="C95" s="141" t="inlineStr">
        <is>
          <t>GLIG-60070/26-1</t>
        </is>
      </c>
      <c r="D95" s="95">
        <f>IF(OR(ISNUMBER(SEARCH("Pre Delivery",E95)),ISNUMBER(SEARCH("Pre-Delivery",E95)),ISNUMBER(SEARCH("Predelivery",E95)),ISNUMBER(SEARCH("PD -",E95)),ISNUMBER(SEARCH("PD Lubes",E95))),"Pre-Delivery","")</f>
        <v/>
      </c>
      <c r="E95" s="141" t="inlineStr">
        <is>
          <t>Gases</t>
        </is>
      </c>
      <c r="F95" s="141" t="inlineStr">
        <is>
          <t>Industrial Gases</t>
        </is>
      </c>
      <c r="H95" s="141" t="inlineStr">
        <is>
          <t>Chemicals</t>
        </is>
      </c>
      <c r="I95" s="107" t="n"/>
      <c r="J95" s="108" t="n"/>
      <c r="K95" s="108" t="n"/>
      <c r="L95" s="141" t="inlineStr">
        <is>
          <t>PCTC</t>
        </is>
      </c>
      <c r="M95" s="143" t="n">
        <v>5327</v>
      </c>
      <c r="N95" s="143" t="inlineStr">
        <is>
          <t>USD</t>
        </is>
      </c>
      <c r="O95" s="95" t="inlineStr">
        <is>
          <t>Drew Marine USA, Inc</t>
        </is>
      </c>
      <c r="P95" s="123" t="inlineStr">
        <is>
          <t xml:space="preserve">Contracted </t>
        </is>
      </c>
    </row>
    <row r="96">
      <c r="A96" s="95" t="inlineStr">
        <is>
          <t>Glovis LightHouse</t>
        </is>
      </c>
      <c r="C96" s="141" t="inlineStr">
        <is>
          <t>GLIG-60044/26-1</t>
        </is>
      </c>
      <c r="D96" s="95">
        <f>IF(OR(ISNUMBER(SEARCH("Pre Delivery",E96)),ISNUMBER(SEARCH("Pre-Delivery",E96)),ISNUMBER(SEARCH("Predelivery",E96)),ISNUMBER(SEARCH("PD -",E96)),ISNUMBER(SEARCH("PD Lubes",E96))),"Pre-Delivery","")</f>
        <v/>
      </c>
      <c r="E96" s="141" t="inlineStr">
        <is>
          <t>Cryogenic PPE - Scandia</t>
        </is>
      </c>
      <c r="F96" s="141" t="inlineStr">
        <is>
          <t>Cryogenic PPE</t>
        </is>
      </c>
      <c r="H96" s="141" t="inlineStr">
        <is>
          <t>Stores</t>
        </is>
      </c>
      <c r="I96" s="107" t="n"/>
      <c r="J96" s="108" t="n"/>
      <c r="K96" s="108" t="n"/>
      <c r="L96" s="141" t="inlineStr">
        <is>
          <t>PCTC</t>
        </is>
      </c>
      <c r="M96" s="143" t="n">
        <v>5272</v>
      </c>
      <c r="N96" s="143" t="inlineStr">
        <is>
          <t>USD</t>
        </is>
      </c>
      <c r="O96" s="95" t="inlineStr">
        <is>
          <t>Scandia Gear Asia Pte Ltd</t>
        </is>
      </c>
      <c r="P96" s="123" t="inlineStr">
        <is>
          <t xml:space="preserve">Contracted </t>
        </is>
      </c>
    </row>
    <row r="97">
      <c r="A97" s="95" t="inlineStr">
        <is>
          <t>Glovis LightHouse</t>
        </is>
      </c>
      <c r="C97" s="141" t="inlineStr">
        <is>
          <t>GLIG-60058/26-1</t>
        </is>
      </c>
      <c r="D97" s="95">
        <f>IF(OR(ISNUMBER(SEARCH("Pre Delivery",E97)),ISNUMBER(SEARCH("Pre-Delivery",E97)),ISNUMBER(SEARCH("Predelivery",E97)),ISNUMBER(SEARCH("PD -",E97)),ISNUMBER(SEARCH("PD Lubes",E97))),"Pre-Delivery","")</f>
        <v/>
      </c>
      <c r="E97" s="141" t="inlineStr">
        <is>
          <t>IMPA Stores - ACC</t>
        </is>
      </c>
      <c r="F97" s="141" t="inlineStr">
        <is>
          <t>IMPA Stores - Accommodation</t>
        </is>
      </c>
      <c r="H97" s="141" t="inlineStr">
        <is>
          <t>Stores</t>
        </is>
      </c>
      <c r="I97" s="107" t="n"/>
      <c r="J97" s="108" t="n"/>
      <c r="K97" s="108" t="n"/>
      <c r="L97" s="141" t="inlineStr">
        <is>
          <t>PCTC</t>
        </is>
      </c>
      <c r="M97" s="143" t="n">
        <v>4987</v>
      </c>
      <c r="N97" s="143" t="inlineStr">
        <is>
          <t>USD</t>
        </is>
      </c>
      <c r="O97" s="95" t="inlineStr">
        <is>
          <t>Fuji Marine Logistics Shunyang(Shanghai) Co., LIMITED</t>
        </is>
      </c>
      <c r="P97" s="123" t="inlineStr">
        <is>
          <t xml:space="preserve">Contracted </t>
        </is>
      </c>
    </row>
    <row r="98">
      <c r="A98" s="95" t="inlineStr">
        <is>
          <t>Glovis LightHouse</t>
        </is>
      </c>
      <c r="C98" s="141" t="inlineStr">
        <is>
          <t>GLIG-60099/26-1</t>
        </is>
      </c>
      <c r="D98" s="95">
        <f>IF(OR(ISNUMBER(SEARCH("Pre Delivery",E98)),ISNUMBER(SEARCH("Pre-Delivery",E98)),ISNUMBER(SEARCH("Predelivery",E98)),ISNUMBER(SEARCH("PD -",E98)),ISNUMBER(SEARCH("PD Lubes",E98))),"Pre-Delivery","")</f>
        <v/>
      </c>
      <c r="E98" s="141" t="inlineStr">
        <is>
          <t>Seatrial Stores</t>
        </is>
      </c>
      <c r="F98" s="141" t="inlineStr">
        <is>
          <t>Sea Trial</t>
        </is>
      </c>
      <c r="H98" s="141" t="inlineStr">
        <is>
          <t>Stores</t>
        </is>
      </c>
      <c r="I98" s="107" t="n"/>
      <c r="J98" s="108" t="n"/>
      <c r="K98" s="108" t="n"/>
      <c r="L98" s="141" t="inlineStr">
        <is>
          <t>PCTC</t>
        </is>
      </c>
      <c r="M98" s="143" t="n">
        <v>4758</v>
      </c>
      <c r="N98" s="143" t="inlineStr">
        <is>
          <t>USD</t>
        </is>
      </c>
      <c r="O98" s="95" t="inlineStr">
        <is>
          <t>Vessel Link Marine Supply &amp; Service Ltd</t>
        </is>
      </c>
      <c r="P98" s="123" t="inlineStr">
        <is>
          <t xml:space="preserve">Contracted </t>
        </is>
      </c>
    </row>
    <row r="99">
      <c r="A99" s="95" t="inlineStr">
        <is>
          <t>Glovis LightHouse</t>
        </is>
      </c>
      <c r="C99" s="141" t="inlineStr">
        <is>
          <t>GLIG-60025/26-1</t>
        </is>
      </c>
      <c r="D99" s="95">
        <f>IF(OR(ISNUMBER(SEARCH("Pre Delivery",E99)),ISNUMBER(SEARCH("Pre-Delivery",E99)),ISNUMBER(SEARCH("Predelivery",E99)),ISNUMBER(SEARCH("PD -",E99)),ISNUMBER(SEARCH("PD Lubes",E99))),"Pre-Delivery","")</f>
        <v/>
      </c>
      <c r="E99" s="141" t="inlineStr">
        <is>
          <t>PD Lubes - VLSQ61941 - Kaeser Fluid Rotary S-46X</t>
        </is>
      </c>
      <c r="F99" s="141" t="inlineStr">
        <is>
          <t>Lubricants</t>
        </is>
      </c>
      <c r="H99" s="141" t="inlineStr">
        <is>
          <t>Lube Oil</t>
        </is>
      </c>
      <c r="I99" s="107" t="n"/>
      <c r="J99" s="108" t="n"/>
      <c r="K99" s="108" t="n"/>
      <c r="L99" s="141" t="inlineStr">
        <is>
          <t>PCTC</t>
        </is>
      </c>
      <c r="M99" s="143" t="n">
        <v>4414</v>
      </c>
      <c r="N99" s="143" t="inlineStr">
        <is>
          <t>USD</t>
        </is>
      </c>
      <c r="O99" s="95" t="inlineStr">
        <is>
          <t>Vessel Link Marine Supply &amp; Service Ltd</t>
        </is>
      </c>
      <c r="P99" s="123" t="inlineStr">
        <is>
          <t xml:space="preserve">Contracted </t>
        </is>
      </c>
    </row>
    <row r="100">
      <c r="A100" s="95" t="inlineStr">
        <is>
          <t>Glovis LightHouse</t>
        </is>
      </c>
      <c r="C100" s="141" t="inlineStr">
        <is>
          <t>GLIG-60043/26-1</t>
        </is>
      </c>
      <c r="D100" s="95">
        <f>IF(OR(ISNUMBER(SEARCH("Pre Delivery",E100)),ISNUMBER(SEARCH("Pre-Delivery",E100)),ISNUMBER(SEARCH("Predelivery",E100)),ISNUMBER(SEARCH("PD -",E100)),ISNUMBER(SEARCH("PD Lubes",E100))),"Pre-Delivery","")</f>
        <v/>
      </c>
      <c r="E100" s="141" t="inlineStr">
        <is>
          <t>Garbage Compactor</t>
        </is>
      </c>
      <c r="F100" s="141" t="inlineStr">
        <is>
          <t>Garbage Compactor</t>
        </is>
      </c>
      <c r="H100" s="141" t="inlineStr">
        <is>
          <t>Spares</t>
        </is>
      </c>
      <c r="I100" s="107" t="n"/>
      <c r="J100" s="108" t="n"/>
      <c r="K100" s="108" t="n"/>
      <c r="L100" s="141" t="inlineStr">
        <is>
          <t>PCTC</t>
        </is>
      </c>
      <c r="M100" s="143" t="n">
        <v>4350</v>
      </c>
      <c r="N100" s="143" t="inlineStr">
        <is>
          <t>USD</t>
        </is>
      </c>
      <c r="O100" s="95" t="inlineStr">
        <is>
          <t>Vessel Link Marine Supply &amp; Service Ltd</t>
        </is>
      </c>
      <c r="P100" s="123" t="inlineStr">
        <is>
          <t xml:space="preserve">Contracted </t>
        </is>
      </c>
    </row>
    <row r="101">
      <c r="A101" s="95" t="inlineStr">
        <is>
          <t>Glovis LightHouse</t>
        </is>
      </c>
      <c r="C101" s="141" t="inlineStr">
        <is>
          <t>GLIG-60015/26-1</t>
        </is>
      </c>
      <c r="D101" s="95">
        <f>IF(OR(ISNUMBER(SEARCH("Pre Delivery",E101)),ISNUMBER(SEARCH("Pre-Delivery",E101)),ISNUMBER(SEARCH("Predelivery",E101)),ISNUMBER(SEARCH("PD -",E101)),ISNUMBER(SEARCH("PD Lubes",E101))),"Pre-Delivery","")</f>
        <v/>
      </c>
      <c r="E101" s="141" t="inlineStr">
        <is>
          <t>FS-X10</t>
        </is>
      </c>
      <c r="F101" s="141" t="inlineStr">
        <is>
          <t>IT Equipment - X10 System</t>
        </is>
      </c>
      <c r="H101" s="141" t="inlineStr">
        <is>
          <t>Others</t>
        </is>
      </c>
      <c r="I101" s="107" t="n"/>
      <c r="J101" s="108" t="n"/>
      <c r="K101" s="108" t="n"/>
      <c r="L101" s="141" t="inlineStr">
        <is>
          <t>PCTC</t>
        </is>
      </c>
      <c r="M101" s="143" t="n">
        <v>4281</v>
      </c>
      <c r="N101" s="143" t="inlineStr">
        <is>
          <t>CAD</t>
        </is>
      </c>
      <c r="O101" s="95" t="inlineStr">
        <is>
          <t>X10 Networks Inc.</t>
        </is>
      </c>
      <c r="P101" s="123" t="inlineStr">
        <is>
          <t xml:space="preserve">Checking </t>
        </is>
      </c>
    </row>
    <row r="102">
      <c r="A102" s="95" t="inlineStr">
        <is>
          <t>Glovis LightHouse</t>
        </is>
      </c>
      <c r="C102" s="141" t="inlineStr">
        <is>
          <t>GLIG-60097/26-1</t>
        </is>
      </c>
      <c r="D102" s="95">
        <f>IF(OR(ISNUMBER(SEARCH("Pre Delivery",E102)),ISNUMBER(SEARCH("Pre-Delivery",E102)),ISNUMBER(SEARCH("Predelivery",E102)),ISNUMBER(SEARCH("PD -",E102)),ISNUMBER(SEARCH("PD Lubes",E102))),"Pre-Delivery","")</f>
        <v/>
      </c>
      <c r="H102" s="141" t="inlineStr">
        <is>
          <t>Others</t>
        </is>
      </c>
      <c r="I102" s="107" t="n"/>
      <c r="J102" s="108" t="n"/>
      <c r="K102" s="108" t="n"/>
      <c r="L102" s="141" t="inlineStr">
        <is>
          <t>PCTC</t>
        </is>
      </c>
      <c r="M102" s="143" t="n">
        <v>4040</v>
      </c>
      <c r="N102" s="143" t="inlineStr">
        <is>
          <t>USD</t>
        </is>
      </c>
      <c r="O102" s="95" t="inlineStr">
        <is>
          <t>KVH Industries Inc</t>
        </is>
      </c>
      <c r="P102" s="123" t="inlineStr">
        <is>
          <t xml:space="preserve">Contracted </t>
        </is>
      </c>
    </row>
    <row r="103">
      <c r="A103" s="95" t="inlineStr">
        <is>
          <t>Glovis LightHouse</t>
        </is>
      </c>
      <c r="C103" s="141" t="inlineStr">
        <is>
          <t>GLIG-60003/25</t>
        </is>
      </c>
      <c r="D103" s="95">
        <f>IF(OR(ISNUMBER(SEARCH("Pre Delivery",E103)),ISNUMBER(SEARCH("Pre-Delivery",E103)),ISNUMBER(SEARCH("Predelivery",E103)),ISNUMBER(SEARCH("PD -",E103)),ISNUMBER(SEARCH("PD Lubes",E103))),"Pre-Delivery","")</f>
        <v/>
      </c>
      <c r="E103" s="141" t="inlineStr">
        <is>
          <t>Citadel VHF/GPS and UHF ANTENNA system</t>
        </is>
      </c>
      <c r="F103" s="141" t="inlineStr">
        <is>
          <t>Citadel VHF/GPS/UHF System</t>
        </is>
      </c>
      <c r="H103" s="141" t="inlineStr">
        <is>
          <t>Spares</t>
        </is>
      </c>
      <c r="I103" s="107" t="n"/>
      <c r="J103" s="108" t="n"/>
      <c r="K103" s="108" t="n"/>
      <c r="L103" s="141" t="inlineStr">
        <is>
          <t>PCTC</t>
        </is>
      </c>
      <c r="M103" s="141" t="inlineStr">
        <is>
          <t xml:space="preserve"> #N/A </t>
        </is>
      </c>
      <c r="N103" s="141" t="e">
        <v>#N/A</v>
      </c>
      <c r="O103" s="95" t="e">
        <v>#N/A</v>
      </c>
      <c r="P103" s="123" t="inlineStr">
        <is>
          <t xml:space="preserve">#N/A </t>
        </is>
      </c>
    </row>
    <row r="104">
      <c r="A104" s="95" t="inlineStr">
        <is>
          <t>Glovis LightHouse</t>
        </is>
      </c>
      <c r="C104" s="141" t="inlineStr">
        <is>
          <t>GLIG-60085/26-1</t>
        </is>
      </c>
      <c r="D104" s="95">
        <f>IF(OR(ISNUMBER(SEARCH("Pre Delivery",E104)),ISNUMBER(SEARCH("Pre-Delivery",E104)),ISNUMBER(SEARCH("Predelivery",E104)),ISNUMBER(SEARCH("PD -",E104)),ISNUMBER(SEARCH("PD Lubes",E104))),"Pre-Delivery","")</f>
        <v/>
      </c>
      <c r="E104" s="141" t="inlineStr">
        <is>
          <t>Air driven HP Pump - For hydraulic nuts for M/E</t>
        </is>
      </c>
      <c r="F104" s="141" t="inlineStr">
        <is>
          <t>HP Pump (Hydraulic Nuts)</t>
        </is>
      </c>
      <c r="H104" s="141" t="inlineStr">
        <is>
          <t>Spares</t>
        </is>
      </c>
      <c r="I104" s="107" t="n"/>
      <c r="J104" s="108" t="n"/>
      <c r="K104" s="108" t="n"/>
      <c r="L104" s="141" t="inlineStr">
        <is>
          <t>PCTC</t>
        </is>
      </c>
      <c r="M104" s="141" t="inlineStr">
        <is>
          <t xml:space="preserve"> #N/A </t>
        </is>
      </c>
      <c r="N104" s="141" t="e">
        <v>#N/A</v>
      </c>
      <c r="O104" s="95" t="e">
        <v>#N/A</v>
      </c>
      <c r="P104" s="123" t="inlineStr">
        <is>
          <t xml:space="preserve">#N/A </t>
        </is>
      </c>
    </row>
    <row r="105" ht="37.5" customHeight="1">
      <c r="A105" s="95" t="inlineStr">
        <is>
          <t>Glovis LightHouse</t>
        </is>
      </c>
      <c r="D105" s="95">
        <f>IF(OR(ISNUMBER(SEARCH("Pre Delivery",E105)),ISNUMBER(SEARCH("Pre-Delivery",E105)),ISNUMBER(SEARCH("Predelivery",E105)),ISNUMBER(SEARCH("PD -",E105)),ISNUMBER(SEARCH("PD Lubes",E105))),"Pre-Delivery","")</f>
        <v/>
      </c>
      <c r="E105" s="141" t="inlineStr">
        <is>
          <t>Reliability RO-RO Equipment (Main &amp; Centre Ramp spares + inner Ramp spares)</t>
        </is>
      </c>
      <c r="F105" s="141" t="inlineStr">
        <is>
          <t>RO-RO Equipment - Ramp Spares</t>
        </is>
      </c>
      <c r="H105" s="141" t="inlineStr">
        <is>
          <t>Spares</t>
        </is>
      </c>
      <c r="I105" s="107" t="n"/>
      <c r="J105" s="108" t="n"/>
      <c r="K105" s="108" t="n"/>
      <c r="L105" s="141" t="inlineStr">
        <is>
          <t>PCTC</t>
        </is>
      </c>
      <c r="M105" s="141" t="inlineStr">
        <is>
          <t xml:space="preserve"> #N/A </t>
        </is>
      </c>
      <c r="N105" s="141" t="e">
        <v>#N/A</v>
      </c>
      <c r="O105" s="95" t="e">
        <v>#N/A</v>
      </c>
      <c r="P105" s="123" t="inlineStr">
        <is>
          <t xml:space="preserve">#N/A </t>
        </is>
      </c>
    </row>
    <row r="106">
      <c r="A106" s="95" t="inlineStr">
        <is>
          <t>Glovis LightHouse</t>
        </is>
      </c>
      <c r="D106" s="95">
        <f>IF(OR(ISNUMBER(SEARCH("Pre Delivery",E106)),ISNUMBER(SEARCH("Pre-Delivery",E106)),ISNUMBER(SEARCH("Predelivery",E106)),ISNUMBER(SEARCH("PD -",E106)),ISNUMBER(SEARCH("PD Lubes",E106))),"Pre-Delivery","")</f>
        <v/>
      </c>
      <c r="E106" s="141" t="inlineStr">
        <is>
          <t>Reliability HP Pump Skid</t>
        </is>
      </c>
      <c r="F106" s="141" t="inlineStr">
        <is>
          <t>HP Pump Skid</t>
        </is>
      </c>
      <c r="H106" s="141" t="inlineStr">
        <is>
          <t>Spares</t>
        </is>
      </c>
      <c r="I106" s="107" t="n"/>
      <c r="J106" s="108" t="n"/>
      <c r="K106" s="108" t="n"/>
      <c r="L106" s="141" t="inlineStr">
        <is>
          <t>PCTC</t>
        </is>
      </c>
      <c r="M106" s="141" t="inlineStr">
        <is>
          <t xml:space="preserve"> #N/A </t>
        </is>
      </c>
      <c r="N106" s="141" t="e">
        <v>#N/A</v>
      </c>
      <c r="O106" s="95" t="e">
        <v>#N/A</v>
      </c>
      <c r="P106" s="123" t="inlineStr">
        <is>
          <t xml:space="preserve">#N/A </t>
        </is>
      </c>
    </row>
    <row r="107">
      <c r="A107" s="95" t="inlineStr">
        <is>
          <t>Glovis LightHouse</t>
        </is>
      </c>
      <c r="D107" s="95">
        <f>IF(OR(ISNUMBER(SEARCH("Pre Delivery",E107)),ISNUMBER(SEARCH("Pre-Delivery",E107)),ISNUMBER(SEARCH("Predelivery",E107)),ISNUMBER(SEARCH("PD -",E107)),ISNUMBER(SEARCH("PD Lubes",E107))),"Pre-Delivery","")</f>
        <v/>
      </c>
      <c r="E107" s="141" t="inlineStr">
        <is>
          <t>Reefer cable and plugs extensions</t>
        </is>
      </c>
      <c r="F107" s="141" t="inlineStr">
        <is>
          <t>Reefer Cables &amp; Plugs</t>
        </is>
      </c>
      <c r="H107" s="141" t="inlineStr">
        <is>
          <t>Spares</t>
        </is>
      </c>
      <c r="I107" s="107" t="n"/>
      <c r="J107" s="108" t="n"/>
      <c r="K107" s="108" t="n"/>
      <c r="L107" s="141" t="inlineStr">
        <is>
          <t>PCTC</t>
        </is>
      </c>
      <c r="M107" s="141" t="inlineStr">
        <is>
          <t xml:space="preserve"> #N/A </t>
        </is>
      </c>
      <c r="N107" s="141" t="e">
        <v>#N/A</v>
      </c>
      <c r="O107" s="95" t="e">
        <v>#N/A</v>
      </c>
      <c r="P107" s="123" t="inlineStr">
        <is>
          <t xml:space="preserve">#N/A </t>
        </is>
      </c>
    </row>
    <row r="108">
      <c r="A108" s="95" t="inlineStr">
        <is>
          <t>Glovis LightHouse</t>
        </is>
      </c>
      <c r="C108" s="141" t="inlineStr">
        <is>
          <t>GLIG-60115/26</t>
        </is>
      </c>
      <c r="D108" s="95">
        <f>IF(OR(ISNUMBER(SEARCH("Pre Delivery",E108)),ISNUMBER(SEARCH("Pre-Delivery",E108)),ISNUMBER(SEARCH("Predelivery",E108)),ISNUMBER(SEARCH("PD -",E108)),ISNUMBER(SEARCH("PD Lubes",E108))),"Pre-Delivery","")</f>
        <v/>
      </c>
      <c r="E108" s="141" t="inlineStr">
        <is>
          <t>Gas Cylinders</t>
        </is>
      </c>
      <c r="F108" s="141" t="inlineStr">
        <is>
          <t>Gas Cylinders</t>
        </is>
      </c>
      <c r="H108" s="141" t="inlineStr">
        <is>
          <t>Spares</t>
        </is>
      </c>
      <c r="I108" s="107" t="n"/>
      <c r="J108" s="108" t="n"/>
      <c r="K108" s="108" t="n"/>
      <c r="L108" s="141" t="inlineStr">
        <is>
          <t>PCTC</t>
        </is>
      </c>
      <c r="M108" s="141" t="inlineStr">
        <is>
          <t xml:space="preserve"> #N/A </t>
        </is>
      </c>
      <c r="N108" s="141" t="e">
        <v>#N/A</v>
      </c>
      <c r="O108" s="95" t="e">
        <v>#N/A</v>
      </c>
      <c r="P108" s="123" t="inlineStr">
        <is>
          <t xml:space="preserve">#N/A </t>
        </is>
      </c>
    </row>
    <row r="109">
      <c r="A109" s="95" t="inlineStr">
        <is>
          <t>Glovis LightHouse</t>
        </is>
      </c>
      <c r="D109" s="95">
        <f>IF(OR(ISNUMBER(SEARCH("Pre Delivery",E109)),ISNUMBER(SEARCH("Pre-Delivery",E109)),ISNUMBER(SEARCH("Predelivery",E109)),ISNUMBER(SEARCH("PD -",E109)),ISNUMBER(SEARCH("PD Lubes",E109))),"Pre-Delivery","")</f>
        <v/>
      </c>
      <c r="E109" s="141" t="inlineStr">
        <is>
          <t>Thermal Stop PO</t>
        </is>
      </c>
      <c r="F109" s="141" t="inlineStr">
        <is>
          <t>Thermal Stop</t>
        </is>
      </c>
      <c r="H109" s="141" t="inlineStr">
        <is>
          <t>Spares</t>
        </is>
      </c>
      <c r="I109" s="107" t="n"/>
      <c r="J109" s="108" t="n"/>
      <c r="K109" s="108" t="n"/>
      <c r="L109" s="141" t="inlineStr">
        <is>
          <t>PCTC</t>
        </is>
      </c>
      <c r="M109" s="141" t="inlineStr">
        <is>
          <t xml:space="preserve"> #N/A </t>
        </is>
      </c>
      <c r="N109" s="141" t="e">
        <v>#N/A</v>
      </c>
      <c r="O109" s="95" t="e">
        <v>#N/A</v>
      </c>
      <c r="P109" s="123" t="inlineStr">
        <is>
          <t xml:space="preserve">#N/A </t>
        </is>
      </c>
    </row>
    <row r="110">
      <c r="A110" s="95" t="inlineStr">
        <is>
          <t>Glovis LightHouse</t>
        </is>
      </c>
      <c r="D110" s="95">
        <f>IF(OR(ISNUMBER(SEARCH("Pre Delivery",E110)),ISNUMBER(SEARCH("Pre-Delivery",E110)),ISNUMBER(SEARCH("Predelivery",E110)),ISNUMBER(SEARCH("PD -",E110)),ISNUMBER(SEARCH("PD Lubes",E110))),"Pre-Delivery","")</f>
        <v/>
      </c>
      <c r="E110" s="141" t="inlineStr">
        <is>
          <t>Receptacles</t>
        </is>
      </c>
      <c r="F110" s="141" t="inlineStr">
        <is>
          <t>Receptacles</t>
        </is>
      </c>
      <c r="H110" s="141" t="inlineStr">
        <is>
          <t>Spares</t>
        </is>
      </c>
      <c r="I110" s="107" t="n"/>
      <c r="J110" s="108" t="n"/>
      <c r="K110" s="108" t="n"/>
      <c r="L110" s="141" t="inlineStr">
        <is>
          <t>PCTC</t>
        </is>
      </c>
      <c r="M110" s="141" t="inlineStr">
        <is>
          <t xml:space="preserve"> #N/A </t>
        </is>
      </c>
      <c r="N110" s="141" t="e">
        <v>#N/A</v>
      </c>
      <c r="O110" s="95" t="e">
        <v>#N/A</v>
      </c>
      <c r="P110" s="123" t="inlineStr">
        <is>
          <t xml:space="preserve">#N/A </t>
        </is>
      </c>
    </row>
    <row r="111">
      <c r="A111" s="95" t="inlineStr">
        <is>
          <t>Glovis LightHouse</t>
        </is>
      </c>
      <c r="D111" s="95">
        <f>IF(OR(ISNUMBER(SEARCH("Pre Delivery",E111)),ISNUMBER(SEARCH("Pre-Delivery",E111)),ISNUMBER(SEARCH("Predelivery",E111)),ISNUMBER(SEARCH("PD -",E111)),ISNUMBER(SEARCH("PD Lubes",E111))),"Pre-Delivery","")</f>
        <v/>
      </c>
      <c r="E111" s="141" t="inlineStr">
        <is>
          <t>Trelleborg Safe lanes</t>
        </is>
      </c>
      <c r="F111" s="141" t="inlineStr">
        <is>
          <t>Safe Lanes (Trelleborg)</t>
        </is>
      </c>
      <c r="H111" s="141" t="inlineStr">
        <is>
          <t>Spares</t>
        </is>
      </c>
      <c r="I111" s="107" t="n"/>
      <c r="J111" s="108" t="n"/>
      <c r="K111" s="108" t="n"/>
      <c r="L111" s="141" t="inlineStr">
        <is>
          <t>PCTC</t>
        </is>
      </c>
      <c r="M111" s="141" t="inlineStr">
        <is>
          <t xml:space="preserve"> #N/A </t>
        </is>
      </c>
      <c r="N111" s="141" t="e">
        <v>#N/A</v>
      </c>
      <c r="O111" s="95" t="e">
        <v>#N/A</v>
      </c>
      <c r="P111" s="123" t="inlineStr">
        <is>
          <t xml:space="preserve">#N/A </t>
        </is>
      </c>
    </row>
    <row r="112">
      <c r="A112" s="95" t="inlineStr">
        <is>
          <t>Glovis LightHouse</t>
        </is>
      </c>
      <c r="C112" s="141" t="inlineStr">
        <is>
          <t>GLIG-60101/26</t>
        </is>
      </c>
      <c r="D112" s="95">
        <f>IF(OR(ISNUMBER(SEARCH("Pre Delivery",E112)),ISNUMBER(SEARCH("Pre-Delivery",E112)),ISNUMBER(SEARCH("Predelivery",E112)),ISNUMBER(SEARCH("PD -",E112)),ISNUMBER(SEARCH("PD Lubes",E112))),"Pre-Delivery","")</f>
        <v/>
      </c>
      <c r="E112" s="141" t="inlineStr">
        <is>
          <t>Main Engine - Additional Spares</t>
        </is>
      </c>
      <c r="F112" s="141" t="inlineStr">
        <is>
          <t>Engine Spares - Main Engine</t>
        </is>
      </c>
      <c r="H112" s="141" t="inlineStr">
        <is>
          <t>Spares</t>
        </is>
      </c>
      <c r="I112" s="107" t="n"/>
      <c r="J112" s="108" t="n"/>
      <c r="K112" s="108" t="n"/>
      <c r="L112" s="141" t="inlineStr">
        <is>
          <t>PCTC</t>
        </is>
      </c>
      <c r="M112" s="141" t="inlineStr">
        <is>
          <t xml:space="preserve"> #N/A </t>
        </is>
      </c>
      <c r="N112" s="141" t="e">
        <v>#N/A</v>
      </c>
      <c r="O112" s="95" t="e">
        <v>#N/A</v>
      </c>
      <c r="P112" s="123" t="inlineStr">
        <is>
          <t xml:space="preserve">#N/A </t>
        </is>
      </c>
    </row>
    <row r="113">
      <c r="A113" s="95" t="inlineStr">
        <is>
          <t>Glovis LightHouse</t>
        </is>
      </c>
      <c r="C113" s="141" t="inlineStr">
        <is>
          <t>GLIG-60046/26-1</t>
        </is>
      </c>
      <c r="D113" s="95">
        <f>IF(OR(ISNUMBER(SEARCH("Pre Delivery",E113)),ISNUMBER(SEARCH("Pre-Delivery",E113)),ISNUMBER(SEARCH("Predelivery",E113)),ISNUMBER(SEARCH("PD -",E113)),ISNUMBER(SEARCH("PD Lubes",E113))),"Pre-Delivery","")</f>
        <v/>
      </c>
      <c r="E113" s="141" t="inlineStr">
        <is>
          <t>Seatab</t>
        </is>
      </c>
      <c r="F113" s="141" t="inlineStr">
        <is>
          <t>Seatab</t>
        </is>
      </c>
      <c r="H113" s="141" t="inlineStr">
        <is>
          <t>Spares</t>
        </is>
      </c>
      <c r="I113" s="107" t="n"/>
      <c r="J113" s="108" t="n"/>
      <c r="K113" s="108" t="n"/>
      <c r="L113" s="141" t="inlineStr">
        <is>
          <t>PCTC</t>
        </is>
      </c>
      <c r="M113" s="143" t="n">
        <v>3887</v>
      </c>
      <c r="N113" s="143" t="inlineStr">
        <is>
          <t>USD</t>
        </is>
      </c>
      <c r="O113" s="95" t="inlineStr">
        <is>
          <t>OneOcean AS</t>
        </is>
      </c>
      <c r="P113" s="123" t="inlineStr">
        <is>
          <t xml:space="preserve">Contracted </t>
        </is>
      </c>
    </row>
    <row r="114">
      <c r="A114" s="95" t="inlineStr">
        <is>
          <t>Glovis LightHouse</t>
        </is>
      </c>
      <c r="C114" s="141" t="inlineStr">
        <is>
          <t>GLIG-60073/26-1</t>
        </is>
      </c>
      <c r="D114" s="95">
        <f>IF(OR(ISNUMBER(SEARCH("Pre Delivery",E114)),ISNUMBER(SEARCH("Pre-Delivery",E114)),ISNUMBER(SEARCH("Predelivery",E114)),ISNUMBER(SEARCH("PD -",E114)),ISNUMBER(SEARCH("PD Lubes",E114))),"Pre-Delivery","")</f>
        <v/>
      </c>
      <c r="E114" s="141" t="inlineStr">
        <is>
          <t>Pre-Delivery - OPA 90</t>
        </is>
      </c>
      <c r="F114" s="141" t="inlineStr">
        <is>
          <t>OPA 90 Kit</t>
        </is>
      </c>
      <c r="H114" s="141" t="inlineStr">
        <is>
          <t>Stores</t>
        </is>
      </c>
      <c r="I114" s="107" t="n"/>
      <c r="J114" s="108" t="n"/>
      <c r="K114" s="108" t="n"/>
      <c r="L114" s="141" t="inlineStr">
        <is>
          <t>PCTC</t>
        </is>
      </c>
      <c r="M114" s="143" t="n">
        <v>3400</v>
      </c>
      <c r="N114" s="143" t="inlineStr">
        <is>
          <t>USD</t>
        </is>
      </c>
      <c r="O114" s="95" t="inlineStr">
        <is>
          <t>Vessel Link Marine Supply &amp; Service Ltd</t>
        </is>
      </c>
      <c r="P114" s="123" t="inlineStr">
        <is>
          <t xml:space="preserve">Contracted </t>
        </is>
      </c>
    </row>
    <row r="115">
      <c r="A115" s="95" t="inlineStr">
        <is>
          <t>Glovis LightHouse</t>
        </is>
      </c>
      <c r="C115" s="141" t="inlineStr">
        <is>
          <t>GLIG-60077/26-1</t>
        </is>
      </c>
      <c r="D115" s="95">
        <f>IF(OR(ISNUMBER(SEARCH("Pre Delivery",E115)),ISNUMBER(SEARCH("Pre-Delivery",E115)),ISNUMBER(SEARCH("Predelivery",E115)),ISNUMBER(SEARCH("PD -",E115)),ISNUMBER(SEARCH("PD Lubes",E115))),"Pre-Delivery","")</f>
        <v/>
      </c>
      <c r="E115" s="141" t="inlineStr">
        <is>
          <t>Crew Care</t>
        </is>
      </c>
      <c r="F115" s="141" t="inlineStr">
        <is>
          <t>Crew Welfare</t>
        </is>
      </c>
      <c r="H115" s="141" t="inlineStr">
        <is>
          <t>Chemicals</t>
        </is>
      </c>
      <c r="I115" s="107" t="n"/>
      <c r="J115" s="108" t="n"/>
      <c r="K115" s="108" t="n"/>
      <c r="L115" s="141" t="inlineStr">
        <is>
          <t>PCTC</t>
        </is>
      </c>
      <c r="M115" s="143" t="n">
        <v>3075</v>
      </c>
      <c r="N115" s="143" t="inlineStr">
        <is>
          <t>USD</t>
        </is>
      </c>
      <c r="O115" s="95" t="inlineStr">
        <is>
          <t>Drew Marine USA, Inc</t>
        </is>
      </c>
      <c r="P115" s="123" t="inlineStr">
        <is>
          <t xml:space="preserve">Contracted </t>
        </is>
      </c>
    </row>
    <row r="116">
      <c r="A116" s="95" t="inlineStr">
        <is>
          <t>Glovis LightHouse</t>
        </is>
      </c>
      <c r="C116" s="141" t="inlineStr">
        <is>
          <t>GLIG-60050/26-1</t>
        </is>
      </c>
      <c r="D116" s="95">
        <f>IF(OR(ISNUMBER(SEARCH("Pre Delivery",E116)),ISNUMBER(SEARCH("Pre-Delivery",E116)),ISNUMBER(SEARCH("Predelivery",E116)),ISNUMBER(SEARCH("PD -",E116)),ISNUMBER(SEARCH("PD Lubes",E116))),"Pre-Delivery","")</f>
        <v/>
      </c>
      <c r="E116" s="141" t="inlineStr">
        <is>
          <t>IMPA Stores Stationery</t>
        </is>
      </c>
      <c r="F116" s="141" t="inlineStr">
        <is>
          <t>IMPA Stores - Stationery</t>
        </is>
      </c>
      <c r="H116" s="141" t="inlineStr">
        <is>
          <t>Stores</t>
        </is>
      </c>
      <c r="I116" s="107" t="n"/>
      <c r="J116" s="108" t="n"/>
      <c r="K116" s="108" t="n"/>
      <c r="L116" s="141" t="inlineStr">
        <is>
          <t>PCTC</t>
        </is>
      </c>
      <c r="M116" s="143" t="n">
        <v>2698</v>
      </c>
      <c r="N116" s="143" t="inlineStr">
        <is>
          <t>USD</t>
        </is>
      </c>
      <c r="O116" s="95" t="inlineStr">
        <is>
          <t>RMS Marine Service Company Ltd.</t>
        </is>
      </c>
      <c r="P116" s="123" t="inlineStr">
        <is>
          <t xml:space="preserve">Contracted </t>
        </is>
      </c>
    </row>
    <row r="117">
      <c r="A117" s="95" t="inlineStr">
        <is>
          <t>Glovis LightHouse</t>
        </is>
      </c>
      <c r="C117" s="141" t="inlineStr">
        <is>
          <t>GLIG-60026/26-2</t>
        </is>
      </c>
      <c r="D117" s="95">
        <f>IF(OR(ISNUMBER(SEARCH("Pre Delivery",E117)),ISNUMBER(SEARCH("Pre-Delivery",E117)),ISNUMBER(SEARCH("Predelivery",E117)),ISNUMBER(SEARCH("PD -",E117)),ISNUMBER(SEARCH("PD Lubes",E117))),"Pre-Delivery","")</f>
        <v/>
      </c>
      <c r="E117" s="141" t="inlineStr">
        <is>
          <t>Reliability Spares - 10,8K CEU SWS - GVT- Eltronic</t>
        </is>
      </c>
      <c r="F117" s="141" t="inlineStr">
        <is>
          <t>GVT Electronics</t>
        </is>
      </c>
      <c r="H117" s="141" t="inlineStr">
        <is>
          <t>Spares</t>
        </is>
      </c>
      <c r="I117" s="107" t="n"/>
      <c r="J117" s="108" t="n"/>
      <c r="K117" s="108" t="n"/>
      <c r="L117" s="141" t="inlineStr">
        <is>
          <t>PCTC</t>
        </is>
      </c>
      <c r="M117" s="143" t="n">
        <v>2431</v>
      </c>
      <c r="N117" s="143" t="inlineStr">
        <is>
          <t>EUR</t>
        </is>
      </c>
      <c r="O117" s="95" t="inlineStr">
        <is>
          <t>Eltronic FuelTech A/S</t>
        </is>
      </c>
      <c r="P117" s="123" t="inlineStr">
        <is>
          <t xml:space="preserve">Checking </t>
        </is>
      </c>
    </row>
    <row r="118">
      <c r="A118" s="95" t="inlineStr">
        <is>
          <t>Glovis LightHouse</t>
        </is>
      </c>
      <c r="C118" s="141" t="inlineStr">
        <is>
          <t>GLIG-60088/26-1</t>
        </is>
      </c>
      <c r="D118" s="95">
        <f>IF(OR(ISNUMBER(SEARCH("Pre Delivery",E118)),ISNUMBER(SEARCH("Pre-Delivery",E118)),ISNUMBER(SEARCH("Predelivery",E118)),ISNUMBER(SEARCH("PD -",E118)),ISNUMBER(SEARCH("PD Lubes",E118))),"Pre-Delivery","")</f>
        <v/>
      </c>
      <c r="E118" s="141" t="inlineStr">
        <is>
          <t>Gas meters</t>
        </is>
      </c>
      <c r="F118" s="141" t="inlineStr">
        <is>
          <t>Gas Meters</t>
        </is>
      </c>
      <c r="H118" s="141" t="inlineStr">
        <is>
          <t>Spares</t>
        </is>
      </c>
      <c r="I118" s="107" t="n"/>
      <c r="J118" s="108" t="n"/>
      <c r="K118" s="108" t="n"/>
      <c r="L118" s="141" t="inlineStr">
        <is>
          <t>PCTC</t>
        </is>
      </c>
      <c r="M118" s="143" t="n">
        <v>2400</v>
      </c>
      <c r="N118" s="143" t="inlineStr">
        <is>
          <t>EUR</t>
        </is>
      </c>
      <c r="O118" s="95" t="inlineStr">
        <is>
          <t>POSEIDON MARINE SUPPLIES LTD</t>
        </is>
      </c>
      <c r="P118" s="123" t="inlineStr">
        <is>
          <t xml:space="preserve">Checking </t>
        </is>
      </c>
    </row>
    <row r="119">
      <c r="A119" s="95" t="inlineStr">
        <is>
          <t>Glovis LightHouse</t>
        </is>
      </c>
      <c r="C119" s="141" t="inlineStr">
        <is>
          <t>GLIG-60104/26-1</t>
        </is>
      </c>
      <c r="D119" s="95">
        <f>IF(OR(ISNUMBER(SEARCH("Pre Delivery",E119)),ISNUMBER(SEARCH("Pre-Delivery",E119)),ISNUMBER(SEARCH("Predelivery",E119)),ISNUMBER(SEARCH("PD -",E119)),ISNUMBER(SEARCH("PD Lubes",E119))),"Pre-Delivery","")</f>
        <v/>
      </c>
      <c r="E119" s="141" t="inlineStr">
        <is>
          <t>Glycol</t>
        </is>
      </c>
      <c r="F119" s="141" t="inlineStr">
        <is>
          <t>Glycol</t>
        </is>
      </c>
      <c r="H119" s="141" t="inlineStr">
        <is>
          <t>Stores</t>
        </is>
      </c>
      <c r="I119" s="107" t="n"/>
      <c r="J119" s="108" t="n"/>
      <c r="K119" s="108" t="n"/>
      <c r="L119" s="141" t="inlineStr">
        <is>
          <t>PCTC</t>
        </is>
      </c>
      <c r="M119" s="143" t="n">
        <v>2260</v>
      </c>
      <c r="N119" s="143" t="inlineStr">
        <is>
          <t>USD</t>
        </is>
      </c>
      <c r="O119" s="95" t="inlineStr">
        <is>
          <t>RMS Marine Service Company Ltd.</t>
        </is>
      </c>
      <c r="P119" s="123" t="inlineStr">
        <is>
          <t xml:space="preserve">Contracted </t>
        </is>
      </c>
    </row>
    <row r="120">
      <c r="A120" s="95" t="inlineStr">
        <is>
          <t>Glovis LightHouse</t>
        </is>
      </c>
      <c r="C120" s="141" t="inlineStr">
        <is>
          <t>GLIG-MVSP-60003/26-1</t>
        </is>
      </c>
      <c r="D120" s="95">
        <f>IF(OR(ISNUMBER(SEARCH("Pre Delivery",E120)),ISNUMBER(SEARCH("Pre-Delivery",E120)),ISNUMBER(SEARCH("Predelivery",E120)),ISNUMBER(SEARCH("PD -",E120)),ISNUMBER(SEARCH("PD Lubes",E120))),"Pre-Delivery","")</f>
        <v/>
      </c>
      <c r="E120" s="141" t="inlineStr">
        <is>
          <t>FS-Interface MTA adapter</t>
        </is>
      </c>
      <c r="F120" s="141" t="inlineStr">
        <is>
          <t>IT Equipment - Interface / Integration</t>
        </is>
      </c>
      <c r="H120" s="141" t="inlineStr">
        <is>
          <t>Others</t>
        </is>
      </c>
      <c r="I120" s="107" t="n"/>
      <c r="J120" s="108" t="n"/>
      <c r="K120" s="108" t="n"/>
      <c r="L120" s="141" t="inlineStr">
        <is>
          <t>PCTC</t>
        </is>
      </c>
      <c r="M120" s="143" t="n">
        <v>1911</v>
      </c>
      <c r="N120" s="143" t="inlineStr">
        <is>
          <t>HKD</t>
        </is>
      </c>
      <c r="O120" s="95" t="inlineStr">
        <is>
          <t>Interface Computer System Co. Ltd.</t>
        </is>
      </c>
      <c r="P120" s="123" t="inlineStr">
        <is>
          <t xml:space="preserve">Checking </t>
        </is>
      </c>
    </row>
    <row r="121">
      <c r="A121" s="95" t="inlineStr">
        <is>
          <t>Glovis LightHouse</t>
        </is>
      </c>
      <c r="C121" s="141" t="inlineStr">
        <is>
          <t>GLIG-60072/26-1</t>
        </is>
      </c>
      <c r="D121" s="95">
        <f>IF(OR(ISNUMBER(SEARCH("Pre Delivery",E121)),ISNUMBER(SEARCH("Pre-Delivery",E121)),ISNUMBER(SEARCH("Predelivery",E121)),ISNUMBER(SEARCH("PD -",E121)),ISNUMBER(SEARCH("PD Lubes",E121))),"Pre-Delivery","")</f>
        <v/>
      </c>
      <c r="E121" s="141" t="inlineStr">
        <is>
          <t>Ultrasonic Cleaning system - 230V</t>
        </is>
      </c>
      <c r="F121" s="141" t="inlineStr">
        <is>
          <t>Ultrasonic Cleaner</t>
        </is>
      </c>
      <c r="H121" s="141" t="inlineStr">
        <is>
          <t>Stores</t>
        </is>
      </c>
      <c r="I121" s="107" t="n"/>
      <c r="J121" s="108" t="n"/>
      <c r="K121" s="108" t="n"/>
      <c r="L121" s="141" t="inlineStr">
        <is>
          <t>PCTC</t>
        </is>
      </c>
      <c r="M121" s="143" t="n">
        <v>1890</v>
      </c>
      <c r="N121" s="143" t="inlineStr">
        <is>
          <t>USD</t>
        </is>
      </c>
      <c r="O121" s="95" t="inlineStr">
        <is>
          <t>Vessel Link Marine Supply &amp; Service Ltd</t>
        </is>
      </c>
      <c r="P121" s="123" t="inlineStr">
        <is>
          <t xml:space="preserve">Contracted </t>
        </is>
      </c>
    </row>
    <row r="122">
      <c r="A122" s="95" t="inlineStr">
        <is>
          <t>Glovis LightHouse</t>
        </is>
      </c>
      <c r="C122" s="141" t="inlineStr">
        <is>
          <t>GLIG-60091/26-1</t>
        </is>
      </c>
      <c r="D122" s="95">
        <f>IF(OR(ISNUMBER(SEARCH("Pre Delivery",E122)),ISNUMBER(SEARCH("Pre-Delivery",E122)),ISNUMBER(SEARCH("Predelivery",E122)),ISNUMBER(SEARCH("PD -",E122)),ISNUMBER(SEARCH("PD Lubes",E122))),"Pre-Delivery","")</f>
        <v/>
      </c>
      <c r="E122" s="141" t="inlineStr">
        <is>
          <t>Chemical tags</t>
        </is>
      </c>
      <c r="F122" s="141" t="inlineStr">
        <is>
          <t>Chemical Tags</t>
        </is>
      </c>
      <c r="H122" s="141" t="inlineStr">
        <is>
          <t>Stores</t>
        </is>
      </c>
      <c r="I122" s="107" t="n"/>
      <c r="J122" s="108" t="n"/>
      <c r="K122" s="108" t="n"/>
      <c r="L122" s="141" t="inlineStr">
        <is>
          <t>PCTC</t>
        </is>
      </c>
      <c r="M122" s="143" t="n">
        <v>1889</v>
      </c>
      <c r="N122" s="143" t="inlineStr">
        <is>
          <t>USD</t>
        </is>
      </c>
      <c r="O122" s="95" t="inlineStr">
        <is>
          <t>HONGKONG LONGWIND MARINE SERVICE CO LIMITED</t>
        </is>
      </c>
      <c r="P122" s="123" t="inlineStr">
        <is>
          <t xml:space="preserve">Checking </t>
        </is>
      </c>
    </row>
    <row r="123">
      <c r="A123" s="95" t="inlineStr">
        <is>
          <t>Glovis LightHouse</t>
        </is>
      </c>
      <c r="C123" s="141" t="inlineStr">
        <is>
          <t>GLIG-60074/26-1</t>
        </is>
      </c>
      <c r="D123" s="95">
        <f>IF(OR(ISNUMBER(SEARCH("Pre Delivery",E123)),ISNUMBER(SEARCH("Pre-Delivery",E123)),ISNUMBER(SEARCH("Predelivery",E123)),ISNUMBER(SEARCH("PD -",E123)),ISNUMBER(SEARCH("PD Lubes",E123))),"Pre-Delivery","")</f>
        <v/>
      </c>
      <c r="E123" s="141" t="inlineStr">
        <is>
          <t>H.P machine - 2pcs (prefer Branded - Karcher/ KEW)</t>
        </is>
      </c>
      <c r="F123" s="141" t="inlineStr">
        <is>
          <t>High Pressure Washer</t>
        </is>
      </c>
      <c r="H123" s="141" t="inlineStr">
        <is>
          <t>Stores</t>
        </is>
      </c>
      <c r="I123" s="107" t="n"/>
      <c r="J123" s="108" t="n"/>
      <c r="K123" s="108" t="n"/>
      <c r="L123" s="141" t="inlineStr">
        <is>
          <t>PCTC</t>
        </is>
      </c>
      <c r="M123" s="143" t="n">
        <v>1700</v>
      </c>
      <c r="N123" s="143" t="inlineStr">
        <is>
          <t>USD</t>
        </is>
      </c>
      <c r="O123" s="95" t="inlineStr">
        <is>
          <t>Vessel Link Marine Supply &amp; Service Ltd</t>
        </is>
      </c>
      <c r="P123" s="123" t="inlineStr">
        <is>
          <t xml:space="preserve">Contracted </t>
        </is>
      </c>
    </row>
    <row r="124">
      <c r="A124" s="95" t="inlineStr">
        <is>
          <t>Glovis LightHouse</t>
        </is>
      </c>
      <c r="C124" s="141" t="inlineStr">
        <is>
          <t>GLIG-60093/26-1</t>
        </is>
      </c>
      <c r="D124" s="95">
        <f>IF(OR(ISNUMBER(SEARCH("Pre Delivery",E124)),ISNUMBER(SEARCH("Pre-Delivery",E124)),ISNUMBER(SEARCH("Predelivery",E124)),ISNUMBER(SEARCH("PD -",E124)),ISNUMBER(SEARCH("PD Lubes",E124))),"Pre-Delivery","")</f>
        <v/>
      </c>
      <c r="E124" s="141" t="inlineStr">
        <is>
          <t>VISWA Line Samplers</t>
        </is>
      </c>
      <c r="F124" s="141" t="inlineStr">
        <is>
          <t>VISWA Line Samplers</t>
        </is>
      </c>
      <c r="H124" s="141" t="inlineStr">
        <is>
          <t>Spares</t>
        </is>
      </c>
      <c r="I124" s="107" t="n"/>
      <c r="J124" s="108" t="n"/>
      <c r="K124" s="108" t="n"/>
      <c r="L124" s="141" t="inlineStr">
        <is>
          <t>PCTC</t>
        </is>
      </c>
      <c r="M124" s="143" t="n">
        <v>1630</v>
      </c>
      <c r="N124" s="143" t="inlineStr">
        <is>
          <t>USD</t>
        </is>
      </c>
      <c r="O124" s="95" t="inlineStr">
        <is>
          <t>Viswam Limited</t>
        </is>
      </c>
      <c r="P124" s="123" t="inlineStr">
        <is>
          <t xml:space="preserve">Contracted </t>
        </is>
      </c>
    </row>
    <row r="125">
      <c r="A125" s="95" t="inlineStr">
        <is>
          <t>Glovis LightHouse</t>
        </is>
      </c>
      <c r="C125" s="141" t="inlineStr">
        <is>
          <t>GLIG-60049/26-1</t>
        </is>
      </c>
      <c r="D125" s="95">
        <f>IF(OR(ISNUMBER(SEARCH("Pre Delivery",E125)),ISNUMBER(SEARCH("Pre-Delivery",E125)),ISNUMBER(SEARCH("Predelivery",E125)),ISNUMBER(SEARCH("PD -",E125)),ISNUMBER(SEARCH("PD Lubes",E125))),"Pre-Delivery","")</f>
        <v/>
      </c>
      <c r="E125" s="141" t="inlineStr">
        <is>
          <t>FLIR ESPro and E6 Pro</t>
        </is>
      </c>
      <c r="F125" s="141" t="inlineStr">
        <is>
          <t>Thermal Camera (FLIR)</t>
        </is>
      </c>
      <c r="H125" s="141" t="inlineStr">
        <is>
          <t>Stores</t>
        </is>
      </c>
      <c r="I125" s="107" t="n"/>
      <c r="J125" s="108" t="n"/>
      <c r="K125" s="108" t="n"/>
      <c r="L125" s="141" t="inlineStr">
        <is>
          <t>PCTC</t>
        </is>
      </c>
      <c r="M125" s="143" t="n">
        <v>1590</v>
      </c>
      <c r="N125" s="143" t="inlineStr">
        <is>
          <t>USD</t>
        </is>
      </c>
      <c r="O125" s="95" t="inlineStr">
        <is>
          <t>Vessel Link Marine Supply &amp; Service Ltd</t>
        </is>
      </c>
      <c r="P125" s="123" t="inlineStr">
        <is>
          <t xml:space="preserve">Contracted </t>
        </is>
      </c>
    </row>
    <row r="126">
      <c r="A126" s="95" t="inlineStr">
        <is>
          <t>Glovis LightHouse</t>
        </is>
      </c>
      <c r="C126" s="141" t="inlineStr">
        <is>
          <t>GLIG-60059/26-1</t>
        </is>
      </c>
      <c r="D126" s="95">
        <f>IF(OR(ISNUMBER(SEARCH("Pre Delivery",E126)),ISNUMBER(SEARCH("Pre-Delivery",E126)),ISNUMBER(SEARCH("Predelivery",E126)),ISNUMBER(SEARCH("PD -",E126)),ISNUMBER(SEARCH("PD Lubes",E126))),"Pre-Delivery","")</f>
        <v/>
      </c>
      <c r="E126" s="141" t="inlineStr">
        <is>
          <t>IMPA Stores - Galley</t>
        </is>
      </c>
      <c r="F126" s="141" t="inlineStr">
        <is>
          <t>IMPA Stores - Galley</t>
        </is>
      </c>
      <c r="H126" s="141" t="inlineStr">
        <is>
          <t>Stores</t>
        </is>
      </c>
      <c r="I126" s="107" t="n"/>
      <c r="J126" s="108" t="n"/>
      <c r="K126" s="108" t="n"/>
      <c r="L126" s="141" t="inlineStr">
        <is>
          <t>PCTC</t>
        </is>
      </c>
      <c r="M126" s="143" t="n">
        <v>1518</v>
      </c>
      <c r="N126" s="143" t="inlineStr">
        <is>
          <t>USD</t>
        </is>
      </c>
      <c r="O126" s="95" t="inlineStr">
        <is>
          <t>Fuji Marine Logistics Shunyang(Shanghai) Co., LIMITED</t>
        </is>
      </c>
      <c r="P126" s="123" t="inlineStr">
        <is>
          <t xml:space="preserve">Contracted </t>
        </is>
      </c>
    </row>
    <row r="127">
      <c r="A127" s="95" t="inlineStr">
        <is>
          <t>Glovis LightHouse</t>
        </is>
      </c>
      <c r="C127" s="141" t="inlineStr">
        <is>
          <t>GLIG-60028/26-1</t>
        </is>
      </c>
      <c r="D127" s="95">
        <f>IF(OR(ISNUMBER(SEARCH("Pre Delivery",E127)),ISNUMBER(SEARCH("Pre-Delivery",E127)),ISNUMBER(SEARCH("Predelivery",E127)),ISNUMBER(SEARCH("PD -",E127)),ISNUMBER(SEARCH("PD Lubes",E127))),"Pre-Delivery","")</f>
        <v/>
      </c>
      <c r="E127" s="141" t="inlineStr">
        <is>
          <t>FS-ITBP Additional Item</t>
        </is>
      </c>
      <c r="F127" s="141" t="inlineStr">
        <is>
          <t>IT Equipment - ITBP Additional Items</t>
        </is>
      </c>
      <c r="H127" s="141" t="inlineStr">
        <is>
          <t>Others</t>
        </is>
      </c>
      <c r="I127" s="107" t="n"/>
      <c r="J127" s="108" t="n"/>
      <c r="K127" s="108" t="n"/>
      <c r="L127" s="141" t="inlineStr">
        <is>
          <t>PCTC</t>
        </is>
      </c>
      <c r="M127" s="143" t="n">
        <v>1494</v>
      </c>
      <c r="N127" s="143" t="inlineStr">
        <is>
          <t>USD</t>
        </is>
      </c>
      <c r="O127" s="95" t="inlineStr">
        <is>
          <t>IT Blueprint Solutions Consulting Inc</t>
        </is>
      </c>
      <c r="P127" s="123" t="inlineStr">
        <is>
          <t xml:space="preserve">Contracted </t>
        </is>
      </c>
    </row>
    <row r="128">
      <c r="A128" s="95" t="inlineStr">
        <is>
          <t>Glovis LightHouse</t>
        </is>
      </c>
      <c r="C128" s="141" t="inlineStr">
        <is>
          <t>GLIG-60108/26-1</t>
        </is>
      </c>
      <c r="D128" s="95">
        <f>IF(OR(ISNUMBER(SEARCH("Pre Delivery",E128)),ISNUMBER(SEARCH("Pre-Delivery",E128)),ISNUMBER(SEARCH("Predelivery",E128)),ISNUMBER(SEARCH("PD -",E128)),ISNUMBER(SEARCH("PD Lubes",E128))),"Pre-Delivery","")</f>
        <v/>
      </c>
      <c r="H128" s="141" t="inlineStr">
        <is>
          <t>Stores</t>
        </is>
      </c>
      <c r="I128" s="107" t="n"/>
      <c r="J128" s="108" t="n"/>
      <c r="K128" s="108" t="n"/>
      <c r="L128" s="141" t="inlineStr">
        <is>
          <t>PCTC</t>
        </is>
      </c>
      <c r="M128" s="143" t="n">
        <v>1460</v>
      </c>
      <c r="N128" s="143" t="inlineStr">
        <is>
          <t>HKD</t>
        </is>
      </c>
      <c r="O128" s="95" t="inlineStr">
        <is>
          <t>Interface Computer System Co. Ltd.</t>
        </is>
      </c>
      <c r="P128" s="123" t="inlineStr">
        <is>
          <t xml:space="preserve">Checking </t>
        </is>
      </c>
    </row>
    <row r="129">
      <c r="A129" s="95" t="inlineStr">
        <is>
          <t>Glovis LightHouse</t>
        </is>
      </c>
      <c r="C129" s="141" t="inlineStr">
        <is>
          <t>GLIG-60053/26-1</t>
        </is>
      </c>
      <c r="D129" s="95">
        <f>IF(OR(ISNUMBER(SEARCH("Pre Delivery",E129)),ISNUMBER(SEARCH("Pre-Delivery",E129)),ISNUMBER(SEARCH("Predelivery",E129)),ISNUMBER(SEARCH("PD -",E129)),ISNUMBER(SEARCH("PD Lubes",E129))),"Pre-Delivery","")</f>
        <v/>
      </c>
      <c r="E129" s="141" t="inlineStr">
        <is>
          <t>IMPA Stores - Bridge</t>
        </is>
      </c>
      <c r="F129" s="141" t="inlineStr">
        <is>
          <t>IMPA Stores - Bridge</t>
        </is>
      </c>
      <c r="H129" s="141" t="inlineStr">
        <is>
          <t>Stores</t>
        </is>
      </c>
      <c r="I129" s="107" t="n"/>
      <c r="J129" s="108" t="n"/>
      <c r="K129" s="108" t="n"/>
      <c r="L129" s="141" t="inlineStr">
        <is>
          <t>PCTC</t>
        </is>
      </c>
      <c r="M129" s="143" t="n">
        <v>1145</v>
      </c>
      <c r="N129" s="143" t="inlineStr">
        <is>
          <t>USD</t>
        </is>
      </c>
      <c r="O129" s="95" t="inlineStr">
        <is>
          <t>Fuji Marine Logistics Shunyang(Shanghai) Co., LIMITED</t>
        </is>
      </c>
      <c r="P129" s="123" t="inlineStr">
        <is>
          <t xml:space="preserve">Contracted </t>
        </is>
      </c>
    </row>
    <row r="130">
      <c r="A130" s="95" t="inlineStr">
        <is>
          <t>Glovis LightHouse</t>
        </is>
      </c>
      <c r="C130" s="141" t="inlineStr">
        <is>
          <t>GLIG-60023/26-1</t>
        </is>
      </c>
      <c r="D130" s="95">
        <f>IF(OR(ISNUMBER(SEARCH("Pre Delivery",E130)),ISNUMBER(SEARCH("Pre-Delivery",E130)),ISNUMBER(SEARCH("Predelivery",E130)),ISNUMBER(SEARCH("PD -",E130)),ISNUMBER(SEARCH("PD Lubes",E130))),"Pre-Delivery","")</f>
        <v/>
      </c>
      <c r="E130" s="141" t="inlineStr">
        <is>
          <t>FS-ITBP CABLES</t>
        </is>
      </c>
      <c r="F130" s="141" t="inlineStr">
        <is>
          <t>IT Equipment - ITBP Cables</t>
        </is>
      </c>
      <c r="H130" s="141" t="inlineStr">
        <is>
          <t>Others</t>
        </is>
      </c>
      <c r="I130" s="107" t="n"/>
      <c r="J130" s="108" t="n"/>
      <c r="K130" s="108" t="n"/>
      <c r="L130" s="141" t="inlineStr">
        <is>
          <t>PCTC</t>
        </is>
      </c>
      <c r="M130" s="143" t="n">
        <v>1101</v>
      </c>
      <c r="N130" s="143" t="inlineStr">
        <is>
          <t>USD</t>
        </is>
      </c>
      <c r="O130" s="95" t="inlineStr">
        <is>
          <t>IT Blueprint Solutions Consulting Inc</t>
        </is>
      </c>
      <c r="P130" s="123" t="inlineStr">
        <is>
          <t xml:space="preserve">Contracted </t>
        </is>
      </c>
    </row>
    <row r="131">
      <c r="A131" s="95" t="inlineStr">
        <is>
          <t>Glovis LightHouse</t>
        </is>
      </c>
      <c r="C131" s="141" t="inlineStr">
        <is>
          <t>GLIG-60057/26-1</t>
        </is>
      </c>
      <c r="D131" s="95">
        <f>IF(OR(ISNUMBER(SEARCH("Pre Delivery",E131)),ISNUMBER(SEARCH("Pre-Delivery",E131)),ISNUMBER(SEARCH("Predelivery",E131)),ISNUMBER(SEARCH("PD -",E131)),ISNUMBER(SEARCH("PD Lubes",E131))),"Pre-Delivery","")</f>
        <v/>
      </c>
      <c r="E131" s="141" t="inlineStr">
        <is>
          <t>IMPA Stores - Company Stationery</t>
        </is>
      </c>
      <c r="F131" s="141" t="inlineStr">
        <is>
          <t>IMPA Stores - Company Stationery</t>
        </is>
      </c>
      <c r="H131" s="141" t="inlineStr">
        <is>
          <t>Stores</t>
        </is>
      </c>
      <c r="I131" s="107" t="n"/>
      <c r="J131" s="108" t="n"/>
      <c r="K131" s="108" t="n"/>
      <c r="L131" s="141" t="inlineStr">
        <is>
          <t>PCTC</t>
        </is>
      </c>
      <c r="M131" s="143" t="n">
        <v>386</v>
      </c>
      <c r="N131" s="143" t="inlineStr">
        <is>
          <t>USD</t>
        </is>
      </c>
      <c r="O131" s="95" t="inlineStr">
        <is>
          <t>HONGKONG LONGWIND MARINE SERVICE CO LIMITED</t>
        </is>
      </c>
      <c r="P131" s="123" t="inlineStr">
        <is>
          <t xml:space="preserve">Checking </t>
        </is>
      </c>
    </row>
    <row r="132">
      <c r="A132" s="95" t="inlineStr">
        <is>
          <t>Glovis LightHouse</t>
        </is>
      </c>
      <c r="C132" s="141" t="inlineStr">
        <is>
          <t>GLIG-60106/26-1</t>
        </is>
      </c>
      <c r="D132" s="95">
        <f>IF(OR(ISNUMBER(SEARCH("Pre Delivery",E132)),ISNUMBER(SEARCH("Pre-Delivery",E132)),ISNUMBER(SEARCH("Predelivery",E132)),ISNUMBER(SEARCH("PD -",E132)),ISNUMBER(SEARCH("PD Lubes",E132))),"Pre-Delivery","")</f>
        <v/>
      </c>
      <c r="E132" s="141" t="inlineStr">
        <is>
          <t>LOTO Stickers</t>
        </is>
      </c>
      <c r="F132" s="141" t="inlineStr">
        <is>
          <t>LOTO Stickers</t>
        </is>
      </c>
      <c r="H132" s="141" t="inlineStr">
        <is>
          <t>Stores</t>
        </is>
      </c>
      <c r="I132" s="107" t="n"/>
      <c r="J132" s="108" t="n"/>
      <c r="K132" s="108" t="n"/>
      <c r="L132" s="141" t="inlineStr">
        <is>
          <t>PCTC</t>
        </is>
      </c>
      <c r="M132" s="143" t="n">
        <v>386</v>
      </c>
      <c r="N132" s="143" t="inlineStr">
        <is>
          <t>USD</t>
        </is>
      </c>
      <c r="O132" s="95" t="inlineStr">
        <is>
          <t>Loto Master Inc</t>
        </is>
      </c>
      <c r="P132" s="123" t="inlineStr">
        <is>
          <t xml:space="preserve">Contracted </t>
        </is>
      </c>
    </row>
    <row r="133">
      <c r="A133" s="95" t="inlineStr">
        <is>
          <t>Glovis LightHouse</t>
        </is>
      </c>
      <c r="C133" s="141" t="inlineStr">
        <is>
          <t>GLIG-60056/26-1</t>
        </is>
      </c>
      <c r="D133" s="95">
        <f>IF(OR(ISNUMBER(SEARCH("Pre Delivery",E133)),ISNUMBER(SEARCH("Pre-Delivery",E133)),ISNUMBER(SEARCH("Predelivery",E133)),ISNUMBER(SEARCH("PD -",E133)),ISNUMBER(SEARCH("PD Lubes",E133))),"Pre-Delivery","")</f>
        <v/>
      </c>
      <c r="E133" s="141" t="inlineStr">
        <is>
          <t>IMPA Stores - FFE</t>
        </is>
      </c>
      <c r="F133" s="141" t="inlineStr">
        <is>
          <t>IMPA Stores - Firefighting Equipment</t>
        </is>
      </c>
      <c r="H133" s="141" t="inlineStr">
        <is>
          <t>Stores</t>
        </is>
      </c>
      <c r="I133" s="107" t="n"/>
      <c r="J133" s="108" t="n"/>
      <c r="K133" s="108" t="n"/>
      <c r="L133" s="141" t="inlineStr">
        <is>
          <t>PCTC</t>
        </is>
      </c>
      <c r="M133" s="143" t="n">
        <v>378</v>
      </c>
      <c r="N133" s="143" t="inlineStr">
        <is>
          <t>USD</t>
        </is>
      </c>
      <c r="O133" s="95" t="inlineStr">
        <is>
          <t>Vessel Link Marine Supply &amp; Service Ltd</t>
        </is>
      </c>
      <c r="P133" s="123" t="inlineStr">
        <is>
          <t xml:space="preserve">Contracted </t>
        </is>
      </c>
    </row>
    <row r="134">
      <c r="A134" s="95" t="inlineStr">
        <is>
          <t>Glovis LightHouse</t>
        </is>
      </c>
      <c r="C134" s="141" t="inlineStr">
        <is>
          <t>GLIG-60105/26-1</t>
        </is>
      </c>
      <c r="D134" s="95">
        <f>IF(OR(ISNUMBER(SEARCH("Pre Delivery",E134)),ISNUMBER(SEARCH("Pre-Delivery",E134)),ISNUMBER(SEARCH("Predelivery",E134)),ISNUMBER(SEARCH("PD -",E134)),ISNUMBER(SEARCH("PD Lubes",E134))),"Pre-Delivery","")</f>
        <v/>
      </c>
      <c r="E134" s="141" t="inlineStr">
        <is>
          <t>Garbage Refrigerator</t>
        </is>
      </c>
      <c r="F134" s="141" t="inlineStr">
        <is>
          <t>Garbage Refrigerator</t>
        </is>
      </c>
      <c r="H134" s="141" t="inlineStr">
        <is>
          <t>Stores</t>
        </is>
      </c>
      <c r="I134" s="107" t="n"/>
      <c r="J134" s="108" t="n"/>
      <c r="K134" s="108" t="n"/>
      <c r="L134" s="141" t="inlineStr">
        <is>
          <t>PCTC</t>
        </is>
      </c>
      <c r="M134" s="143" t="n">
        <v>330</v>
      </c>
      <c r="N134" s="143" t="inlineStr">
        <is>
          <t>USD</t>
        </is>
      </c>
      <c r="O134" s="95" t="inlineStr">
        <is>
          <t>Vessel Link Marine Supply &amp; Service Ltd</t>
        </is>
      </c>
      <c r="P134" s="123" t="inlineStr">
        <is>
          <t xml:space="preserve">Contracted </t>
        </is>
      </c>
    </row>
    <row r="135">
      <c r="A135" s="95" t="inlineStr">
        <is>
          <t>Glovis LightHouse</t>
        </is>
      </c>
      <c r="C135" s="141" t="inlineStr">
        <is>
          <t>GLIG-MVSP-60007/26-1</t>
        </is>
      </c>
      <c r="D135" s="95">
        <f>IF(OR(ISNUMBER(SEARCH("Pre Delivery",E135)),ISNUMBER(SEARCH("Pre-Delivery",E135)),ISNUMBER(SEARCH("Predelivery",E135)),ISNUMBER(SEARCH("PD -",E135)),ISNUMBER(SEARCH("PD Lubes",E135))),"Pre-Delivery","")</f>
        <v/>
      </c>
      <c r="E135" s="141" t="inlineStr">
        <is>
          <t>??</t>
        </is>
      </c>
      <c r="H135" s="141" t="inlineStr">
        <is>
          <t>Stores</t>
        </is>
      </c>
      <c r="I135" s="107" t="n"/>
      <c r="J135" s="108" t="n"/>
      <c r="K135" s="108" t="n"/>
      <c r="L135" s="141" t="inlineStr">
        <is>
          <t>PCTC</t>
        </is>
      </c>
      <c r="M135" s="143" t="n">
        <v>250</v>
      </c>
      <c r="N135" s="143" t="inlineStr">
        <is>
          <t>USD</t>
        </is>
      </c>
      <c r="O135" s="95" t="inlineStr">
        <is>
          <t>IT Blueprint Solutions Consulting Inc</t>
        </is>
      </c>
      <c r="P135" s="123" t="inlineStr">
        <is>
          <t xml:space="preserve">Contracted </t>
        </is>
      </c>
    </row>
    <row r="136">
      <c r="A136" s="95" t="inlineStr">
        <is>
          <t>Glovis LightHouse</t>
        </is>
      </c>
      <c r="C136" s="141" t="inlineStr">
        <is>
          <t>GLIG-60029/26-1</t>
        </is>
      </c>
      <c r="D136" s="95">
        <f>IF(OR(ISNUMBER(SEARCH("Pre Delivery",E136)),ISNUMBER(SEARCH("Pre-Delivery",E136)),ISNUMBER(SEARCH("Predelivery",E136)),ISNUMBER(SEARCH("PD -",E136)),ISNUMBER(SEARCH("PD Lubes",E136))),"Pre-Delivery","")</f>
        <v/>
      </c>
      <c r="E136" s="141" t="inlineStr">
        <is>
          <t>FS-ITBP MISC LAB KIT</t>
        </is>
      </c>
      <c r="F136" s="141" t="inlineStr">
        <is>
          <t>IT Equipment - ITBP Lab Kit</t>
        </is>
      </c>
      <c r="H136" s="141" t="inlineStr">
        <is>
          <t>Others</t>
        </is>
      </c>
      <c r="I136" s="107" t="n"/>
      <c r="J136" s="108" t="n"/>
      <c r="K136" s="108" t="n"/>
      <c r="L136" s="141" t="inlineStr">
        <is>
          <t>PCTC</t>
        </is>
      </c>
      <c r="M136" s="143" t="n">
        <v>201</v>
      </c>
      <c r="N136" s="143" t="inlineStr">
        <is>
          <t>USD</t>
        </is>
      </c>
      <c r="O136" s="95" t="inlineStr">
        <is>
          <t>IT Blueprint Solutions Consulting Inc</t>
        </is>
      </c>
      <c r="P136" s="123" t="inlineStr">
        <is>
          <t xml:space="preserve">Contracted </t>
        </is>
      </c>
    </row>
    <row r="137">
      <c r="A137" s="95" t="inlineStr">
        <is>
          <t>Glovis LightHouse</t>
        </is>
      </c>
      <c r="C137" s="141" t="inlineStr">
        <is>
          <t>GLIG-60061/26-1</t>
        </is>
      </c>
      <c r="D137" s="95">
        <f>IF(OR(ISNUMBER(SEARCH("Pre Delivery",E137)),ISNUMBER(SEARCH("Pre-Delivery",E137)),ISNUMBER(SEARCH("Predelivery",E137)),ISNUMBER(SEARCH("PD -",E137)),ISNUMBER(SEARCH("PD Lubes",E137))),"Pre-Delivery","")</f>
        <v/>
      </c>
      <c r="E137" s="141" t="inlineStr">
        <is>
          <t>IMPA Stores - Engine 1</t>
        </is>
      </c>
      <c r="F137" s="141" t="inlineStr">
        <is>
          <t>IMPA Stores - Engine</t>
        </is>
      </c>
      <c r="H137" s="141" t="inlineStr">
        <is>
          <t>Stores</t>
        </is>
      </c>
      <c r="I137" s="107" t="n"/>
      <c r="J137" s="108" t="n"/>
      <c r="K137" s="108" t="n"/>
      <c r="L137" s="141" t="inlineStr">
        <is>
          <t>PCTC</t>
        </is>
      </c>
      <c r="M137" s="141" t="inlineStr">
        <is>
          <t xml:space="preserve"> #N/A </t>
        </is>
      </c>
      <c r="N137" s="141" t="e">
        <v>#N/A</v>
      </c>
      <c r="O137" s="95" t="e">
        <v>#N/A</v>
      </c>
      <c r="P137" s="123" t="inlineStr">
        <is>
          <t xml:space="preserve">#N/A </t>
        </is>
      </c>
    </row>
    <row r="138">
      <c r="A138" s="95" t="inlineStr">
        <is>
          <t>Glovis LightHouse</t>
        </is>
      </c>
      <c r="C138" s="141" t="inlineStr">
        <is>
          <t xml:space="preserve"> GLIG-60054/26</t>
        </is>
      </c>
      <c r="D138" s="95">
        <f>IF(OR(ISNUMBER(SEARCH("Pre Delivery",E138)),ISNUMBER(SEARCH("Pre-Delivery",E138)),ISNUMBER(SEARCH("Predelivery",E138)),ISNUMBER(SEARCH("PD -",E138)),ISNUMBER(SEARCH("PD Lubes",E138))),"Pre-Delivery","")</f>
        <v/>
      </c>
      <c r="E138" s="141" t="inlineStr">
        <is>
          <t>IMPA Stores - Gym</t>
        </is>
      </c>
      <c r="F138" s="141" t="inlineStr">
        <is>
          <t>IMPA Stores - Gym</t>
        </is>
      </c>
      <c r="H138" s="141" t="inlineStr">
        <is>
          <t>Stores</t>
        </is>
      </c>
      <c r="I138" s="107" t="n"/>
      <c r="J138" s="108" t="n"/>
      <c r="K138" s="108" t="n"/>
      <c r="L138" s="141" t="inlineStr">
        <is>
          <t>PCTC</t>
        </is>
      </c>
      <c r="M138" s="141" t="inlineStr">
        <is>
          <t xml:space="preserve"> #N/A </t>
        </is>
      </c>
      <c r="N138" s="141" t="e">
        <v>#N/A</v>
      </c>
      <c r="O138" s="95" t="e">
        <v>#N/A</v>
      </c>
      <c r="P138" s="123" t="inlineStr">
        <is>
          <t xml:space="preserve">#N/A </t>
        </is>
      </c>
    </row>
    <row r="139">
      <c r="A139" s="95" t="inlineStr">
        <is>
          <t>Glovis LightHouse</t>
        </is>
      </c>
      <c r="C139" s="141" t="inlineStr">
        <is>
          <t xml:space="preserve"> GLIG-60052/26</t>
        </is>
      </c>
      <c r="D139" s="95">
        <f>IF(OR(ISNUMBER(SEARCH("Pre Delivery",E139)),ISNUMBER(SEARCH("Pre-Delivery",E139)),ISNUMBER(SEARCH("Predelivery",E139)),ISNUMBER(SEARCH("PD -",E139)),ISNUMBER(SEARCH("PD Lubes",E139))),"Pre-Delivery","")</f>
        <v/>
      </c>
      <c r="E139" s="141" t="inlineStr">
        <is>
          <t>IMPA Stores - Deck</t>
        </is>
      </c>
      <c r="F139" s="141" t="inlineStr">
        <is>
          <t>IMPA Stores - Deck</t>
        </is>
      </c>
      <c r="H139" s="141" t="inlineStr">
        <is>
          <t>Stores</t>
        </is>
      </c>
      <c r="I139" s="107" t="n"/>
      <c r="J139" s="108" t="n"/>
      <c r="K139" s="108" t="n"/>
      <c r="L139" s="141" t="inlineStr">
        <is>
          <t>PCTC</t>
        </is>
      </c>
      <c r="M139" s="141" t="inlineStr">
        <is>
          <t xml:space="preserve"> #N/A </t>
        </is>
      </c>
      <c r="N139" s="141" t="e">
        <v>#N/A</v>
      </c>
      <c r="O139" s="95" t="e">
        <v>#N/A</v>
      </c>
      <c r="P139" s="123" t="inlineStr">
        <is>
          <t xml:space="preserve">#N/A </t>
        </is>
      </c>
    </row>
    <row r="140">
      <c r="A140" s="95" t="inlineStr">
        <is>
          <t>Glovis LightHouse</t>
        </is>
      </c>
      <c r="C140" s="141" t="inlineStr">
        <is>
          <t>GLIG-60064/26</t>
        </is>
      </c>
      <c r="D140" s="95">
        <f>IF(OR(ISNUMBER(SEARCH("Pre Delivery",E140)),ISNUMBER(SEARCH("Pre-Delivery",E140)),ISNUMBER(SEARCH("Predelivery",E140)),ISNUMBER(SEARCH("PD -",E140)),ISNUMBER(SEARCH("PD Lubes",E140))),"Pre-Delivery","")</f>
        <v/>
      </c>
      <c r="E140" s="141" t="inlineStr">
        <is>
          <t>IMPA Stores - Electric</t>
        </is>
      </c>
      <c r="F140" s="141" t="inlineStr">
        <is>
          <t>IMPA Stores - Electrical</t>
        </is>
      </c>
      <c r="H140" s="141" t="inlineStr">
        <is>
          <t>Stores</t>
        </is>
      </c>
      <c r="I140" s="107" t="n"/>
      <c r="J140" s="108" t="n"/>
      <c r="K140" s="108" t="n"/>
      <c r="L140" s="141" t="inlineStr">
        <is>
          <t>PCTC</t>
        </is>
      </c>
      <c r="M140" s="141" t="inlineStr">
        <is>
          <t xml:space="preserve"> #N/A </t>
        </is>
      </c>
      <c r="N140" s="141" t="e">
        <v>#N/A</v>
      </c>
      <c r="O140" s="95" t="e">
        <v>#N/A</v>
      </c>
      <c r="P140" s="123" t="inlineStr">
        <is>
          <t xml:space="preserve">#N/A </t>
        </is>
      </c>
    </row>
    <row r="141">
      <c r="A141" s="95" t="inlineStr">
        <is>
          <t>Glovis LightHouse</t>
        </is>
      </c>
      <c r="C141" s="141" t="inlineStr">
        <is>
          <t>GLIG-60062/26-1</t>
        </is>
      </c>
      <c r="D141" s="95">
        <f>IF(OR(ISNUMBER(SEARCH("Pre Delivery",E141)),ISNUMBER(SEARCH("Pre-Delivery",E141)),ISNUMBER(SEARCH("Predelivery",E141)),ISNUMBER(SEARCH("PD -",E141)),ISNUMBER(SEARCH("PD Lubes",E141))),"Pre-Delivery","")</f>
        <v/>
      </c>
      <c r="E141" s="141" t="inlineStr">
        <is>
          <t>IMPA Stores - Engine</t>
        </is>
      </c>
      <c r="F141" s="141" t="inlineStr">
        <is>
          <t>IMPA Stores - Engine</t>
        </is>
      </c>
      <c r="H141" s="141" t="inlineStr">
        <is>
          <t>Stores</t>
        </is>
      </c>
      <c r="I141" s="107" t="n"/>
      <c r="J141" s="108" t="n"/>
      <c r="K141" s="108" t="n"/>
      <c r="L141" s="141" t="inlineStr">
        <is>
          <t>PCTC</t>
        </is>
      </c>
      <c r="M141" s="141" t="inlineStr">
        <is>
          <t xml:space="preserve"> #N/A </t>
        </is>
      </c>
      <c r="N141" s="141" t="e">
        <v>#N/A</v>
      </c>
      <c r="O141" s="95" t="e">
        <v>#N/A</v>
      </c>
      <c r="P141" s="123" t="inlineStr">
        <is>
          <t xml:space="preserve">#N/A </t>
        </is>
      </c>
    </row>
    <row r="142">
      <c r="A142" s="95" t="inlineStr">
        <is>
          <t>Glovis LightHouse</t>
        </is>
      </c>
      <c r="C142" s="141" t="inlineStr">
        <is>
          <t>GLIG-60055/26-1</t>
        </is>
      </c>
      <c r="D142" s="95">
        <f>IF(OR(ISNUMBER(SEARCH("Pre Delivery",E142)),ISNUMBER(SEARCH("Pre-Delivery",E142)),ISNUMBER(SEARCH("Predelivery",E142)),ISNUMBER(SEARCH("PD -",E142)),ISNUMBER(SEARCH("PD Lubes",E142))),"Pre-Delivery","")</f>
        <v/>
      </c>
      <c r="E142" s="141" t="inlineStr">
        <is>
          <t>IMPA Stores - Crew</t>
        </is>
      </c>
      <c r="F142" s="141" t="inlineStr">
        <is>
          <t>IMPA Stores - Crew</t>
        </is>
      </c>
      <c r="H142" s="141" t="inlineStr">
        <is>
          <t>Stores</t>
        </is>
      </c>
      <c r="I142" s="107" t="n"/>
      <c r="J142" s="108" t="n"/>
      <c r="K142" s="108" t="n"/>
      <c r="L142" s="141" t="inlineStr">
        <is>
          <t>PCTC</t>
        </is>
      </c>
      <c r="M142" s="141" t="inlineStr">
        <is>
          <t xml:space="preserve"> #N/A </t>
        </is>
      </c>
      <c r="N142" s="141" t="e">
        <v>#N/A</v>
      </c>
      <c r="O142" s="95" t="e">
        <v>#N/A</v>
      </c>
      <c r="P142" s="123" t="inlineStr">
        <is>
          <t xml:space="preserve">#N/A </t>
        </is>
      </c>
    </row>
    <row r="143">
      <c r="A143" s="95" t="inlineStr">
        <is>
          <t>Glovis LightHouse</t>
        </is>
      </c>
      <c r="C143" s="141" t="inlineStr">
        <is>
          <t>GLIG-60051/26-1</t>
        </is>
      </c>
      <c r="D143" s="95">
        <f>IF(OR(ISNUMBER(SEARCH("Pre Delivery",E143)),ISNUMBER(SEARCH("Pre-Delivery",E143)),ISNUMBER(SEARCH("Predelivery",E143)),ISNUMBER(SEARCH("PD -",E143)),ISNUMBER(SEARCH("PD Lubes",E143))),"Pre-Delivery","")</f>
        <v/>
      </c>
      <c r="E143" s="141" t="inlineStr">
        <is>
          <t>IMPA Stores - SOPEP</t>
        </is>
      </c>
      <c r="F143" s="141" t="inlineStr">
        <is>
          <t>IMPA Stores - SOPEP</t>
        </is>
      </c>
      <c r="H143" s="141" t="inlineStr">
        <is>
          <t>Stores</t>
        </is>
      </c>
      <c r="I143" s="107" t="n"/>
      <c r="J143" s="108" t="n"/>
      <c r="K143" s="108" t="n"/>
      <c r="L143" s="141" t="inlineStr">
        <is>
          <t>PCTC</t>
        </is>
      </c>
      <c r="M143" s="141" t="inlineStr">
        <is>
          <t xml:space="preserve"> #N/A </t>
        </is>
      </c>
      <c r="N143" s="141" t="e">
        <v>#N/A</v>
      </c>
      <c r="O143" s="95" t="e">
        <v>#N/A</v>
      </c>
      <c r="P143" s="123" t="inlineStr">
        <is>
          <t xml:space="preserve">#N/A </t>
        </is>
      </c>
    </row>
    <row r="144">
      <c r="A144" s="95" t="inlineStr">
        <is>
          <t>Glovis LightHouse</t>
        </is>
      </c>
      <c r="D144" s="95">
        <f>IF(OR(ISNUMBER(SEARCH("Pre Delivery",E144)),ISNUMBER(SEARCH("Pre-Delivery",E144)),ISNUMBER(SEARCH("Predelivery",E144)),ISNUMBER(SEARCH("PD -",E144)),ISNUMBER(SEARCH("PD Lubes",E144))),"Pre-Delivery","")</f>
        <v/>
      </c>
      <c r="E144" s="141" t="inlineStr">
        <is>
          <t>IMPA Stores - Instrumenation</t>
        </is>
      </c>
      <c r="F144" s="141" t="inlineStr">
        <is>
          <t>IMPA Stores - General</t>
        </is>
      </c>
      <c r="H144" s="141" t="inlineStr">
        <is>
          <t>Stores</t>
        </is>
      </c>
      <c r="I144" s="107" t="n"/>
      <c r="J144" s="108" t="n"/>
      <c r="K144" s="108" t="n"/>
      <c r="L144" s="141" t="inlineStr">
        <is>
          <t>PCTC</t>
        </is>
      </c>
      <c r="M144" s="141" t="inlineStr">
        <is>
          <t xml:space="preserve"> #N/A </t>
        </is>
      </c>
      <c r="N144" s="141" t="e">
        <v>#N/A</v>
      </c>
      <c r="O144" s="95" t="e">
        <v>#N/A</v>
      </c>
      <c r="P144" s="123" t="inlineStr">
        <is>
          <t xml:space="preserve">#N/A </t>
        </is>
      </c>
    </row>
    <row r="145">
      <c r="A145" s="95" t="inlineStr">
        <is>
          <t>Glovis LightHouse</t>
        </is>
      </c>
      <c r="C145" s="141" t="inlineStr">
        <is>
          <t>GLIG-60109/26-1</t>
        </is>
      </c>
      <c r="D145" s="95">
        <f>IF(OR(ISNUMBER(SEARCH("Pre Delivery",E145)),ISNUMBER(SEARCH("Pre-Delivery",E145)),ISNUMBER(SEARCH("Predelivery",E145)),ISNUMBER(SEARCH("PD -",E145)),ISNUMBER(SEARCH("PD Lubes",E145))),"Pre-Delivery","")</f>
        <v/>
      </c>
      <c r="E145" s="141" t="inlineStr">
        <is>
          <t>Explosion Proof Camera</t>
        </is>
      </c>
      <c r="F145" s="141" t="inlineStr">
        <is>
          <t>Explosion Proof Camera</t>
        </is>
      </c>
      <c r="H145" s="141" t="inlineStr">
        <is>
          <t>Stores</t>
        </is>
      </c>
      <c r="I145" s="107" t="n"/>
      <c r="J145" s="108" t="n"/>
      <c r="K145" s="108" t="n"/>
      <c r="L145" s="141" t="inlineStr">
        <is>
          <t>PCTC</t>
        </is>
      </c>
      <c r="M145" s="141" t="inlineStr">
        <is>
          <t xml:space="preserve"> #N/A </t>
        </is>
      </c>
      <c r="N145" s="141" t="e">
        <v>#N/A</v>
      </c>
      <c r="O145" s="95" t="e">
        <v>#N/A</v>
      </c>
      <c r="P145" s="123" t="inlineStr">
        <is>
          <t xml:space="preserve">#N/A </t>
        </is>
      </c>
    </row>
    <row r="146" ht="37.5" customHeight="1">
      <c r="A146" s="95" t="inlineStr">
        <is>
          <t>Glovis LightHouse</t>
        </is>
      </c>
      <c r="D146" s="95">
        <f>IF(OR(ISNUMBER(SEARCH("Pre Delivery",E146)),ISNUMBER(SEARCH("Pre-Delivery",E146)),ISNUMBER(SEARCH("Predelivery",E146)),ISNUMBER(SEARCH("PD -",E146)),ISNUMBER(SEARCH("PD Lubes",E146))),"Pre-Delivery","")</f>
        <v/>
      </c>
      <c r="E146" s="141" t="inlineStr">
        <is>
          <t>Domestic refrigerators 200 litres for rec rooms to be added to stores supplies</t>
        </is>
      </c>
      <c r="F146" s="141" t="inlineStr">
        <is>
          <t>Crew Welfare - Refrigerators</t>
        </is>
      </c>
      <c r="H146" s="141" t="inlineStr">
        <is>
          <t>Stores</t>
        </is>
      </c>
      <c r="I146" s="107" t="n"/>
      <c r="J146" s="108" t="n"/>
      <c r="K146" s="108" t="n"/>
      <c r="L146" s="141" t="inlineStr">
        <is>
          <t>PCTC</t>
        </is>
      </c>
      <c r="M146" s="141" t="inlineStr">
        <is>
          <t xml:space="preserve"> #N/A </t>
        </is>
      </c>
      <c r="N146" s="141" t="e">
        <v>#N/A</v>
      </c>
      <c r="O146" s="95" t="e">
        <v>#N/A</v>
      </c>
      <c r="P146" s="123" t="inlineStr">
        <is>
          <t xml:space="preserve">#N/A </t>
        </is>
      </c>
    </row>
    <row r="147">
      <c r="A147" s="95" t="inlineStr">
        <is>
          <t>Glovis LightHouse</t>
        </is>
      </c>
      <c r="D147" s="95">
        <f>IF(OR(ISNUMBER(SEARCH("Pre Delivery",E147)),ISNUMBER(SEARCH("Pre-Delivery",E147)),ISNUMBER(SEARCH("Predelivery",E147)),ISNUMBER(SEARCH("PD -",E147)),ISNUMBER(SEARCH("PD Lubes",E147))),"Pre-Delivery","")</f>
        <v/>
      </c>
      <c r="E147" s="141" t="inlineStr">
        <is>
          <t>Ozone sterliser</t>
        </is>
      </c>
      <c r="F147" s="141" t="inlineStr">
        <is>
          <t>Ozone Steriliser</t>
        </is>
      </c>
      <c r="H147" s="141" t="inlineStr">
        <is>
          <t>Stores</t>
        </is>
      </c>
      <c r="I147" s="107" t="n"/>
      <c r="J147" s="108" t="n"/>
      <c r="K147" s="108" t="n"/>
      <c r="L147" s="141" t="inlineStr">
        <is>
          <t>PCTC</t>
        </is>
      </c>
      <c r="M147" s="141" t="inlineStr">
        <is>
          <t xml:space="preserve"> #N/A </t>
        </is>
      </c>
      <c r="N147" s="141" t="e">
        <v>#N/A</v>
      </c>
      <c r="O147" s="95" t="e">
        <v>#N/A</v>
      </c>
      <c r="P147" s="123" t="inlineStr">
        <is>
          <t xml:space="preserve">#N/A </t>
        </is>
      </c>
    </row>
    <row r="148">
      <c r="A148" s="95" t="inlineStr">
        <is>
          <t>Glovis LightHouse</t>
        </is>
      </c>
      <c r="D148" s="95">
        <f>IF(OR(ISNUMBER(SEARCH("Pre Delivery",E148)),ISNUMBER(SEARCH("Pre-Delivery",E148)),ISNUMBER(SEARCH("Predelivery",E148)),ISNUMBER(SEARCH("PD -",E148)),ISNUMBER(SEARCH("PD Lubes",E148))),"Pre-Delivery","")</f>
        <v/>
      </c>
      <c r="E148" s="141" t="inlineStr">
        <is>
          <t>Suez light</t>
        </is>
      </c>
      <c r="F148" s="141" t="inlineStr">
        <is>
          <t>Suez Light</t>
        </is>
      </c>
      <c r="H148" s="141" t="inlineStr">
        <is>
          <t>Stores</t>
        </is>
      </c>
      <c r="I148" s="107" t="n"/>
      <c r="J148" s="108" t="n"/>
      <c r="K148" s="108" t="n"/>
      <c r="L148" s="141" t="inlineStr">
        <is>
          <t>PCTC</t>
        </is>
      </c>
      <c r="M148" s="141" t="inlineStr">
        <is>
          <t xml:space="preserve"> #N/A </t>
        </is>
      </c>
      <c r="N148" s="141" t="e">
        <v>#N/A</v>
      </c>
      <c r="O148" s="95" t="e">
        <v>#N/A</v>
      </c>
      <c r="P148" s="123" t="inlineStr">
        <is>
          <t xml:space="preserve">#N/A </t>
        </is>
      </c>
    </row>
    <row r="149">
      <c r="A149" s="95" t="inlineStr">
        <is>
          <t>Glovis LightHouse</t>
        </is>
      </c>
      <c r="D149" s="95">
        <f>IF(OR(ISNUMBER(SEARCH("Pre Delivery",E149)),ISNUMBER(SEARCH("Pre-Delivery",E149)),ISNUMBER(SEARCH("Predelivery",E149)),ISNUMBER(SEARCH("PD -",E149)),ISNUMBER(SEARCH("PD Lubes",E149))),"Pre-Delivery","")</f>
        <v/>
      </c>
      <c r="E149" s="141" t="inlineStr">
        <is>
          <t xml:space="preserve">Manual chain blocks </t>
        </is>
      </c>
      <c r="F149" s="141" t="inlineStr">
        <is>
          <t>Chain Blocks</t>
        </is>
      </c>
      <c r="H149" s="141" t="inlineStr">
        <is>
          <t>Stores</t>
        </is>
      </c>
      <c r="I149" s="107" t="n"/>
      <c r="J149" s="108" t="n"/>
      <c r="K149" s="108" t="n"/>
      <c r="L149" s="141" t="inlineStr">
        <is>
          <t>PCTC</t>
        </is>
      </c>
      <c r="M149" s="141" t="inlineStr">
        <is>
          <t xml:space="preserve"> #N/A </t>
        </is>
      </c>
      <c r="N149" s="141" t="e">
        <v>#N/A</v>
      </c>
      <c r="O149" s="95" t="e">
        <v>#N/A</v>
      </c>
      <c r="P149" s="123" t="inlineStr">
        <is>
          <t xml:space="preserve">#N/A </t>
        </is>
      </c>
    </row>
    <row r="150">
      <c r="A150" s="95" t="inlineStr">
        <is>
          <t>Glovis LightHouse</t>
        </is>
      </c>
      <c r="D150" s="95">
        <f>IF(OR(ISNUMBER(SEARCH("Pre Delivery",E150)),ISNUMBER(SEARCH("Pre-Delivery",E150)),ISNUMBER(SEARCH("Predelivery",E150)),ISNUMBER(SEARCH("PD -",E150)),ISNUMBER(SEARCH("PD Lubes",E150))),"Pre-Delivery","")</f>
        <v/>
      </c>
      <c r="E150" s="141" t="inlineStr">
        <is>
          <t>Welding machine in Workshop 440 v</t>
        </is>
      </c>
      <c r="F150" s="141" t="inlineStr">
        <is>
          <t>Welding Equipment</t>
        </is>
      </c>
      <c r="H150" s="141" t="inlineStr">
        <is>
          <t>Stores</t>
        </is>
      </c>
      <c r="I150" s="107" t="n"/>
      <c r="J150" s="108" t="n"/>
      <c r="K150" s="108" t="n"/>
      <c r="L150" s="141" t="inlineStr">
        <is>
          <t>PCTC</t>
        </is>
      </c>
      <c r="M150" s="141" t="inlineStr">
        <is>
          <t xml:space="preserve"> #N/A </t>
        </is>
      </c>
      <c r="N150" s="141" t="e">
        <v>#N/A</v>
      </c>
      <c r="O150" s="95" t="e">
        <v>#N/A</v>
      </c>
      <c r="P150" s="123" t="inlineStr">
        <is>
          <t xml:space="preserve">#N/A </t>
        </is>
      </c>
    </row>
    <row r="151">
      <c r="A151" s="95" t="inlineStr">
        <is>
          <t>Glovis LightHouse</t>
        </is>
      </c>
      <c r="C151" s="141" t="inlineStr">
        <is>
          <t>GLIG-60114/26-1</t>
        </is>
      </c>
      <c r="D151" s="95">
        <f>IF(OR(ISNUMBER(SEARCH("Pre Delivery",E151)),ISNUMBER(SEARCH("Pre-Delivery",E151)),ISNUMBER(SEARCH("Predelivery",E151)),ISNUMBER(SEARCH("PD -",E151)),ISNUMBER(SEARCH("PD Lubes",E151))),"Pre-Delivery","")</f>
        <v/>
      </c>
      <c r="E151" s="141" t="inlineStr">
        <is>
          <t>Service Car</t>
        </is>
      </c>
      <c r="F151" s="141" t="inlineStr">
        <is>
          <t>Service Car</t>
        </is>
      </c>
      <c r="H151" s="141" t="inlineStr">
        <is>
          <t>Stores</t>
        </is>
      </c>
      <c r="I151" s="107" t="n"/>
      <c r="J151" s="108" t="n"/>
      <c r="K151" s="108" t="n"/>
      <c r="L151" s="141" t="inlineStr">
        <is>
          <t>PCTC</t>
        </is>
      </c>
      <c r="M151" s="141" t="inlineStr">
        <is>
          <t xml:space="preserve"> #N/A </t>
        </is>
      </c>
      <c r="N151" s="141" t="e">
        <v>#N/A</v>
      </c>
      <c r="O151" s="95" t="e">
        <v>#N/A</v>
      </c>
      <c r="P151" s="123" t="inlineStr">
        <is>
          <t xml:space="preserve">#N/A </t>
        </is>
      </c>
    </row>
    <row r="152">
      <c r="A152" s="95" t="inlineStr">
        <is>
          <t>Glovis LightHouse</t>
        </is>
      </c>
      <c r="C152" s="141" t="inlineStr">
        <is>
          <t>GLIG-60113/26</t>
        </is>
      </c>
      <c r="D152" s="95">
        <f>IF(OR(ISNUMBER(SEARCH("Pre Delivery",E152)),ISNUMBER(SEARCH("Pre-Delivery",E152)),ISNUMBER(SEARCH("Predelivery",E152)),ISNUMBER(SEARCH("PD -",E152)),ISNUMBER(SEARCH("PD Lubes",E152))),"Pre-Delivery","")</f>
        <v/>
      </c>
      <c r="E152" s="141" t="inlineStr">
        <is>
          <t>Forlift</t>
        </is>
      </c>
      <c r="F152" s="141" t="inlineStr">
        <is>
          <t>Forklift</t>
        </is>
      </c>
      <c r="H152" s="141" t="inlineStr">
        <is>
          <t>Stores</t>
        </is>
      </c>
      <c r="I152" s="107" t="n"/>
      <c r="J152" s="108" t="n"/>
      <c r="K152" s="108" t="n"/>
      <c r="L152" s="141" t="inlineStr">
        <is>
          <t>PCTC</t>
        </is>
      </c>
      <c r="M152" s="141" t="inlineStr">
        <is>
          <t xml:space="preserve"> #N/A </t>
        </is>
      </c>
      <c r="N152" s="141" t="e">
        <v>#N/A</v>
      </c>
      <c r="O152" s="95" t="e">
        <v>#N/A</v>
      </c>
      <c r="P152" s="123" t="inlineStr">
        <is>
          <t xml:space="preserve">#N/A </t>
        </is>
      </c>
    </row>
    <row r="153">
      <c r="A153" s="95" t="inlineStr">
        <is>
          <t>Glovis LightHouse</t>
        </is>
      </c>
      <c r="D153" s="95">
        <f>IF(OR(ISNUMBER(SEARCH("Pre Delivery",E153)),ISNUMBER(SEARCH("Pre-Delivery",E153)),ISNUMBER(SEARCH("Predelivery",E153)),ISNUMBER(SEARCH("PD -",E153)),ISNUMBER(SEARCH("PD Lubes",E153))),"Pre-Delivery","")</f>
        <v/>
      </c>
      <c r="E153" s="141" t="inlineStr">
        <is>
          <t>Alcometer</t>
        </is>
      </c>
      <c r="F153" s="141" t="inlineStr">
        <is>
          <t>Alcometer</t>
        </is>
      </c>
      <c r="H153" s="141" t="inlineStr">
        <is>
          <t>Stores</t>
        </is>
      </c>
      <c r="I153" s="107" t="n"/>
      <c r="J153" s="108" t="n"/>
      <c r="K153" s="108" t="n"/>
      <c r="L153" s="141" t="inlineStr">
        <is>
          <t>PCTC</t>
        </is>
      </c>
      <c r="M153" s="141" t="inlineStr">
        <is>
          <t xml:space="preserve"> #N/A </t>
        </is>
      </c>
      <c r="N153" s="141" t="e">
        <v>#N/A</v>
      </c>
      <c r="O153" s="95" t="e">
        <v>#N/A</v>
      </c>
      <c r="P153" s="123" t="inlineStr">
        <is>
          <t xml:space="preserve">#N/A </t>
        </is>
      </c>
    </row>
    <row r="154">
      <c r="A154" s="95" t="inlineStr">
        <is>
          <t>Glovis LightHouse</t>
        </is>
      </c>
      <c r="D154" s="95">
        <f>IF(OR(ISNUMBER(SEARCH("Pre Delivery",E154)),ISNUMBER(SEARCH("Pre-Delivery",E154)),ISNUMBER(SEARCH("Predelivery",E154)),ISNUMBER(SEARCH("PD -",E154)),ISNUMBER(SEARCH("PD Lubes",E154))),"Pre-Delivery","")</f>
        <v/>
      </c>
      <c r="E154" s="141" t="inlineStr">
        <is>
          <t>Bosch GLM-50 or Laser Distance Measuring Tool</t>
        </is>
      </c>
      <c r="F154" s="141" t="inlineStr">
        <is>
          <t>Laser Distance Measurer</t>
        </is>
      </c>
      <c r="H154" s="141" t="inlineStr">
        <is>
          <t>Stores</t>
        </is>
      </c>
      <c r="I154" s="107" t="n"/>
      <c r="J154" s="108" t="n"/>
      <c r="K154" s="108" t="n"/>
      <c r="L154" s="141" t="inlineStr">
        <is>
          <t>PCTC</t>
        </is>
      </c>
      <c r="M154" s="141" t="inlineStr">
        <is>
          <t xml:space="preserve"> #N/A </t>
        </is>
      </c>
      <c r="N154" s="141" t="e">
        <v>#N/A</v>
      </c>
      <c r="O154" s="95" t="e">
        <v>#N/A</v>
      </c>
      <c r="P154" s="123" t="inlineStr">
        <is>
          <t xml:space="preserve">#N/A </t>
        </is>
      </c>
    </row>
    <row r="155">
      <c r="A155" s="95" t="inlineStr">
        <is>
          <t>Glovis LightHouse</t>
        </is>
      </c>
      <c r="D155" s="95">
        <f>IF(OR(ISNUMBER(SEARCH("Pre Delivery",E155)),ISNUMBER(SEARCH("Pre-Delivery",E155)),ISNUMBER(SEARCH("Predelivery",E155)),ISNUMBER(SEARCH("PD -",E155)),ISNUMBER(SEARCH("PD Lubes",E155))),"Pre-Delivery","")</f>
        <v/>
      </c>
      <c r="E155" s="141" t="inlineStr">
        <is>
          <t>Stanchions</t>
        </is>
      </c>
      <c r="F155" s="141" t="inlineStr">
        <is>
          <t>Stanchions</t>
        </is>
      </c>
      <c r="H155" s="141" t="inlineStr">
        <is>
          <t>Stores</t>
        </is>
      </c>
      <c r="I155" s="107" t="n"/>
      <c r="J155" s="108" t="n"/>
      <c r="K155" s="108" t="n"/>
      <c r="L155" s="141" t="inlineStr">
        <is>
          <t>PCTC</t>
        </is>
      </c>
      <c r="M155" s="141" t="inlineStr">
        <is>
          <t xml:space="preserve"> #N/A </t>
        </is>
      </c>
      <c r="N155" s="141" t="e">
        <v>#N/A</v>
      </c>
      <c r="O155" s="95" t="e">
        <v>#N/A</v>
      </c>
      <c r="P155" s="123" t="inlineStr">
        <is>
          <t xml:space="preserve">#N/A </t>
        </is>
      </c>
    </row>
    <row r="156">
      <c r="A156" s="95" t="inlineStr">
        <is>
          <t>Glovis LightHouse</t>
        </is>
      </c>
      <c r="D156" s="95">
        <f>IF(OR(ISNUMBER(SEARCH("Pre Delivery",E156)),ISNUMBER(SEARCH("Pre-Delivery",E156)),ISNUMBER(SEARCH("Predelivery",E156)),ISNUMBER(SEARCH("PD -",E156)),ISNUMBER(SEARCH("PD Lubes",E156))),"Pre-Delivery","")</f>
        <v/>
      </c>
      <c r="E156" s="141" t="inlineStr">
        <is>
          <t>Deck Sweeper</t>
        </is>
      </c>
      <c r="F156" s="141" t="inlineStr">
        <is>
          <t>Deck Sweeper</t>
        </is>
      </c>
      <c r="H156" s="141" t="inlineStr">
        <is>
          <t>Stores</t>
        </is>
      </c>
      <c r="I156" s="107" t="n"/>
      <c r="J156" s="108" t="n"/>
      <c r="K156" s="108" t="n"/>
      <c r="L156" s="141" t="inlineStr">
        <is>
          <t>PCTC</t>
        </is>
      </c>
      <c r="M156" s="141" t="inlineStr">
        <is>
          <t xml:space="preserve"> #N/A </t>
        </is>
      </c>
      <c r="N156" s="141" t="e">
        <v>#N/A</v>
      </c>
      <c r="O156" s="95" t="e">
        <v>#N/A</v>
      </c>
      <c r="P156" s="123" t="inlineStr">
        <is>
          <t xml:space="preserve">#N/A </t>
        </is>
      </c>
    </row>
    <row r="157">
      <c r="A157" s="95" t="inlineStr">
        <is>
          <t>Glovis LightHouse</t>
        </is>
      </c>
      <c r="D157" s="95">
        <f>IF(OR(ISNUMBER(SEARCH("Pre Delivery",E157)),ISNUMBER(SEARCH("Pre-Delivery",E157)),ISNUMBER(SEARCH("Predelivery",E157)),ISNUMBER(SEARCH("PD -",E157)),ISNUMBER(SEARCH("PD Lubes",E157))),"Pre-Delivery","")</f>
        <v/>
      </c>
      <c r="E157" s="141" t="inlineStr">
        <is>
          <t>Provisions and Bonds</t>
        </is>
      </c>
      <c r="F157" s="141" t="inlineStr">
        <is>
          <t>Provisions &amp; Bonded Stores</t>
        </is>
      </c>
      <c r="H157" s="141" t="inlineStr">
        <is>
          <t>Stores</t>
        </is>
      </c>
      <c r="I157" s="107" t="n"/>
      <c r="J157" s="108" t="n"/>
      <c r="K157" s="108" t="n"/>
      <c r="L157" s="141" t="inlineStr">
        <is>
          <t>PCTC</t>
        </is>
      </c>
      <c r="M157" s="141" t="inlineStr">
        <is>
          <t xml:space="preserve"> #N/A </t>
        </is>
      </c>
      <c r="N157" s="141" t="e">
        <v>#N/A</v>
      </c>
      <c r="O157" s="95" t="e">
        <v>#N/A</v>
      </c>
      <c r="P157" s="123" t="inlineStr">
        <is>
          <t xml:space="preserve">#N/A </t>
        </is>
      </c>
    </row>
    <row r="158">
      <c r="A158" s="95" t="inlineStr">
        <is>
          <t>Glovis LightHouse</t>
        </is>
      </c>
      <c r="C158" s="141" t="inlineStr">
        <is>
          <t>GLIG-60110/26</t>
        </is>
      </c>
      <c r="D158" s="95">
        <f>IF(OR(ISNUMBER(SEARCH("Pre Delivery",E158)),ISNUMBER(SEARCH("Pre-Delivery",E158)),ISNUMBER(SEARCH("Predelivery",E158)),ISNUMBER(SEARCH("PD -",E158)),ISNUMBER(SEARCH("PD Lubes",E158))),"Pre-Delivery","")</f>
        <v/>
      </c>
      <c r="E158" s="141" t="inlineStr">
        <is>
          <t>Medicines</t>
        </is>
      </c>
      <c r="F158" s="141" t="inlineStr">
        <is>
          <t>Medicines</t>
        </is>
      </c>
      <c r="H158" s="141" t="inlineStr">
        <is>
          <t>Stores</t>
        </is>
      </c>
      <c r="I158" s="107" t="n"/>
      <c r="J158" s="108" t="n"/>
      <c r="K158" s="108" t="n"/>
      <c r="L158" s="141" t="inlineStr">
        <is>
          <t>PCTC</t>
        </is>
      </c>
      <c r="M158" s="141" t="inlineStr">
        <is>
          <t xml:space="preserve"> #N/A </t>
        </is>
      </c>
      <c r="N158" s="141" t="e">
        <v>#N/A</v>
      </c>
      <c r="O158" s="95" t="e">
        <v>#N/A</v>
      </c>
      <c r="P158" s="123" t="inlineStr">
        <is>
          <t xml:space="preserve">#N/A </t>
        </is>
      </c>
    </row>
    <row r="159">
      <c r="A159" s="95" t="inlineStr">
        <is>
          <t>Glovis LightHouse</t>
        </is>
      </c>
      <c r="C159" s="141" t="inlineStr">
        <is>
          <t>GLIG-60110/26</t>
        </is>
      </c>
      <c r="D159" s="95">
        <f>IF(OR(ISNUMBER(SEARCH("Pre Delivery",E159)),ISNUMBER(SEARCH("Pre-Delivery",E159)),ISNUMBER(SEARCH("Predelivery",E159)),ISNUMBER(SEARCH("PD -",E159)),ISNUMBER(SEARCH("PD Lubes",E159))),"Pre-Delivery","")</f>
        <v/>
      </c>
      <c r="E159" s="141" t="inlineStr">
        <is>
          <t>Medox and Equipments</t>
        </is>
      </c>
      <c r="F159" s="141" t="inlineStr">
        <is>
          <t>Medical Equipment (Medox)</t>
        </is>
      </c>
      <c r="H159" s="141" t="inlineStr">
        <is>
          <t>Stores</t>
        </is>
      </c>
      <c r="I159" s="107" t="n"/>
      <c r="J159" s="108" t="n"/>
      <c r="K159" s="108" t="n"/>
      <c r="L159" s="141" t="inlineStr">
        <is>
          <t>PCTC</t>
        </is>
      </c>
      <c r="M159" s="141" t="inlineStr">
        <is>
          <t xml:space="preserve"> #N/A </t>
        </is>
      </c>
      <c r="N159" s="141" t="e">
        <v>#N/A</v>
      </c>
      <c r="O159" s="95" t="e">
        <v>#N/A</v>
      </c>
      <c r="P159" s="123" t="inlineStr">
        <is>
          <t xml:space="preserve">#N/A </t>
        </is>
      </c>
    </row>
    <row r="160">
      <c r="A160" s="95" t="inlineStr">
        <is>
          <t>Glovis LightHouse</t>
        </is>
      </c>
      <c r="D160" s="95">
        <f>IF(OR(ISNUMBER(SEARCH("Pre Delivery",E160)),ISNUMBER(SEARCH("Pre-Delivery",E160)),ISNUMBER(SEARCH("Predelivery",E160)),ISNUMBER(SEARCH("PD -",E160)),ISNUMBER(SEARCH("PD Lubes",E160))),"Pre-Delivery","")</f>
        <v/>
      </c>
      <c r="E160" s="141" t="inlineStr">
        <is>
          <t>Soot Releasing Dosing Unit</t>
        </is>
      </c>
      <c r="F160" s="141" t="inlineStr">
        <is>
          <t>Soot Treatment</t>
        </is>
      </c>
      <c r="H160" s="141" t="inlineStr">
        <is>
          <t>Stores</t>
        </is>
      </c>
      <c r="I160" s="107" t="n"/>
      <c r="J160" s="108" t="n"/>
      <c r="K160" s="108" t="n"/>
      <c r="L160" s="141" t="inlineStr">
        <is>
          <t>PCTC</t>
        </is>
      </c>
      <c r="M160" s="141" t="inlineStr">
        <is>
          <t xml:space="preserve"> #N/A </t>
        </is>
      </c>
      <c r="N160" s="141" t="e">
        <v>#N/A</v>
      </c>
      <c r="O160" s="95" t="e">
        <v>#N/A</v>
      </c>
      <c r="P160" s="123" t="inlineStr">
        <is>
          <t xml:space="preserve">#N/A </t>
        </is>
      </c>
    </row>
    <row r="161">
      <c r="A161" s="95" t="inlineStr">
        <is>
          <t>Glovis LightHouse</t>
        </is>
      </c>
      <c r="D161" s="95">
        <f>IF(OR(ISNUMBER(SEARCH("Pre Delivery",E161)),ISNUMBER(SEARCH("Pre-Delivery",E161)),ISNUMBER(SEARCH("Predelivery",E161)),ISNUMBER(SEARCH("PD -",E161)),ISNUMBER(SEARCH("PD Lubes",E161))),"Pre-Delivery","")</f>
        <v/>
      </c>
      <c r="E161" s="141" t="inlineStr">
        <is>
          <t>Naoh</t>
        </is>
      </c>
      <c r="F161" s="141" t="inlineStr">
        <is>
          <t>NaOH (Sodium Hydroxide)</t>
        </is>
      </c>
      <c r="H161" s="141" t="inlineStr">
        <is>
          <t>Stores</t>
        </is>
      </c>
      <c r="I161" s="107" t="n"/>
      <c r="J161" s="108" t="n"/>
      <c r="K161" s="108" t="n"/>
      <c r="L161" s="141" t="inlineStr">
        <is>
          <t>PCTC</t>
        </is>
      </c>
      <c r="M161" s="141" t="inlineStr">
        <is>
          <t xml:space="preserve"> #N/A </t>
        </is>
      </c>
      <c r="N161" s="141" t="e">
        <v>#N/A</v>
      </c>
      <c r="O161" s="95" t="e">
        <v>#N/A</v>
      </c>
      <c r="P161" s="123" t="inlineStr">
        <is>
          <t xml:space="preserve">#N/A </t>
        </is>
      </c>
    </row>
    <row r="162">
      <c r="A162" s="95" t="inlineStr">
        <is>
          <t>Glovis LightHouse</t>
        </is>
      </c>
      <c r="C162" s="141" t="inlineStr">
        <is>
          <t>GLIG-60111/26-1</t>
        </is>
      </c>
      <c r="D162" s="95">
        <f>IF(OR(ISNUMBER(SEARCH("Pre Delivery",E162)),ISNUMBER(SEARCH("Pre-Delivery",E162)),ISNUMBER(SEARCH("Predelivery",E162)),ISNUMBER(SEARCH("PD -",E162)),ISNUMBER(SEARCH("PD Lubes",E162))),"Pre-Delivery","")</f>
        <v/>
      </c>
      <c r="E162" s="141" t="inlineStr">
        <is>
          <t>Rubber Matting</t>
        </is>
      </c>
      <c r="F162" s="141" t="inlineStr">
        <is>
          <t>Rubber Matting</t>
        </is>
      </c>
      <c r="H162" s="141" t="inlineStr">
        <is>
          <t>Stores</t>
        </is>
      </c>
      <c r="I162" s="107" t="n"/>
      <c r="J162" s="108" t="n"/>
      <c r="K162" s="108" t="n"/>
      <c r="L162" s="141" t="inlineStr">
        <is>
          <t>PCTC</t>
        </is>
      </c>
      <c r="M162" s="141" t="inlineStr">
        <is>
          <t xml:space="preserve"> #N/A </t>
        </is>
      </c>
      <c r="N162" s="141" t="e">
        <v>#N/A</v>
      </c>
      <c r="O162" s="95" t="e">
        <v>#N/A</v>
      </c>
      <c r="P162" s="123" t="inlineStr">
        <is>
          <t xml:space="preserve">#N/A </t>
        </is>
      </c>
    </row>
    <row r="163">
      <c r="A163" s="95" t="inlineStr">
        <is>
          <t>Glovis LightHouse</t>
        </is>
      </c>
      <c r="C163" s="141" t="inlineStr">
        <is>
          <t>GLIG-60112/26-1</t>
        </is>
      </c>
      <c r="D163" s="95">
        <f>IF(OR(ISNUMBER(SEARCH("Pre Delivery",E163)),ISNUMBER(SEARCH("Pre-Delivery",E163)),ISNUMBER(SEARCH("Predelivery",E163)),ISNUMBER(SEARCH("PD -",E163)),ISNUMBER(SEARCH("PD Lubes",E163))),"Pre-Delivery","")</f>
        <v/>
      </c>
      <c r="E163" s="141" t="inlineStr">
        <is>
          <t>Nitrogen Hose</t>
        </is>
      </c>
      <c r="F163" s="141" t="inlineStr">
        <is>
          <t>Nitrogen Hose</t>
        </is>
      </c>
      <c r="H163" s="141" t="inlineStr">
        <is>
          <t>Stores</t>
        </is>
      </c>
      <c r="I163" s="107" t="n"/>
      <c r="J163" s="108" t="n"/>
      <c r="K163" s="108" t="n"/>
      <c r="L163" s="141" t="inlineStr">
        <is>
          <t>PCTC</t>
        </is>
      </c>
      <c r="M163" s="141" t="inlineStr">
        <is>
          <t xml:space="preserve"> #N/A </t>
        </is>
      </c>
      <c r="N163" s="141" t="e">
        <v>#N/A</v>
      </c>
      <c r="O163" s="95" t="e">
        <v>#N/A</v>
      </c>
      <c r="P163" s="123" t="inlineStr">
        <is>
          <t xml:space="preserve">#N/A </t>
        </is>
      </c>
    </row>
    <row r="164">
      <c r="A164" s="95" t="inlineStr">
        <is>
          <t>Glovis LightHouse</t>
        </is>
      </c>
      <c r="C164" s="141" t="inlineStr">
        <is>
          <t>GLIG-60013/26-1</t>
        </is>
      </c>
      <c r="D164" s="95">
        <f>IF(OR(ISNUMBER(SEARCH("Pre Delivery",E164)),ISNUMBER(SEARCH("Pre-Delivery",E164)),ISNUMBER(SEARCH("Predelivery",E164)),ISNUMBER(SEARCH("PD -",E164)),ISNUMBER(SEARCH("PD Lubes",E164))),"Pre-Delivery","")</f>
        <v/>
      </c>
      <c r="E164" s="141" t="inlineStr">
        <is>
          <t>FS-VLINK-Accessories</t>
        </is>
      </c>
      <c r="F164" s="141" t="inlineStr">
        <is>
          <t>Communications - VLINK Accessories</t>
        </is>
      </c>
      <c r="H164" s="141" t="inlineStr">
        <is>
          <t>Others</t>
        </is>
      </c>
      <c r="I164" s="107" t="n"/>
      <c r="J164" s="108" t="n"/>
      <c r="K164" s="108" t="n"/>
      <c r="L164" s="141" t="inlineStr">
        <is>
          <t>PCTC</t>
        </is>
      </c>
      <c r="M164" s="143" t="n">
        <v>168</v>
      </c>
      <c r="N164" s="143" t="inlineStr">
        <is>
          <t>USD</t>
        </is>
      </c>
      <c r="O164" s="95" t="inlineStr">
        <is>
          <t>Vessel Link Marine Supply &amp; Service Ltd</t>
        </is>
      </c>
      <c r="P164" s="123" t="inlineStr">
        <is>
          <t xml:space="preserve">Contracted </t>
        </is>
      </c>
    </row>
    <row r="165">
      <c r="A165" s="95" t="inlineStr">
        <is>
          <t>Glovis LightHouse</t>
        </is>
      </c>
      <c r="C165" s="141" t="inlineStr">
        <is>
          <t>GLIG-60107/26-1</t>
        </is>
      </c>
      <c r="D165" s="95">
        <f>IF(OR(ISNUMBER(SEARCH("Pre Delivery",E165)),ISNUMBER(SEARCH("Pre-Delivery",E165)),ISNUMBER(SEARCH("Predelivery",E165)),ISNUMBER(SEARCH("PD -",E165)),ISNUMBER(SEARCH("PD Lubes",E165))),"Pre-Delivery","")</f>
        <v/>
      </c>
      <c r="F165" s="141" t="inlineStr">
        <is>
          <t>Soot Treatment</t>
        </is>
      </c>
      <c r="H165" s="141" t="inlineStr">
        <is>
          <t>Stores</t>
        </is>
      </c>
      <c r="I165" s="107" t="n"/>
      <c r="J165" s="108" t="n"/>
      <c r="K165" s="108" t="n"/>
      <c r="L165" s="141" t="inlineStr">
        <is>
          <t>PCTC</t>
        </is>
      </c>
      <c r="M165" s="143" t="n">
        <v>120</v>
      </c>
      <c r="N165" s="143" t="inlineStr">
        <is>
          <t>USD</t>
        </is>
      </c>
      <c r="O165" s="95" t="inlineStr">
        <is>
          <t>HONGKONG LONGWIND MARINE SERVICE CO LIMITED</t>
        </is>
      </c>
      <c r="P165" s="123" t="inlineStr">
        <is>
          <t xml:space="preserve">Checking </t>
        </is>
      </c>
    </row>
    <row r="166">
      <c r="A166" s="95" t="inlineStr">
        <is>
          <t>Glovis LightHouse</t>
        </is>
      </c>
      <c r="C166" s="141" t="inlineStr">
        <is>
          <t>GLIG-60027/26-1</t>
        </is>
      </c>
      <c r="D166" s="95">
        <f>IF(OR(ISNUMBER(SEARCH("Pre Delivery",E166)),ISNUMBER(SEARCH("Pre-Delivery",E166)),ISNUMBER(SEARCH("Predelivery",E166)),ISNUMBER(SEARCH("PD -",E166)),ISNUMBER(SEARCH("PD Lubes",E166))),"Pre-Delivery","")</f>
        <v/>
      </c>
      <c r="E166" s="141" t="inlineStr">
        <is>
          <t>FS-VLINK CABLE</t>
        </is>
      </c>
      <c r="F166" s="141" t="inlineStr">
        <is>
          <t>PPE</t>
        </is>
      </c>
      <c r="H166" s="141" t="inlineStr">
        <is>
          <t>Others</t>
        </is>
      </c>
      <c r="I166" s="107" t="n"/>
      <c r="J166" s="108" t="n"/>
      <c r="K166" s="108" t="n"/>
      <c r="L166" s="141" t="inlineStr">
        <is>
          <t>PCTC</t>
        </is>
      </c>
      <c r="M166" s="143" t="n">
        <v>63</v>
      </c>
      <c r="N166" s="143" t="inlineStr">
        <is>
          <t>USD</t>
        </is>
      </c>
      <c r="O166" s="95" t="inlineStr">
        <is>
          <t>Vessel Link Marine Supply &amp; Service Ltd</t>
        </is>
      </c>
      <c r="P166" s="123" t="inlineStr">
        <is>
          <t xml:space="preserve">Contracted </t>
        </is>
      </c>
    </row>
    <row r="167">
      <c r="A167" s="95" t="inlineStr">
        <is>
          <t>Glovis LightHouse</t>
        </is>
      </c>
      <c r="D167" s="95">
        <f>IF(OR(ISNUMBER(SEARCH("Pre Delivery",E167)),ISNUMBER(SEARCH("Pre-Delivery",E167)),ISNUMBER(SEARCH("Predelivery",E167)),ISNUMBER(SEARCH("PD -",E167)),ISNUMBER(SEARCH("PD Lubes",E167))),"Pre-Delivery","")</f>
        <v/>
      </c>
      <c r="E167" s="141" t="inlineStr">
        <is>
          <t xml:space="preserve">Soot </t>
        </is>
      </c>
      <c r="F167" s="141" t="inlineStr">
        <is>
          <t>Navigation - Positioning System</t>
        </is>
      </c>
      <c r="H167" s="141" t="inlineStr">
        <is>
          <t>Stores</t>
        </is>
      </c>
      <c r="I167" s="107" t="n"/>
      <c r="J167" s="108" t="n"/>
      <c r="K167" s="108" t="n"/>
      <c r="L167" s="141" t="inlineStr">
        <is>
          <t>PCTC</t>
        </is>
      </c>
      <c r="M167" s="141" t="inlineStr">
        <is>
          <t xml:space="preserve"> #N/A </t>
        </is>
      </c>
      <c r="N167" s="141" t="e">
        <v>#N/A</v>
      </c>
      <c r="O167" s="95" t="e">
        <v>#N/A</v>
      </c>
      <c r="P167" s="123" t="inlineStr">
        <is>
          <t xml:space="preserve">#N/A </t>
        </is>
      </c>
    </row>
    <row r="168">
      <c r="A168" s="95" t="inlineStr">
        <is>
          <t>Glovis LightHouse</t>
        </is>
      </c>
      <c r="C168" s="141" t="inlineStr">
        <is>
          <t xml:space="preserve">LIST-GLIG-60120/26 </t>
        </is>
      </c>
      <c r="D168" s="95">
        <f>IF(OR(ISNUMBER(SEARCH("Pre Delivery",E168)),ISNUMBER(SEARCH("Pre-Delivery",E168)),ISNUMBER(SEARCH("Predelivery",E168)),ISNUMBER(SEARCH("PD -",E168)),ISNUMBER(SEARCH("PD Lubes",E168))),"Pre-Delivery","")</f>
        <v/>
      </c>
      <c r="E168" s="141" t="inlineStr">
        <is>
          <t>PPE - RMS</t>
        </is>
      </c>
      <c r="F168" s="141" t="inlineStr">
        <is>
          <t>Immersion Suits</t>
        </is>
      </c>
      <c r="H168" s="141" t="inlineStr">
        <is>
          <t>Stores</t>
        </is>
      </c>
      <c r="I168" s="107" t="n"/>
      <c r="J168" s="108" t="n"/>
      <c r="K168" s="108" t="n"/>
      <c r="L168" s="141" t="inlineStr">
        <is>
          <t>PCTC</t>
        </is>
      </c>
      <c r="M168" s="141" t="inlineStr">
        <is>
          <t xml:space="preserve"> #N/A </t>
        </is>
      </c>
      <c r="N168" s="141" t="e">
        <v>#N/A</v>
      </c>
      <c r="O168" s="95" t="e">
        <v>#N/A</v>
      </c>
      <c r="P168" s="123" t="inlineStr">
        <is>
          <t xml:space="preserve">#N/A </t>
        </is>
      </c>
    </row>
    <row r="169" ht="37.5" customHeight="1">
      <c r="A169" s="95" t="inlineStr">
        <is>
          <t>Glovis LightHouse</t>
        </is>
      </c>
      <c r="D169" s="95">
        <f>IF(OR(ISNUMBER(SEARCH("Pre Delivery",E169)),ISNUMBER(SEARCH("Pre-Delivery",E169)),ISNUMBER(SEARCH("Predelivery",E169)),ISNUMBER(SEARCH("PD -",E169)),ISNUMBER(SEARCH("PD Lubes",E169))),"Pre-Delivery","")</f>
        <v/>
      </c>
      <c r="E169" s="141" t="inlineStr">
        <is>
          <t>Buyer Supply - New Positioning System for Transiting Panama ( inc. Anti Jamming) (SAAB R6 NAV NEO)</t>
        </is>
      </c>
      <c r="F169" s="141" t="inlineStr">
        <is>
          <t>Firemans Outfit</t>
        </is>
      </c>
      <c r="H169" s="141" t="inlineStr">
        <is>
          <t>Stores</t>
        </is>
      </c>
      <c r="I169" s="107" t="n"/>
      <c r="J169" s="108" t="n"/>
      <c r="K169" s="108" t="n"/>
      <c r="L169" s="141" t="inlineStr">
        <is>
          <t>PCTC</t>
        </is>
      </c>
      <c r="M169" s="141" t="inlineStr">
        <is>
          <t xml:space="preserve"> #N/A </t>
        </is>
      </c>
      <c r="N169" s="141" t="e">
        <v>#N/A</v>
      </c>
      <c r="O169" s="95" t="e">
        <v>#N/A</v>
      </c>
      <c r="P169" s="123" t="inlineStr">
        <is>
          <t xml:space="preserve">#N/A </t>
        </is>
      </c>
    </row>
    <row r="170">
      <c r="A170" s="95" t="inlineStr">
        <is>
          <t>Glovis LightHouse</t>
        </is>
      </c>
      <c r="D170" s="95">
        <f>IF(OR(ISNUMBER(SEARCH("Pre Delivery",E170)),ISNUMBER(SEARCH("Pre-Delivery",E170)),ISNUMBER(SEARCH("Predelivery",E170)),ISNUMBER(SEARCH("PD -",E170)),ISNUMBER(SEARCH("PD Lubes",E170))),"Pre-Delivery","")</f>
        <v/>
      </c>
      <c r="E170" s="141" t="inlineStr">
        <is>
          <t>Immersion Suit</t>
        </is>
      </c>
      <c r="F170" s="141" t="inlineStr">
        <is>
          <t>Iron Test Kit</t>
        </is>
      </c>
      <c r="H170" s="141" t="inlineStr">
        <is>
          <t>Stores</t>
        </is>
      </c>
      <c r="I170" s="107" t="n"/>
      <c r="J170" s="108" t="n"/>
      <c r="K170" s="108" t="n"/>
      <c r="L170" s="141" t="inlineStr">
        <is>
          <t>PCTC</t>
        </is>
      </c>
      <c r="M170" s="141" t="inlineStr">
        <is>
          <t xml:space="preserve"> #N/A </t>
        </is>
      </c>
      <c r="N170" s="141" t="e">
        <v>#N/A</v>
      </c>
      <c r="O170" s="95" t="e">
        <v>#N/A</v>
      </c>
      <c r="P170" s="123" t="inlineStr">
        <is>
          <t xml:space="preserve">#N/A </t>
        </is>
      </c>
    </row>
    <row r="171">
      <c r="A171" s="95" t="inlineStr">
        <is>
          <t>Glovis LightHouse</t>
        </is>
      </c>
      <c r="D171" s="95">
        <f>IF(OR(ISNUMBER(SEARCH("Pre Delivery",E171)),ISNUMBER(SEARCH("Pre-Delivery",E171)),ISNUMBER(SEARCH("Predelivery",E171)),ISNUMBER(SEARCH("PD -",E171)),ISNUMBER(SEARCH("PD Lubes",E171))),"Pre-Delivery","")</f>
        <v/>
      </c>
      <c r="E171" s="141" t="inlineStr">
        <is>
          <t>Fire Mans Outfit</t>
        </is>
      </c>
      <c r="F171" s="141" t="inlineStr">
        <is>
          <t>Oil Test Kit</t>
        </is>
      </c>
      <c r="H171" s="141" t="inlineStr">
        <is>
          <t>Stores</t>
        </is>
      </c>
      <c r="I171" s="107" t="n"/>
      <c r="J171" s="108" t="n"/>
      <c r="K171" s="108" t="n"/>
      <c r="L171" s="141" t="inlineStr">
        <is>
          <t>PCTC</t>
        </is>
      </c>
      <c r="M171" s="141" t="inlineStr">
        <is>
          <t xml:space="preserve"> #N/A </t>
        </is>
      </c>
      <c r="N171" s="141" t="e">
        <v>#N/A</v>
      </c>
      <c r="O171" s="95" t="e">
        <v>#N/A</v>
      </c>
      <c r="P171" s="123" t="inlineStr">
        <is>
          <t xml:space="preserve">#N/A </t>
        </is>
      </c>
    </row>
    <row r="172">
      <c r="A172" s="95" t="inlineStr">
        <is>
          <t>Glovis LightHouse</t>
        </is>
      </c>
      <c r="D172" s="95">
        <f>IF(OR(ISNUMBER(SEARCH("Pre Delivery",E172)),ISNUMBER(SEARCH("Pre-Delivery",E172)),ISNUMBER(SEARCH("Predelivery",E172)),ISNUMBER(SEARCH("PD -",E172)),ISNUMBER(SEARCH("PD Lubes",E172))),"Pre-Delivery","")</f>
        <v/>
      </c>
      <c r="E172" s="141" t="inlineStr">
        <is>
          <t>Iron Test Kit from CMT</t>
        </is>
      </c>
      <c r="F172" s="141" t="inlineStr">
        <is>
          <t>BWTS Spares</t>
        </is>
      </c>
      <c r="H172" s="141" t="inlineStr">
        <is>
          <t>Stores</t>
        </is>
      </c>
      <c r="I172" s="107" t="n"/>
      <c r="J172" s="108" t="n"/>
      <c r="K172" s="108" t="n"/>
      <c r="L172" s="141" t="inlineStr">
        <is>
          <t>PCTC</t>
        </is>
      </c>
      <c r="M172" s="141" t="inlineStr">
        <is>
          <t xml:space="preserve"> #N/A </t>
        </is>
      </c>
      <c r="N172" s="141" t="e">
        <v>#N/A</v>
      </c>
      <c r="O172" s="95" t="e">
        <v>#N/A</v>
      </c>
      <c r="P172" s="123" t="inlineStr">
        <is>
          <t xml:space="preserve">#N/A </t>
        </is>
      </c>
    </row>
    <row r="173" ht="18" customHeight="1">
      <c r="A173" s="95" t="inlineStr">
        <is>
          <t>Glovis LightHouse</t>
        </is>
      </c>
      <c r="D173" s="95">
        <f>IF(OR(ISNUMBER(SEARCH("Pre Delivery",E173)),ISNUMBER(SEARCH("Pre-Delivery",E173)),ISNUMBER(SEARCH("Predelivery",E173)),ISNUMBER(SEARCH("PD -",E173)),ISNUMBER(SEARCH("PD Lubes",E173))),"Pre-Delivery","")</f>
        <v/>
      </c>
      <c r="E173" s="141" t="inlineStr">
        <is>
          <t>Oil Test Kit</t>
        </is>
      </c>
      <c r="F173" s="141" t="inlineStr">
        <is>
          <t>Gas Detection System</t>
        </is>
      </c>
      <c r="H173" s="141" t="inlineStr">
        <is>
          <t>Stores</t>
        </is>
      </c>
      <c r="I173" s="107" t="n"/>
      <c r="J173" s="108" t="n"/>
      <c r="K173" s="108" t="n"/>
      <c r="L173" s="141" t="inlineStr">
        <is>
          <t>PCTC</t>
        </is>
      </c>
      <c r="M173" s="141" t="inlineStr">
        <is>
          <t xml:space="preserve"> #N/A </t>
        </is>
      </c>
      <c r="N173" s="141" t="e">
        <v>#N/A</v>
      </c>
      <c r="O173" s="95" t="e">
        <v>#N/A</v>
      </c>
      <c r="P173" s="123" t="inlineStr">
        <is>
          <t xml:space="preserve">#N/A </t>
        </is>
      </c>
    </row>
    <row r="174" ht="38.25" customFormat="1" customHeight="1" s="100" thickBot="1">
      <c r="A174" s="98" t="n"/>
      <c r="B174" s="142" t="n"/>
      <c r="C174" s="142" t="n"/>
      <c r="D174" s="98">
        <f>IF(OR(ISNUMBER(SEARCH("Pre Delivery",E174)),ISNUMBER(SEARCH("Pre-Delivery",E174)),ISNUMBER(SEARCH("Predelivery",E174)),ISNUMBER(SEARCH("PD -",E174)),ISNUMBER(SEARCH("PD Lubes",E174))),"Pre-Delivery","")</f>
        <v/>
      </c>
      <c r="E174" s="142" t="inlineStr">
        <is>
          <t>Manuals for all equipment- priority for BWTS, STP, OWS, EMGCY AC, EMCY GEN</t>
        </is>
      </c>
      <c r="F174" s="142" t="inlineStr">
        <is>
          <t>IT Equipment - ITBP Lab Kit</t>
        </is>
      </c>
      <c r="G174" s="142" t="n"/>
      <c r="H174" s="142" t="inlineStr">
        <is>
          <t>Others</t>
        </is>
      </c>
      <c r="I174" s="109" t="n"/>
      <c r="J174" s="110" t="n"/>
      <c r="K174" s="111" t="n"/>
      <c r="L174" s="142" t="inlineStr">
        <is>
          <t>PCTC</t>
        </is>
      </c>
      <c r="M174" s="142" t="inlineStr">
        <is>
          <t xml:space="preserve">#N/A </t>
        </is>
      </c>
      <c r="N174" s="142" t="inlineStr">
        <is>
          <t xml:space="preserve">#N/A </t>
        </is>
      </c>
      <c r="O174" s="142" t="inlineStr">
        <is>
          <t xml:space="preserve">#N/A </t>
        </is>
      </c>
      <c r="P174" s="123" t="inlineStr">
        <is>
          <t xml:space="preserve">#N/A </t>
        </is>
      </c>
    </row>
    <row r="175">
      <c r="A175" s="95" t="inlineStr">
        <is>
          <t>Glovis Lander</t>
        </is>
      </c>
      <c r="C175" s="141" t="inlineStr">
        <is>
          <t>GLAN-60031/26-1</t>
        </is>
      </c>
      <c r="D175" s="95">
        <f>IF(OR(ISNUMBER(SEARCH("Pre Delivery",E175)),ISNUMBER(SEARCH("Pre-Delivery",E175)),ISNUMBER(SEARCH("Predelivery",E175)),ISNUMBER(SEARCH("PD -",E175)),ISNUMBER(SEARCH("PD Lubes",E175))),"Pre-Delivery","")</f>
        <v/>
      </c>
      <c r="E175" s="141" t="inlineStr">
        <is>
          <t>Reliabiltiy Spares - Gas Detection System</t>
        </is>
      </c>
      <c r="F175" s="141" t="inlineStr">
        <is>
          <t>Communications - VLINK</t>
        </is>
      </c>
      <c r="H175" s="141" t="inlineStr">
        <is>
          <t>Spares</t>
        </is>
      </c>
      <c r="I175" s="95" t="inlineStr">
        <is>
          <t>Pending Delivery</t>
        </is>
      </c>
      <c r="J175" s="105" t="n">
        <v>46087</v>
      </c>
      <c r="K175" s="108" t="n"/>
      <c r="L175" s="141" t="inlineStr">
        <is>
          <t>PCTC</t>
        </is>
      </c>
      <c r="M175" s="108" t="inlineStr">
        <is>
          <t xml:space="preserve">#N/A </t>
        </is>
      </c>
      <c r="N175" s="108" t="inlineStr">
        <is>
          <t xml:space="preserve">#N/A </t>
        </is>
      </c>
      <c r="O175" s="108" t="inlineStr">
        <is>
          <t xml:space="preserve">#N/A </t>
        </is>
      </c>
      <c r="P175" s="123" t="inlineStr">
        <is>
          <t xml:space="preserve">#N/A </t>
        </is>
      </c>
    </row>
    <row r="176">
      <c r="A176" s="95" t="inlineStr">
        <is>
          <t>Glovis Lander</t>
        </is>
      </c>
      <c r="C176" s="141" t="inlineStr">
        <is>
          <t>GLAN-60024/26-1</t>
        </is>
      </c>
      <c r="D176" s="95">
        <f>IF(OR(ISNUMBER(SEARCH("Pre Delivery",E176)),ISNUMBER(SEARCH("Pre-Delivery",E176)),ISNUMBER(SEARCH("Predelivery",E176)),ISNUMBER(SEARCH("PD -",E176)),ISNUMBER(SEARCH("PD Lubes",E176))),"Pre-Delivery","")</f>
        <v/>
      </c>
      <c r="E176" s="141" t="inlineStr">
        <is>
          <t>FS-ITBP MISC LAB KIT</t>
        </is>
      </c>
      <c r="F176" s="141" t="inlineStr">
        <is>
          <t>Navigation - HiNAS SVM</t>
        </is>
      </c>
      <c r="H176" s="141" t="inlineStr">
        <is>
          <t>Others</t>
        </is>
      </c>
      <c r="I176" s="95" t="inlineStr">
        <is>
          <t>Pending Delivery</t>
        </is>
      </c>
      <c r="J176" s="105" t="n">
        <v>46077</v>
      </c>
      <c r="K176" s="108" t="n"/>
      <c r="L176" s="141" t="inlineStr">
        <is>
          <t>PCTC</t>
        </is>
      </c>
      <c r="M176" s="108" t="inlineStr">
        <is>
          <t xml:space="preserve">#N/A </t>
        </is>
      </c>
      <c r="N176" s="108" t="inlineStr">
        <is>
          <t xml:space="preserve">#N/A </t>
        </is>
      </c>
      <c r="O176" s="108" t="inlineStr">
        <is>
          <t xml:space="preserve">#N/A </t>
        </is>
      </c>
      <c r="P176" s="123" t="inlineStr">
        <is>
          <t xml:space="preserve">#N/A </t>
        </is>
      </c>
    </row>
    <row r="177">
      <c r="A177" s="95" t="inlineStr">
        <is>
          <t>Glovis Lander</t>
        </is>
      </c>
      <c r="C177" s="141" t="inlineStr">
        <is>
          <t>GLAN-60004/26-1</t>
        </is>
      </c>
      <c r="D177" s="95">
        <f>IF(OR(ISNUMBER(SEARCH("Pre Delivery",E177)),ISNUMBER(SEARCH("Pre-Delivery",E177)),ISNUMBER(SEARCH("Predelivery",E177)),ISNUMBER(SEARCH("PD -",E177)),ISNUMBER(SEARCH("PD Lubes",E177))),"Pre-Delivery","")</f>
        <v/>
      </c>
      <c r="E177" s="141" t="inlineStr">
        <is>
          <t>FS-VLINK-2411005</t>
        </is>
      </c>
      <c r="F177" s="141" t="inlineStr">
        <is>
          <t>Garbage Compactor</t>
        </is>
      </c>
      <c r="H177" s="141" t="inlineStr">
        <is>
          <t>Others</t>
        </is>
      </c>
      <c r="I177" s="95" t="inlineStr">
        <is>
          <t>Pending Delivery</t>
        </is>
      </c>
      <c r="J177" s="105" t="n">
        <v>46041</v>
      </c>
      <c r="K177" s="108" t="n"/>
      <c r="L177" s="141" t="inlineStr">
        <is>
          <t>PCTC</t>
        </is>
      </c>
      <c r="M177" s="108" t="inlineStr">
        <is>
          <t xml:space="preserve">#N/A </t>
        </is>
      </c>
      <c r="N177" s="108" t="inlineStr">
        <is>
          <t xml:space="preserve">#N/A </t>
        </is>
      </c>
      <c r="O177" s="108" t="inlineStr">
        <is>
          <t xml:space="preserve">#N/A </t>
        </is>
      </c>
      <c r="P177" s="123" t="inlineStr">
        <is>
          <t xml:space="preserve">#N/A </t>
        </is>
      </c>
    </row>
    <row r="178">
      <c r="A178" s="95" t="inlineStr">
        <is>
          <t>Glovis Lander</t>
        </is>
      </c>
      <c r="C178" s="141" t="inlineStr">
        <is>
          <t>GLAN-60022/26-1</t>
        </is>
      </c>
      <c r="D178" s="95">
        <f>IF(OR(ISNUMBER(SEARCH("Pre Delivery",E178)),ISNUMBER(SEARCH("Pre-Delivery",E178)),ISNUMBER(SEARCH("Predelivery",E178)),ISNUMBER(SEARCH("PD -",E178)),ISNUMBER(SEARCH("PD Lubes",E178))),"Pre-Delivery","")</f>
        <v/>
      </c>
      <c r="E178" s="141" t="inlineStr">
        <is>
          <t>Shipyard Extra Buyer Supply - Hinas SVM SEASPAN 10.8K PCTC</t>
        </is>
      </c>
      <c r="F178" s="141" t="inlineStr">
        <is>
          <t>IT Equipment - X10 System</t>
        </is>
      </c>
      <c r="H178" s="141" t="inlineStr">
        <is>
          <t>Spares</t>
        </is>
      </c>
      <c r="I178" s="95" t="inlineStr">
        <is>
          <t>Pending Delivery</t>
        </is>
      </c>
      <c r="J178" s="105" t="n">
        <v>46070</v>
      </c>
      <c r="K178" s="108" t="n"/>
      <c r="L178" s="141" t="inlineStr">
        <is>
          <t>PCTC</t>
        </is>
      </c>
      <c r="M178" s="108" t="inlineStr">
        <is>
          <t xml:space="preserve">#N/A </t>
        </is>
      </c>
      <c r="N178" s="108" t="inlineStr">
        <is>
          <t xml:space="preserve">#N/A </t>
        </is>
      </c>
      <c r="O178" s="108" t="inlineStr">
        <is>
          <t xml:space="preserve">#N/A </t>
        </is>
      </c>
      <c r="P178" s="123" t="inlineStr">
        <is>
          <t xml:space="preserve">#N/A </t>
        </is>
      </c>
    </row>
    <row r="179">
      <c r="A179" s="95" t="inlineStr">
        <is>
          <t>Glovis Lander</t>
        </is>
      </c>
      <c r="C179" s="141" t="inlineStr">
        <is>
          <t>GLAN-60017/26-1</t>
        </is>
      </c>
      <c r="D179" s="95">
        <f>IF(OR(ISNUMBER(SEARCH("Pre Delivery",E179)),ISNUMBER(SEARCH("Pre-Delivery",E179)),ISNUMBER(SEARCH("Predelivery",E179)),ISNUMBER(SEARCH("PD -",E179)),ISNUMBER(SEARCH("PD Lubes",E179))),"Pre-Delivery","")</f>
        <v/>
      </c>
      <c r="E179" s="141" t="inlineStr">
        <is>
          <t>Pre Delivery - Garbage Compactor</t>
        </is>
      </c>
      <c r="F179" s="141" t="inlineStr">
        <is>
          <t>IT Equipment - Interface / Integration</t>
        </is>
      </c>
      <c r="H179" s="141" t="inlineStr">
        <is>
          <t>Spares</t>
        </is>
      </c>
      <c r="I179" s="95" t="inlineStr">
        <is>
          <t>Delivered</t>
        </is>
      </c>
      <c r="J179" s="105" t="n">
        <v>46059</v>
      </c>
      <c r="K179" s="108" t="n"/>
      <c r="L179" s="141" t="inlineStr">
        <is>
          <t>PCTC</t>
        </is>
      </c>
      <c r="M179" s="108" t="inlineStr">
        <is>
          <t xml:space="preserve">#N/A </t>
        </is>
      </c>
      <c r="N179" s="108" t="inlineStr">
        <is>
          <t xml:space="preserve">#N/A </t>
        </is>
      </c>
      <c r="O179" s="108" t="inlineStr">
        <is>
          <t xml:space="preserve">#N/A </t>
        </is>
      </c>
      <c r="P179" s="123" t="inlineStr">
        <is>
          <t xml:space="preserve">#N/A </t>
        </is>
      </c>
    </row>
    <row r="180">
      <c r="A180" s="95" t="inlineStr">
        <is>
          <t>Glovis Lander</t>
        </is>
      </c>
      <c r="C180" s="141" t="inlineStr">
        <is>
          <t>GLAN-60007/26-1</t>
        </is>
      </c>
      <c r="D180" s="95">
        <f>IF(OR(ISNUMBER(SEARCH("Pre Delivery",E180)),ISNUMBER(SEARCH("Pre-Delivery",E180)),ISNUMBER(SEARCH("Predelivery",E180)),ISNUMBER(SEARCH("PD -",E180)),ISNUMBER(SEARCH("PD Lubes",E180))),"Pre-Delivery","")</f>
        <v/>
      </c>
      <c r="E180" s="141" t="inlineStr">
        <is>
          <t>FS-X10-LANDER</t>
        </is>
      </c>
      <c r="F180" s="141" t="inlineStr">
        <is>
          <t>Lubricants</t>
        </is>
      </c>
      <c r="H180" s="141" t="inlineStr">
        <is>
          <t>Others</t>
        </is>
      </c>
      <c r="I180" s="95" t="inlineStr">
        <is>
          <t>Pending Delivery</t>
        </is>
      </c>
      <c r="J180" s="105" t="n">
        <v>46043</v>
      </c>
      <c r="K180" s="108" t="n"/>
      <c r="L180" s="141" t="inlineStr">
        <is>
          <t>PCTC</t>
        </is>
      </c>
      <c r="M180" s="108" t="inlineStr">
        <is>
          <t xml:space="preserve">#N/A </t>
        </is>
      </c>
      <c r="N180" s="108" t="inlineStr">
        <is>
          <t xml:space="preserve">#N/A </t>
        </is>
      </c>
      <c r="O180" s="108" t="inlineStr">
        <is>
          <t xml:space="preserve">#N/A </t>
        </is>
      </c>
      <c r="P180" s="123" t="inlineStr">
        <is>
          <t xml:space="preserve">#N/A </t>
        </is>
      </c>
    </row>
    <row r="181">
      <c r="A181" s="95" t="inlineStr">
        <is>
          <t>Glovis Lander</t>
        </is>
      </c>
      <c r="C181" s="141" t="inlineStr">
        <is>
          <t>GLAN-60002/26-1</t>
        </is>
      </c>
      <c r="D181" s="95">
        <f>IF(OR(ISNUMBER(SEARCH("Pre Delivery",E181)),ISNUMBER(SEARCH("Pre-Delivery",E181)),ISNUMBER(SEARCH("Predelivery",E181)),ISNUMBER(SEARCH("PD -",E181)),ISNUMBER(SEARCH("PD Lubes",E181))),"Pre-Delivery","")</f>
        <v/>
      </c>
      <c r="E181" s="141" t="inlineStr">
        <is>
          <t>Interface PO -24110005</t>
        </is>
      </c>
      <c r="F181" s="141" t="inlineStr">
        <is>
          <t>Lubricants</t>
        </is>
      </c>
      <c r="H181" s="141" t="inlineStr">
        <is>
          <t>Others</t>
        </is>
      </c>
      <c r="I181" s="95" t="inlineStr">
        <is>
          <t>Pending Delivery</t>
        </is>
      </c>
      <c r="J181" s="105" t="n">
        <v>46036</v>
      </c>
      <c r="K181" s="108" t="n"/>
      <c r="L181" s="141" t="inlineStr">
        <is>
          <t>PCTC</t>
        </is>
      </c>
      <c r="M181" s="108" t="inlineStr">
        <is>
          <t xml:space="preserve">#N/A </t>
        </is>
      </c>
      <c r="N181" s="108" t="inlineStr">
        <is>
          <t xml:space="preserve">#N/A </t>
        </is>
      </c>
      <c r="O181" s="108" t="inlineStr">
        <is>
          <t xml:space="preserve">#N/A </t>
        </is>
      </c>
      <c r="P181" s="123" t="inlineStr">
        <is>
          <t xml:space="preserve">#N/A </t>
        </is>
      </c>
    </row>
    <row r="182">
      <c r="A182" s="95" t="inlineStr">
        <is>
          <t>Glovis Lander</t>
        </is>
      </c>
      <c r="C182" s="141" t="inlineStr">
        <is>
          <t>GLAN-60012/26-1</t>
        </is>
      </c>
      <c r="D182" s="95">
        <f>IF(OR(ISNUMBER(SEARCH("Pre Delivery",E182)),ISNUMBER(SEARCH("Pre-Delivery",E182)),ISNUMBER(SEARCH("Predelivery",E182)),ISNUMBER(SEARCH("PD -",E182)),ISNUMBER(SEARCH("PD Lubes",E182))),"Pre-Delivery","")</f>
        <v/>
      </c>
      <c r="E182" s="141" t="inlineStr">
        <is>
          <t>Predelivery - Additional Grades</t>
        </is>
      </c>
      <c r="F182" s="141" t="inlineStr">
        <is>
          <t>Fire Detection System</t>
        </is>
      </c>
      <c r="H182" s="141" t="inlineStr">
        <is>
          <t>Lube Oil</t>
        </is>
      </c>
      <c r="I182" s="95" t="inlineStr">
        <is>
          <t>Pending Delivery</t>
        </is>
      </c>
      <c r="J182" s="105" t="n">
        <v>46045</v>
      </c>
      <c r="K182" s="108" t="n"/>
      <c r="L182" s="141" t="inlineStr">
        <is>
          <t>PCTC</t>
        </is>
      </c>
      <c r="M182" s="108" t="inlineStr">
        <is>
          <t xml:space="preserve">#N/A </t>
        </is>
      </c>
      <c r="N182" s="108" t="inlineStr">
        <is>
          <t xml:space="preserve">#N/A </t>
        </is>
      </c>
      <c r="O182" s="108" t="inlineStr">
        <is>
          <t xml:space="preserve">#N/A </t>
        </is>
      </c>
      <c r="P182" s="123" t="inlineStr">
        <is>
          <t xml:space="preserve">#N/A </t>
        </is>
      </c>
    </row>
    <row r="183">
      <c r="A183" s="95" t="inlineStr">
        <is>
          <t>Glovis Lander</t>
        </is>
      </c>
      <c r="C183" s="141" t="inlineStr">
        <is>
          <t>GLAN-60026/26-1</t>
        </is>
      </c>
      <c r="D183" s="95">
        <f>IF(OR(ISNUMBER(SEARCH("Pre Delivery",E183)),ISNUMBER(SEARCH("Pre-Delivery",E183)),ISNUMBER(SEARCH("Predelivery",E183)),ISNUMBER(SEARCH("PD -",E183)),ISNUMBER(SEARCH("PD Lubes",E183))),"Pre-Delivery","")</f>
        <v/>
      </c>
      <c r="E183" s="141" t="inlineStr">
        <is>
          <t>Predelivery Lubes - Order # 2 (5713853485)</t>
        </is>
      </c>
      <c r="F183" s="141" t="inlineStr">
        <is>
          <t>IT Equipment - ITBP Additional Items</t>
        </is>
      </c>
      <c r="H183" s="141" t="inlineStr">
        <is>
          <t>Lube Oil</t>
        </is>
      </c>
      <c r="I183" s="95" t="inlineStr">
        <is>
          <t>Delivered</t>
        </is>
      </c>
      <c r="J183" s="105" t="n">
        <v>46083</v>
      </c>
      <c r="K183" s="108" t="n"/>
      <c r="L183" s="141" t="inlineStr">
        <is>
          <t>PCTC</t>
        </is>
      </c>
      <c r="M183" s="108" t="inlineStr">
        <is>
          <t xml:space="preserve">#N/A </t>
        </is>
      </c>
      <c r="N183" s="108" t="inlineStr">
        <is>
          <t xml:space="preserve">#N/A </t>
        </is>
      </c>
      <c r="O183" s="108" t="inlineStr">
        <is>
          <t xml:space="preserve">#N/A </t>
        </is>
      </c>
      <c r="P183" s="123" t="inlineStr">
        <is>
          <t xml:space="preserve">#N/A </t>
        </is>
      </c>
    </row>
    <row r="184">
      <c r="A184" s="95" t="inlineStr">
        <is>
          <t>Glovis Lander</t>
        </is>
      </c>
      <c r="C184" s="141" t="inlineStr">
        <is>
          <t>GLAN-60032/26-1</t>
        </is>
      </c>
      <c r="D184" s="95">
        <f>IF(OR(ISNUMBER(SEARCH("Pre Delivery",E184)),ISNUMBER(SEARCH("Pre-Delivery",E184)),ISNUMBER(SEARCH("Predelivery",E184)),ISNUMBER(SEARCH("PD -",E184)),ISNUMBER(SEARCH("PD Lubes",E184))),"Pre-Delivery","")</f>
        <v/>
      </c>
      <c r="E184" s="141" t="inlineStr">
        <is>
          <t>Reliability Spares - Fire detection system</t>
        </is>
      </c>
      <c r="F184" s="141" t="inlineStr">
        <is>
          <t>LNG Bunkering Equipment</t>
        </is>
      </c>
      <c r="H184" s="141" t="inlineStr">
        <is>
          <t>Spares</t>
        </is>
      </c>
      <c r="I184" s="95" t="inlineStr">
        <is>
          <t>Pending Delivery</t>
        </is>
      </c>
      <c r="J184" s="105" t="n">
        <v>46087</v>
      </c>
      <c r="K184" s="108" t="n"/>
      <c r="L184" s="141" t="inlineStr">
        <is>
          <t>PCTC</t>
        </is>
      </c>
      <c r="M184" s="108" t="inlineStr">
        <is>
          <t xml:space="preserve">#N/A </t>
        </is>
      </c>
      <c r="N184" s="108" t="inlineStr">
        <is>
          <t xml:space="preserve">#N/A </t>
        </is>
      </c>
      <c r="O184" s="108" t="inlineStr">
        <is>
          <t xml:space="preserve">#N/A </t>
        </is>
      </c>
      <c r="P184" s="123" t="inlineStr">
        <is>
          <t xml:space="preserve">#N/A </t>
        </is>
      </c>
    </row>
    <row r="185">
      <c r="A185" s="95" t="inlineStr">
        <is>
          <t>Glovis Lander</t>
        </is>
      </c>
      <c r="C185" s="141" t="inlineStr">
        <is>
          <t>GLAN-60023/26-1</t>
        </is>
      </c>
      <c r="D185" s="95">
        <f>IF(OR(ISNUMBER(SEARCH("Pre Delivery",E185)),ISNUMBER(SEARCH("Pre-Delivery",E185)),ISNUMBER(SEARCH("Predelivery",E185)),ISNUMBER(SEARCH("PD -",E185)),ISNUMBER(SEARCH("PD Lubes",E185))),"Pre-Delivery","")</f>
        <v/>
      </c>
      <c r="E185" s="141" t="inlineStr">
        <is>
          <t>FS-ITBP Additional Item</t>
        </is>
      </c>
      <c r="F185" s="141" t="inlineStr">
        <is>
          <t>Navigation - Captains Eye</t>
        </is>
      </c>
      <c r="H185" s="141" t="inlineStr">
        <is>
          <t>Others</t>
        </is>
      </c>
      <c r="I185" s="95" t="inlineStr">
        <is>
          <t>Pending Delivery</t>
        </is>
      </c>
      <c r="J185" s="105" t="n">
        <v>46072</v>
      </c>
      <c r="K185" s="108" t="n"/>
      <c r="L185" s="141" t="inlineStr">
        <is>
          <t>PCTC</t>
        </is>
      </c>
      <c r="M185" s="108" t="inlineStr">
        <is>
          <t xml:space="preserve">#N/A </t>
        </is>
      </c>
      <c r="N185" s="108" t="inlineStr">
        <is>
          <t xml:space="preserve">#N/A </t>
        </is>
      </c>
      <c r="O185" s="108" t="inlineStr">
        <is>
          <t xml:space="preserve">#N/A </t>
        </is>
      </c>
      <c r="P185" s="123" t="inlineStr">
        <is>
          <t xml:space="preserve">#N/A </t>
        </is>
      </c>
    </row>
    <row r="186">
      <c r="A186" s="95" t="inlineStr">
        <is>
          <t>Glovis Lander</t>
        </is>
      </c>
      <c r="C186" s="141" t="inlineStr">
        <is>
          <t>GLAN-60033/26-1</t>
        </is>
      </c>
      <c r="D186" s="95">
        <f>IF(OR(ISNUMBER(SEARCH("Pre Delivery",E186)),ISNUMBER(SEARCH("Pre-Delivery",E186)),ISNUMBER(SEARCH("Predelivery",E186)),ISNUMBER(SEARCH("PD -",E186)),ISNUMBER(SEARCH("PD Lubes",E186))),"Pre-Delivery","")</f>
        <v/>
      </c>
      <c r="E186" s="141" t="inlineStr">
        <is>
          <t>Pre Delivery - LNG Bunkering Equipment</t>
        </is>
      </c>
      <c r="F186" s="141" t="inlineStr">
        <is>
          <t>IT Equipment - Sihui Marine</t>
        </is>
      </c>
      <c r="H186" s="141" t="inlineStr">
        <is>
          <t>Spares</t>
        </is>
      </c>
      <c r="I186" s="95" t="inlineStr">
        <is>
          <t>Pending Delivery</t>
        </is>
      </c>
      <c r="J186" s="97" t="n">
        <v>46100</v>
      </c>
      <c r="K186" s="108" t="n"/>
      <c r="L186" s="141" t="inlineStr">
        <is>
          <t>PCTC</t>
        </is>
      </c>
      <c r="M186" s="108" t="inlineStr">
        <is>
          <t xml:space="preserve">#N/A </t>
        </is>
      </c>
      <c r="N186" s="108" t="inlineStr">
        <is>
          <t xml:space="preserve">#N/A </t>
        </is>
      </c>
      <c r="O186" s="108" t="inlineStr">
        <is>
          <t xml:space="preserve">#N/A </t>
        </is>
      </c>
      <c r="P186" s="123" t="inlineStr">
        <is>
          <t xml:space="preserve">#N/A </t>
        </is>
      </c>
    </row>
    <row r="187">
      <c r="A187" s="95" t="inlineStr">
        <is>
          <t>Glovis Lander</t>
        </is>
      </c>
      <c r="C187" s="141" t="inlineStr">
        <is>
          <t>GLAN-60001/26-1</t>
        </is>
      </c>
      <c r="D187" s="95">
        <f>IF(OR(ISNUMBER(SEARCH("Pre Delivery",E187)),ISNUMBER(SEARCH("Pre-Delivery",E187)),ISNUMBER(SEARCH("Predelivery",E187)),ISNUMBER(SEARCH("PD -",E187)),ISNUMBER(SEARCH("PD Lubes",E187))),"Pre-Delivery","")</f>
        <v/>
      </c>
      <c r="E187" s="141" t="inlineStr">
        <is>
          <t>Shipyard Extra Owner supply - Captains Eye</t>
        </is>
      </c>
      <c r="F187" s="141" t="inlineStr">
        <is>
          <t>Lubricants</t>
        </is>
      </c>
      <c r="H187" s="141" t="inlineStr">
        <is>
          <t>Spares</t>
        </is>
      </c>
      <c r="I187" s="95" t="inlineStr">
        <is>
          <t>Pending Delivery</t>
        </is>
      </c>
      <c r="J187" s="105" t="n">
        <v>46037</v>
      </c>
      <c r="K187" s="108" t="n"/>
      <c r="L187" s="141" t="inlineStr">
        <is>
          <t>PCTC</t>
        </is>
      </c>
      <c r="M187" s="108" t="inlineStr">
        <is>
          <t xml:space="preserve">#N/A </t>
        </is>
      </c>
      <c r="N187" s="108" t="inlineStr">
        <is>
          <t xml:space="preserve">#N/A </t>
        </is>
      </c>
      <c r="O187" s="108" t="inlineStr">
        <is>
          <t xml:space="preserve">#N/A </t>
        </is>
      </c>
      <c r="P187" s="123" t="inlineStr">
        <is>
          <t xml:space="preserve">#N/A </t>
        </is>
      </c>
    </row>
    <row r="188">
      <c r="A188" s="95" t="inlineStr">
        <is>
          <t>Glovis Lander</t>
        </is>
      </c>
      <c r="C188" s="141" t="inlineStr">
        <is>
          <t>GLAN-60010/26-1</t>
        </is>
      </c>
      <c r="D188" s="95">
        <f>IF(OR(ISNUMBER(SEARCH("Pre Delivery",E188)),ISNUMBER(SEARCH("Pre-Delivery",E188)),ISNUMBER(SEARCH("Predelivery",E188)),ISNUMBER(SEARCH("PD -",E188)),ISNUMBER(SEARCH("PD Lubes",E188))),"Pre-Delivery","")</f>
        <v/>
      </c>
      <c r="E188" s="141" t="inlineStr">
        <is>
          <t>FS-SIHUI-lander</t>
        </is>
      </c>
      <c r="F188" s="141" t="inlineStr">
        <is>
          <t>Tripods &amp; Spray Pipes</t>
        </is>
      </c>
      <c r="H188" s="141" t="inlineStr">
        <is>
          <t>Others</t>
        </is>
      </c>
      <c r="I188" s="95" t="inlineStr">
        <is>
          <t>Pending Delivery</t>
        </is>
      </c>
      <c r="J188" s="105" t="n">
        <v>46048</v>
      </c>
      <c r="K188" s="108" t="n"/>
      <c r="L188" s="141" t="inlineStr">
        <is>
          <t>PCTC</t>
        </is>
      </c>
      <c r="M188" s="108" t="inlineStr">
        <is>
          <t xml:space="preserve">#N/A </t>
        </is>
      </c>
      <c r="N188" s="108" t="inlineStr">
        <is>
          <t xml:space="preserve">#N/A </t>
        </is>
      </c>
      <c r="O188" s="108" t="inlineStr">
        <is>
          <t xml:space="preserve">#N/A </t>
        </is>
      </c>
      <c r="P188" s="123" t="inlineStr">
        <is>
          <t xml:space="preserve">#N/A </t>
        </is>
      </c>
    </row>
    <row r="189">
      <c r="A189" s="95" t="inlineStr">
        <is>
          <t>Glovis Lander</t>
        </is>
      </c>
      <c r="C189" s="141" t="inlineStr">
        <is>
          <t>GLAN-60025/26-1</t>
        </is>
      </c>
      <c r="D189" s="95">
        <f>IF(OR(ISNUMBER(SEARCH("Pre Delivery",E189)),ISNUMBER(SEARCH("Pre-Delivery",E189)),ISNUMBER(SEARCH("Predelivery",E189)),ISNUMBER(SEARCH("PD -",E189)),ISNUMBER(SEARCH("PD Lubes",E189))),"Pre-Delivery","")</f>
        <v/>
      </c>
      <c r="E189" s="141" t="inlineStr">
        <is>
          <t>Pre Delivery - Lubes Order# 3 (5715069528)</t>
        </is>
      </c>
      <c r="F189" s="141" t="inlineStr">
        <is>
          <t>Lubricants</t>
        </is>
      </c>
      <c r="H189" s="141" t="inlineStr">
        <is>
          <t>Lube Oil</t>
        </is>
      </c>
      <c r="I189" s="95" t="inlineStr">
        <is>
          <t>Delivered</t>
        </is>
      </c>
      <c r="J189" s="105" t="n">
        <v>46083</v>
      </c>
      <c r="K189" s="108" t="n"/>
      <c r="L189" s="141" t="inlineStr">
        <is>
          <t>PCTC</t>
        </is>
      </c>
      <c r="M189" s="108" t="inlineStr">
        <is>
          <t xml:space="preserve">#N/A </t>
        </is>
      </c>
      <c r="N189" s="108" t="inlineStr">
        <is>
          <t xml:space="preserve">#N/A </t>
        </is>
      </c>
      <c r="O189" s="108" t="inlineStr">
        <is>
          <t xml:space="preserve">#N/A </t>
        </is>
      </c>
      <c r="P189" s="123" t="inlineStr">
        <is>
          <t xml:space="preserve">#N/A </t>
        </is>
      </c>
    </row>
    <row r="190">
      <c r="A190" s="95" t="inlineStr">
        <is>
          <t>Glovis Lander</t>
        </is>
      </c>
      <c r="C190" s="141" t="inlineStr">
        <is>
          <t>GLAN-60019/26-1</t>
        </is>
      </c>
      <c r="D190" s="95">
        <f>IF(OR(ISNUMBER(SEARCH("Pre Delivery",E190)),ISNUMBER(SEARCH("Pre-Delivery",E190)),ISNUMBER(SEARCH("Predelivery",E190)),ISNUMBER(SEARCH("PD -",E190)),ISNUMBER(SEARCH("PD Lubes",E190))),"Pre-Delivery","")</f>
        <v/>
      </c>
      <c r="E190" s="141" t="inlineStr">
        <is>
          <t>Pre Delivery - Spray Pipes</t>
        </is>
      </c>
      <c r="F190" s="141" t="inlineStr">
        <is>
          <t>Tripods &amp; Spray Pipes</t>
        </is>
      </c>
      <c r="H190" s="141" t="inlineStr">
        <is>
          <t>Spares</t>
        </is>
      </c>
      <c r="I190" s="95" t="inlineStr">
        <is>
          <t>Delivered</t>
        </is>
      </c>
      <c r="J190" s="105" t="n">
        <v>46059</v>
      </c>
      <c r="K190" s="108" t="n"/>
      <c r="L190" s="141" t="inlineStr">
        <is>
          <t>PCTC</t>
        </is>
      </c>
      <c r="M190" s="108" t="inlineStr">
        <is>
          <t xml:space="preserve">#N/A </t>
        </is>
      </c>
      <c r="N190" s="108" t="inlineStr">
        <is>
          <t xml:space="preserve">#N/A </t>
        </is>
      </c>
      <c r="O190" s="108" t="inlineStr">
        <is>
          <t xml:space="preserve">#N/A </t>
        </is>
      </c>
      <c r="P190" s="123" t="inlineStr">
        <is>
          <t xml:space="preserve">#N/A </t>
        </is>
      </c>
    </row>
    <row r="191">
      <c r="A191" s="95" t="inlineStr">
        <is>
          <t>Glovis Lander</t>
        </is>
      </c>
      <c r="C191" s="141" t="inlineStr">
        <is>
          <t>GLAN-60003/26-1</t>
        </is>
      </c>
      <c r="D191" s="95">
        <f>IF(OR(ISNUMBER(SEARCH("Pre Delivery",E191)),ISNUMBER(SEARCH("Pre-Delivery",E191)),ISNUMBER(SEARCH("Predelivery",E191)),ISNUMBER(SEARCH("PD -",E191)),ISNUMBER(SEARCH("PD Lubes",E191))),"Pre-Delivery","")</f>
        <v/>
      </c>
      <c r="E191" s="141" t="inlineStr">
        <is>
          <t>Pre Delivery - Additional Grade Copco Roto-XtendDuty</t>
        </is>
      </c>
      <c r="F191" s="141" t="inlineStr">
        <is>
          <t>IT Equipment - Computers (Lenovo)</t>
        </is>
      </c>
      <c r="H191" s="141" t="inlineStr">
        <is>
          <t>Lube Oil</t>
        </is>
      </c>
      <c r="I191" s="95" t="inlineStr">
        <is>
          <t>Delivered</t>
        </is>
      </c>
      <c r="J191" s="105" t="n">
        <v>46037</v>
      </c>
      <c r="K191" s="108" t="n"/>
      <c r="L191" s="141" t="inlineStr">
        <is>
          <t>PCTC</t>
        </is>
      </c>
      <c r="M191" s="108" t="inlineStr">
        <is>
          <t xml:space="preserve">#N/A </t>
        </is>
      </c>
      <c r="N191" s="108" t="inlineStr">
        <is>
          <t xml:space="preserve">#N/A </t>
        </is>
      </c>
      <c r="O191" s="108" t="inlineStr">
        <is>
          <t xml:space="preserve">#N/A </t>
        </is>
      </c>
      <c r="P191" s="123" t="inlineStr">
        <is>
          <t xml:space="preserve">#N/A </t>
        </is>
      </c>
    </row>
    <row r="192">
      <c r="A192" s="95" t="inlineStr">
        <is>
          <t>Glovis Lander</t>
        </is>
      </c>
      <c r="C192" s="141" t="inlineStr">
        <is>
          <t>GLAN-60011/26-1</t>
        </is>
      </c>
      <c r="D192" s="95">
        <f>IF(OR(ISNUMBER(SEARCH("Pre Delivery",E192)),ISNUMBER(SEARCH("Pre-Delivery",E192)),ISNUMBER(SEARCH("Predelivery",E192)),ISNUMBER(SEARCH("PD -",E192)),ISNUMBER(SEARCH("PD Lubes",E192))),"Pre-Delivery","")</f>
        <v/>
      </c>
      <c r="E192" s="141" t="inlineStr">
        <is>
          <t>Pre Delivery - Spray Pipes</t>
        </is>
      </c>
      <c r="F192" s="141" t="inlineStr">
        <is>
          <t>IT Equipment - ITBP</t>
        </is>
      </c>
      <c r="H192" s="141" t="inlineStr">
        <is>
          <t>Lube Oil</t>
        </is>
      </c>
      <c r="I192" s="95" t="inlineStr">
        <is>
          <t>Delivered</t>
        </is>
      </c>
      <c r="J192" s="105" t="n">
        <v>46054</v>
      </c>
      <c r="K192" s="108" t="n"/>
      <c r="L192" s="141" t="inlineStr">
        <is>
          <t>PCTC</t>
        </is>
      </c>
      <c r="M192" s="108" t="inlineStr">
        <is>
          <t xml:space="preserve">#N/A </t>
        </is>
      </c>
      <c r="N192" s="108" t="inlineStr">
        <is>
          <t xml:space="preserve">#N/A </t>
        </is>
      </c>
      <c r="O192" s="108" t="inlineStr">
        <is>
          <t xml:space="preserve">#N/A </t>
        </is>
      </c>
      <c r="P192" s="123" t="inlineStr">
        <is>
          <t xml:space="preserve">#N/A </t>
        </is>
      </c>
    </row>
    <row r="193">
      <c r="A193" s="95" t="inlineStr">
        <is>
          <t>Glovis Lander</t>
        </is>
      </c>
      <c r="C193" s="141" t="inlineStr">
        <is>
          <t>GLAN-60020/26-1</t>
        </is>
      </c>
      <c r="D193" s="95">
        <f>IF(OR(ISNUMBER(SEARCH("Pre Delivery",E193)),ISNUMBER(SEARCH("Pre-Delivery",E193)),ISNUMBER(SEARCH("Predelivery",E193)),ISNUMBER(SEARCH("PD -",E193)),ISNUMBER(SEARCH("PD Lubes",E193))),"Pre-Delivery","")</f>
        <v/>
      </c>
      <c r="E193" s="141" t="inlineStr">
        <is>
          <t>FS-LENOVO-Lander</t>
        </is>
      </c>
      <c r="F193" s="141" t="inlineStr">
        <is>
          <t>IT Equipment - Computers (Lenovo)</t>
        </is>
      </c>
      <c r="H193" s="141" t="inlineStr">
        <is>
          <t>Others</t>
        </is>
      </c>
      <c r="I193" s="95" t="inlineStr">
        <is>
          <t>Pending Delivery</t>
        </is>
      </c>
      <c r="J193" s="105" t="n">
        <v>46063</v>
      </c>
      <c r="K193" s="108" t="n"/>
      <c r="L193" s="141" t="inlineStr">
        <is>
          <t>PCTC</t>
        </is>
      </c>
      <c r="M193" s="108" t="inlineStr">
        <is>
          <t xml:space="preserve">#N/A </t>
        </is>
      </c>
      <c r="N193" s="108" t="inlineStr">
        <is>
          <t xml:space="preserve">#N/A </t>
        </is>
      </c>
      <c r="O193" s="108" t="inlineStr">
        <is>
          <t xml:space="preserve">#N/A </t>
        </is>
      </c>
      <c r="P193" s="123" t="inlineStr">
        <is>
          <t xml:space="preserve">#N/A </t>
        </is>
      </c>
    </row>
    <row r="194">
      <c r="A194" s="95" t="inlineStr">
        <is>
          <t>Glovis Lander</t>
        </is>
      </c>
      <c r="C194" s="141" t="inlineStr">
        <is>
          <t>GLAN-60006/26-1</t>
        </is>
      </c>
      <c r="D194" s="95">
        <f>IF(OR(ISNUMBER(SEARCH("Pre Delivery",E194)),ISNUMBER(SEARCH("Pre-Delivery",E194)),ISNUMBER(SEARCH("Predelivery",E194)),ISNUMBER(SEARCH("PD -",E194)),ISNUMBER(SEARCH("PD Lubes",E194))),"Pre-Delivery","")</f>
        <v/>
      </c>
      <c r="E194" s="141" t="inlineStr">
        <is>
          <t>FS-ITBP  -lander</t>
        </is>
      </c>
      <c r="F194" s="141" t="inlineStr">
        <is>
          <t>Communications - VSAT (KVH)</t>
        </is>
      </c>
      <c r="H194" s="141" t="inlineStr">
        <is>
          <t>Others</t>
        </is>
      </c>
      <c r="I194" s="95" t="inlineStr">
        <is>
          <t>Pending Delivery</t>
        </is>
      </c>
      <c r="J194" s="105" t="n">
        <v>46043</v>
      </c>
      <c r="K194" s="108" t="n"/>
      <c r="L194" s="141" t="inlineStr">
        <is>
          <t>PCTC</t>
        </is>
      </c>
      <c r="M194" s="108" t="inlineStr">
        <is>
          <t xml:space="preserve">#N/A </t>
        </is>
      </c>
      <c r="N194" s="108" t="inlineStr">
        <is>
          <t xml:space="preserve">#N/A </t>
        </is>
      </c>
      <c r="O194" s="108" t="inlineStr">
        <is>
          <t xml:space="preserve">#N/A </t>
        </is>
      </c>
      <c r="P194" s="123" t="inlineStr">
        <is>
          <t xml:space="preserve">#N/A </t>
        </is>
      </c>
    </row>
    <row r="195">
      <c r="A195" s="95" t="inlineStr">
        <is>
          <t>Glovis Lander</t>
        </is>
      </c>
      <c r="C195" s="141" t="inlineStr">
        <is>
          <t>GLAN-60034/26-1</t>
        </is>
      </c>
      <c r="D195" s="95">
        <f>IF(OR(ISNUMBER(SEARCH("Pre Delivery",E195)),ISNUMBER(SEARCH("Pre-Delivery",E195)),ISNUMBER(SEARCH("Predelivery",E195)),ISNUMBER(SEARCH("PD -",E195)),ISNUMBER(SEARCH("PD Lubes",E195))),"Pre-Delivery","")</f>
        <v/>
      </c>
      <c r="E195" s="141" t="inlineStr">
        <is>
          <t>Pre Delivery - QCDC</t>
        </is>
      </c>
      <c r="F195" s="141" t="inlineStr">
        <is>
          <t>Lubricants</t>
        </is>
      </c>
      <c r="H195" s="141" t="inlineStr">
        <is>
          <t>Spares</t>
        </is>
      </c>
      <c r="I195" s="95" t="inlineStr">
        <is>
          <t>Pending Delivery</t>
        </is>
      </c>
      <c r="J195" s="105" t="n">
        <v>46087</v>
      </c>
      <c r="K195" s="108" t="n"/>
      <c r="L195" s="141" t="inlineStr">
        <is>
          <t>PCTC</t>
        </is>
      </c>
      <c r="M195" s="108" t="inlineStr">
        <is>
          <t xml:space="preserve">#N/A </t>
        </is>
      </c>
      <c r="N195" s="108" t="inlineStr">
        <is>
          <t xml:space="preserve">#N/A </t>
        </is>
      </c>
      <c r="O195" s="108" t="inlineStr">
        <is>
          <t xml:space="preserve">#N/A </t>
        </is>
      </c>
      <c r="P195" s="123" t="inlineStr">
        <is>
          <t xml:space="preserve">#N/A </t>
        </is>
      </c>
    </row>
    <row r="196">
      <c r="A196" s="95" t="inlineStr">
        <is>
          <t>Glovis Lander</t>
        </is>
      </c>
      <c r="C196" s="141" t="inlineStr">
        <is>
          <t>GLAN-60015/26-1</t>
        </is>
      </c>
      <c r="D196" s="95">
        <f>IF(OR(ISNUMBER(SEARCH("Pre Delivery",E196)),ISNUMBER(SEARCH("Pre-Delivery",E196)),ISNUMBER(SEARCH("Predelivery",E196)),ISNUMBER(SEARCH("PD -",E196)),ISNUMBER(SEARCH("PD Lubes",E196))),"Pre-Delivery","")</f>
        <v/>
      </c>
      <c r="E196" s="141" t="inlineStr">
        <is>
          <t>FS-KVH-LANDER UPDATED</t>
        </is>
      </c>
      <c r="F196" s="141" t="inlineStr">
        <is>
          <t>Communications - VLINK Accessories</t>
        </is>
      </c>
      <c r="H196" s="141" t="inlineStr">
        <is>
          <t>Others</t>
        </is>
      </c>
      <c r="I196" s="95" t="inlineStr">
        <is>
          <t>Pending Delivery</t>
        </is>
      </c>
      <c r="J196" s="105" t="n">
        <v>46045</v>
      </c>
      <c r="K196" s="108" t="n"/>
      <c r="L196" s="141" t="inlineStr">
        <is>
          <t>PCTC</t>
        </is>
      </c>
      <c r="M196" s="108" t="inlineStr">
        <is>
          <t xml:space="preserve">#N/A </t>
        </is>
      </c>
      <c r="N196" s="108" t="inlineStr">
        <is>
          <t xml:space="preserve">#N/A </t>
        </is>
      </c>
      <c r="O196" s="108" t="inlineStr">
        <is>
          <t xml:space="preserve">#N/A </t>
        </is>
      </c>
      <c r="P196" s="123" t="inlineStr">
        <is>
          <t xml:space="preserve">#N/A </t>
        </is>
      </c>
    </row>
    <row r="197">
      <c r="A197" s="95" t="inlineStr">
        <is>
          <t>Glovis Lander</t>
        </is>
      </c>
      <c r="C197" s="141" t="inlineStr">
        <is>
          <t>GLAN-60030/26-1</t>
        </is>
      </c>
      <c r="D197" s="95">
        <f>IF(OR(ISNUMBER(SEARCH("Pre Delivery",E197)),ISNUMBER(SEARCH("Pre-Delivery",E197)),ISNUMBER(SEARCH("Predelivery",E197)),ISNUMBER(SEARCH("PD -",E197)),ISNUMBER(SEARCH("PD Lubes",E197))),"Pre-Delivery","")</f>
        <v/>
      </c>
      <c r="E197" s="141" t="inlineStr">
        <is>
          <t>PD - RSC Envirologic</t>
        </is>
      </c>
      <c r="F197" s="141" t="inlineStr">
        <is>
          <t>IT Equipment - AST</t>
        </is>
      </c>
      <c r="H197" s="141" t="inlineStr">
        <is>
          <t>Spares</t>
        </is>
      </c>
      <c r="I197" s="95" t="inlineStr">
        <is>
          <t>Pending Delivery</t>
        </is>
      </c>
      <c r="K197" s="108" t="n"/>
      <c r="L197" s="141" t="inlineStr">
        <is>
          <t>PCTC</t>
        </is>
      </c>
      <c r="M197" s="108" t="inlineStr">
        <is>
          <t xml:space="preserve">#N/A </t>
        </is>
      </c>
      <c r="N197" s="108" t="inlineStr">
        <is>
          <t xml:space="preserve">#N/A </t>
        </is>
      </c>
      <c r="O197" s="108" t="inlineStr">
        <is>
          <t xml:space="preserve">#N/A </t>
        </is>
      </c>
      <c r="P197" s="123" t="inlineStr">
        <is>
          <t xml:space="preserve">#N/A </t>
        </is>
      </c>
    </row>
    <row r="198">
      <c r="A198" s="95" t="inlineStr">
        <is>
          <t>Glovis Lander</t>
        </is>
      </c>
      <c r="C198" s="141" t="inlineStr">
        <is>
          <t>GLAN-60005/26-1</t>
        </is>
      </c>
      <c r="D198" s="95">
        <f>IF(OR(ISNUMBER(SEARCH("Pre Delivery",E198)),ISNUMBER(SEARCH("Pre-Delivery",E198)),ISNUMBER(SEARCH("Predelivery",E198)),ISNUMBER(SEARCH("PD -",E198)),ISNUMBER(SEARCH("PD Lubes",E198))),"Pre-Delivery","")</f>
        <v/>
      </c>
      <c r="E198" s="141" t="inlineStr">
        <is>
          <t>FS-VLINK-Accessories</t>
        </is>
      </c>
      <c r="F198" s="141" t="inlineStr">
        <is>
          <t>IT Equipment - AST</t>
        </is>
      </c>
      <c r="H198" s="141" t="inlineStr">
        <is>
          <t>Others</t>
        </is>
      </c>
      <c r="I198" s="95" t="inlineStr">
        <is>
          <t>Pending Delivery</t>
        </is>
      </c>
      <c r="J198" s="105" t="n">
        <v>46043</v>
      </c>
      <c r="K198" s="108" t="n"/>
      <c r="L198" s="141" t="inlineStr">
        <is>
          <t>PCTC</t>
        </is>
      </c>
      <c r="M198" s="108" t="inlineStr">
        <is>
          <t xml:space="preserve">#N/A </t>
        </is>
      </c>
      <c r="N198" s="108" t="inlineStr">
        <is>
          <t xml:space="preserve">#N/A </t>
        </is>
      </c>
      <c r="O198" s="108" t="inlineStr">
        <is>
          <t xml:space="preserve">#N/A </t>
        </is>
      </c>
      <c r="P198" s="123" t="inlineStr">
        <is>
          <t xml:space="preserve">#N/A </t>
        </is>
      </c>
    </row>
    <row r="199">
      <c r="A199" s="95" t="inlineStr">
        <is>
          <t>Glovis Lander</t>
        </is>
      </c>
      <c r="C199" s="141" t="inlineStr">
        <is>
          <t>GLAN-60008/26</t>
        </is>
      </c>
      <c r="D199" s="95">
        <f>IF(OR(ISNUMBER(SEARCH("Pre Delivery",E199)),ISNUMBER(SEARCH("Pre-Delivery",E199)),ISNUMBER(SEARCH("Predelivery",E199)),ISNUMBER(SEARCH("PD -",E199)),ISNUMBER(SEARCH("PD Lubes",E199))),"Pre-Delivery","")</f>
        <v/>
      </c>
      <c r="E199" s="141" t="inlineStr">
        <is>
          <t>FS -AST-LANDER</t>
        </is>
      </c>
      <c r="F199" s="141" t="inlineStr">
        <is>
          <t>IT Equipment - Interface / Integration</t>
        </is>
      </c>
      <c r="H199" s="141" t="inlineStr">
        <is>
          <t>Others</t>
        </is>
      </c>
      <c r="I199" s="95" t="inlineStr">
        <is>
          <t>Pending Delivery</t>
        </is>
      </c>
      <c r="J199" s="105" t="n">
        <v>46042</v>
      </c>
      <c r="K199" s="108" t="n"/>
      <c r="L199" s="141" t="inlineStr">
        <is>
          <t>PCTC</t>
        </is>
      </c>
      <c r="M199" s="108" t="inlineStr">
        <is>
          <t xml:space="preserve">#N/A </t>
        </is>
      </c>
      <c r="N199" s="108" t="inlineStr">
        <is>
          <t xml:space="preserve">#N/A </t>
        </is>
      </c>
      <c r="O199" s="108" t="inlineStr">
        <is>
          <t xml:space="preserve">#N/A </t>
        </is>
      </c>
      <c r="P199" s="123" t="inlineStr">
        <is>
          <t xml:space="preserve">#N/A </t>
        </is>
      </c>
    </row>
    <row r="200">
      <c r="A200" s="95" t="inlineStr">
        <is>
          <t>Glovis Lander</t>
        </is>
      </c>
      <c r="C200" s="141" t="inlineStr">
        <is>
          <t>GLAN-60009/26-1</t>
        </is>
      </c>
      <c r="D200" s="95">
        <f>IF(OR(ISNUMBER(SEARCH("Pre Delivery",E200)),ISNUMBER(SEARCH("Pre-Delivery",E200)),ISNUMBER(SEARCH("Predelivery",E200)),ISNUMBER(SEARCH("PD -",E200)),ISNUMBER(SEARCH("PD Lubes",E200))),"Pre-Delivery","")</f>
        <v/>
      </c>
      <c r="E200" s="141" t="inlineStr">
        <is>
          <t>FS -AST-LANDER</t>
        </is>
      </c>
      <c r="F200" s="141" t="inlineStr">
        <is>
          <t>IT Equipment - ITBP Additional Items</t>
        </is>
      </c>
      <c r="H200" s="141" t="inlineStr">
        <is>
          <t>Others</t>
        </is>
      </c>
      <c r="I200" s="95" t="inlineStr">
        <is>
          <t>Pending Delivery</t>
        </is>
      </c>
      <c r="J200" s="105" t="n">
        <v>46043</v>
      </c>
      <c r="K200" s="108" t="n"/>
      <c r="L200" s="141" t="inlineStr">
        <is>
          <t>PCTC</t>
        </is>
      </c>
      <c r="M200" s="108" t="inlineStr">
        <is>
          <t xml:space="preserve">#N/A </t>
        </is>
      </c>
      <c r="N200" s="108" t="inlineStr">
        <is>
          <t xml:space="preserve">#N/A </t>
        </is>
      </c>
      <c r="O200" s="108" t="inlineStr">
        <is>
          <t xml:space="preserve">#N/A </t>
        </is>
      </c>
      <c r="P200" s="123" t="inlineStr">
        <is>
          <t xml:space="preserve">#N/A </t>
        </is>
      </c>
    </row>
    <row r="201">
      <c r="A201" s="95" t="inlineStr">
        <is>
          <t>Glovis Lander</t>
        </is>
      </c>
      <c r="C201" s="141" t="inlineStr">
        <is>
          <t>GLAN-60016/26-1</t>
        </is>
      </c>
      <c r="D201" s="95">
        <f>IF(OR(ISNUMBER(SEARCH("Pre Delivery",E201)),ISNUMBER(SEARCH("Pre-Delivery",E201)),ISNUMBER(SEARCH("Predelivery",E201)),ISNUMBER(SEARCH("PD -",E201)),ISNUMBER(SEARCH("PD Lubes",E201))),"Pre-Delivery","")</f>
        <v/>
      </c>
      <c r="E201" s="141" t="inlineStr">
        <is>
          <t>FS-Interface-Lander</t>
        </is>
      </c>
      <c r="F201" s="141" t="inlineStr">
        <is>
          <t>Oil Skimmers - Abanaki</t>
        </is>
      </c>
      <c r="H201" s="141" t="inlineStr">
        <is>
          <t>Others</t>
        </is>
      </c>
      <c r="I201" s="95" t="inlineStr">
        <is>
          <t>Pending Delivery</t>
        </is>
      </c>
      <c r="J201" s="105" t="n">
        <v>46051</v>
      </c>
      <c r="K201" s="108" t="n"/>
      <c r="L201" s="141" t="inlineStr">
        <is>
          <t>PCTC</t>
        </is>
      </c>
      <c r="M201" s="108" t="inlineStr">
        <is>
          <t xml:space="preserve">#N/A </t>
        </is>
      </c>
      <c r="N201" s="108" t="inlineStr">
        <is>
          <t xml:space="preserve">#N/A </t>
        </is>
      </c>
      <c r="O201" s="108" t="inlineStr">
        <is>
          <t xml:space="preserve">#N/A </t>
        </is>
      </c>
      <c r="P201" s="123" t="inlineStr">
        <is>
          <t xml:space="preserve">#N/A </t>
        </is>
      </c>
    </row>
    <row r="202">
      <c r="A202" s="95" t="inlineStr">
        <is>
          <t>Glovis Lander</t>
        </is>
      </c>
      <c r="C202" s="141" t="inlineStr">
        <is>
          <t>GLAN-60028/26</t>
        </is>
      </c>
      <c r="D202" s="95">
        <f>IF(OR(ISNUMBER(SEARCH("Pre Delivery",E202)),ISNUMBER(SEARCH("Pre-Delivery",E202)),ISNUMBER(SEARCH("Predelivery",E202)),ISNUMBER(SEARCH("PD -",E202)),ISNUMBER(SEARCH("PD Lubes",E202))),"Pre-Delivery","")</f>
        <v/>
      </c>
      <c r="E202" s="141" t="inlineStr">
        <is>
          <t>Reliability Spares - PCTC-Seaspan - Boilers QUOT26012103</t>
        </is>
      </c>
      <c r="F202" s="141" t="inlineStr">
        <is>
          <t>Lubricants</t>
        </is>
      </c>
      <c r="H202" s="141" t="inlineStr">
        <is>
          <t>Spares</t>
        </is>
      </c>
      <c r="I202" s="95" t="inlineStr">
        <is>
          <t>Pending Approval</t>
        </is>
      </c>
      <c r="J202" s="105" t="n">
        <v>46078</v>
      </c>
      <c r="K202" s="108" t="n"/>
      <c r="L202" s="141" t="inlineStr">
        <is>
          <t>PCTC</t>
        </is>
      </c>
      <c r="M202" s="108" t="inlineStr">
        <is>
          <t xml:space="preserve">#N/A </t>
        </is>
      </c>
      <c r="N202" s="108" t="inlineStr">
        <is>
          <t xml:space="preserve">#N/A </t>
        </is>
      </c>
      <c r="O202" s="108" t="inlineStr">
        <is>
          <t xml:space="preserve">#N/A </t>
        </is>
      </c>
      <c r="P202" s="123" t="inlineStr">
        <is>
          <t xml:space="preserve">#N/A </t>
        </is>
      </c>
    </row>
    <row r="203">
      <c r="A203" s="95" t="inlineStr">
        <is>
          <t>Glovis Lander</t>
        </is>
      </c>
      <c r="C203" s="141" t="inlineStr">
        <is>
          <t>GLAN-60018/26-1</t>
        </is>
      </c>
      <c r="D203" s="95">
        <f>IF(OR(ISNUMBER(SEARCH("Pre Delivery",E203)),ISNUMBER(SEARCH("Pre-Delivery",E203)),ISNUMBER(SEARCH("Predelivery",E203)),ISNUMBER(SEARCH("PD -",E203)),ISNUMBER(SEARCH("PD Lubes",E203))),"Pre-Delivery","")</f>
        <v/>
      </c>
      <c r="E203" s="141" t="inlineStr">
        <is>
          <t>SHIPYARD EXTRA OWNER SUPPLY- Abanaki Skimmers</t>
        </is>
      </c>
      <c r="F203" s="141" t="inlineStr">
        <is>
          <t>IT Equipment - ITBP Cables</t>
        </is>
      </c>
      <c r="H203" s="141" t="inlineStr">
        <is>
          <t>Spares</t>
        </is>
      </c>
      <c r="I203" s="95" t="inlineStr">
        <is>
          <t>Pending Delivery</t>
        </is>
      </c>
      <c r="J203" s="105" t="n">
        <v>46065</v>
      </c>
      <c r="K203" s="108" t="n"/>
      <c r="L203" s="141" t="inlineStr">
        <is>
          <t>PCTC</t>
        </is>
      </c>
      <c r="M203" s="108" t="inlineStr">
        <is>
          <t xml:space="preserve">#N/A </t>
        </is>
      </c>
      <c r="N203" s="108" t="inlineStr">
        <is>
          <t xml:space="preserve">#N/A </t>
        </is>
      </c>
      <c r="O203" s="108" t="inlineStr">
        <is>
          <t xml:space="preserve">#N/A </t>
        </is>
      </c>
      <c r="P203" s="123" t="inlineStr">
        <is>
          <t xml:space="preserve">#N/A </t>
        </is>
      </c>
    </row>
    <row r="204">
      <c r="A204" s="95" t="inlineStr">
        <is>
          <t>Glovis Lander</t>
        </is>
      </c>
      <c r="C204" s="141" t="inlineStr">
        <is>
          <t>GLAN-60001/25-2</t>
        </is>
      </c>
      <c r="D204" s="95">
        <f>IF(OR(ISNUMBER(SEARCH("Pre Delivery",E204)),ISNUMBER(SEARCH("Pre-Delivery",E204)),ISNUMBER(SEARCH("Predelivery",E204)),ISNUMBER(SEARCH("PD -",E204)),ISNUMBER(SEARCH("PD Lubes",E204))),"Pre-Delivery","")</f>
        <v/>
      </c>
      <c r="E204" s="141" t="inlineStr">
        <is>
          <t>Lubricants - Pre Delivery</t>
        </is>
      </c>
      <c r="F204" s="141" t="inlineStr">
        <is>
          <t>GVT Electronics</t>
        </is>
      </c>
      <c r="H204" s="141" t="inlineStr">
        <is>
          <t>Lube Oil</t>
        </is>
      </c>
      <c r="I204" s="95" t="inlineStr">
        <is>
          <t>Pending Delivery</t>
        </is>
      </c>
      <c r="J204" s="105" t="n">
        <v>45986</v>
      </c>
      <c r="K204" s="108" t="n"/>
      <c r="L204" s="141" t="inlineStr">
        <is>
          <t>PCTC</t>
        </is>
      </c>
      <c r="M204" s="108" t="inlineStr">
        <is>
          <t xml:space="preserve">#N/A </t>
        </is>
      </c>
      <c r="N204" s="108" t="inlineStr">
        <is>
          <t xml:space="preserve">#N/A </t>
        </is>
      </c>
      <c r="O204" s="108" t="inlineStr">
        <is>
          <t xml:space="preserve">#N/A </t>
        </is>
      </c>
      <c r="P204" s="123" t="inlineStr">
        <is>
          <t xml:space="preserve">#N/A </t>
        </is>
      </c>
    </row>
    <row r="205">
      <c r="A205" s="95" t="inlineStr">
        <is>
          <t>Glovis Lander</t>
        </is>
      </c>
      <c r="C205" s="141" t="inlineStr">
        <is>
          <t>GLAN-60021/26-1</t>
        </is>
      </c>
      <c r="D205" s="95">
        <f>IF(OR(ISNUMBER(SEARCH("Pre Delivery",E205)),ISNUMBER(SEARCH("Pre-Delivery",E205)),ISNUMBER(SEARCH("Predelivery",E205)),ISNUMBER(SEARCH("PD -",E205)),ISNUMBER(SEARCH("PD Lubes",E205))),"Pre-Delivery","")</f>
        <v/>
      </c>
      <c r="E205" s="141" t="inlineStr">
        <is>
          <t>FS-ITBP CABLES</t>
        </is>
      </c>
      <c r="F205" s="141" t="inlineStr">
        <is>
          <t>Citadel VHF/GPS/UHF System</t>
        </is>
      </c>
      <c r="H205" s="141" t="inlineStr">
        <is>
          <t>Others</t>
        </is>
      </c>
      <c r="I205" s="95" t="inlineStr">
        <is>
          <t>Pending Delivery</t>
        </is>
      </c>
      <c r="J205" s="105" t="n">
        <v>46063</v>
      </c>
      <c r="K205" s="108" t="n"/>
      <c r="L205" s="141" t="inlineStr">
        <is>
          <t>PCTC</t>
        </is>
      </c>
      <c r="M205" s="108" t="inlineStr">
        <is>
          <t xml:space="preserve">#N/A </t>
        </is>
      </c>
      <c r="N205" s="108" t="inlineStr">
        <is>
          <t xml:space="preserve">#N/A </t>
        </is>
      </c>
      <c r="O205" s="108" t="inlineStr">
        <is>
          <t xml:space="preserve">#N/A </t>
        </is>
      </c>
      <c r="P205" s="123" t="inlineStr">
        <is>
          <t xml:space="preserve">#N/A </t>
        </is>
      </c>
    </row>
    <row r="206">
      <c r="A206" s="95" t="inlineStr">
        <is>
          <t>Glovis Lander</t>
        </is>
      </c>
      <c r="D206" s="95">
        <f>IF(OR(ISNUMBER(SEARCH("Pre Delivery",E206)),ISNUMBER(SEARCH("Pre-Delivery",E206)),ISNUMBER(SEARCH("Predelivery",E206)),ISNUMBER(SEARCH("PD -",E206)),ISNUMBER(SEARCH("PD Lubes",E206))),"Pre-Delivery","")</f>
        <v/>
      </c>
      <c r="E206" s="141" t="inlineStr">
        <is>
          <t>Reliability Spares - 10,8K CEU SWS - GVT- Korval</t>
        </is>
      </c>
      <c r="F206" s="141" t="inlineStr">
        <is>
          <t>Boiler Spares</t>
        </is>
      </c>
      <c r="H206" s="141" t="inlineStr">
        <is>
          <t>Spares</t>
        </is>
      </c>
      <c r="K206" s="108" t="n"/>
      <c r="L206" s="141" t="inlineStr">
        <is>
          <t>PCTC</t>
        </is>
      </c>
      <c r="M206" s="108" t="inlineStr">
        <is>
          <t xml:space="preserve">#N/A </t>
        </is>
      </c>
      <c r="N206" s="108" t="inlineStr">
        <is>
          <t xml:space="preserve">#N/A </t>
        </is>
      </c>
      <c r="O206" s="108" t="inlineStr">
        <is>
          <t xml:space="preserve">#N/A </t>
        </is>
      </c>
      <c r="P206" s="123" t="inlineStr">
        <is>
          <t xml:space="preserve">#N/A </t>
        </is>
      </c>
    </row>
    <row r="207">
      <c r="A207" s="95" t="inlineStr">
        <is>
          <t>Glovis Lander</t>
        </is>
      </c>
      <c r="D207" s="95">
        <f>IF(OR(ISNUMBER(SEARCH("Pre Delivery",E207)),ISNUMBER(SEARCH("Pre-Delivery",E207)),ISNUMBER(SEARCH("Predelivery",E207)),ISNUMBER(SEARCH("PD -",E207)),ISNUMBER(SEARCH("PD Lubes",E207))),"Pre-Delivery","")</f>
        <v/>
      </c>
      <c r="E207" s="141" t="inlineStr">
        <is>
          <t>Citadel VHF/GPS and UHF ANTENNA system</t>
        </is>
      </c>
      <c r="F207" s="141" t="inlineStr">
        <is>
          <t>RO-RO Equipment - Loose Fittings</t>
        </is>
      </c>
      <c r="H207" s="141" t="inlineStr">
        <is>
          <t>Spares</t>
        </is>
      </c>
      <c r="K207" s="108" t="n"/>
      <c r="L207" s="141" t="inlineStr">
        <is>
          <t>PCTC</t>
        </is>
      </c>
      <c r="M207" s="108" t="inlineStr">
        <is>
          <t xml:space="preserve">#N/A </t>
        </is>
      </c>
      <c r="N207" s="108" t="inlineStr">
        <is>
          <t xml:space="preserve">#N/A </t>
        </is>
      </c>
      <c r="O207" s="108" t="inlineStr">
        <is>
          <t xml:space="preserve">#N/A </t>
        </is>
      </c>
      <c r="P207" s="123" t="inlineStr">
        <is>
          <t xml:space="preserve">#N/A </t>
        </is>
      </c>
    </row>
    <row r="208">
      <c r="A208" s="95" t="inlineStr">
        <is>
          <t>Glovis Lander</t>
        </is>
      </c>
      <c r="D208" s="95">
        <f>IF(OR(ISNUMBER(SEARCH("Pre Delivery",E208)),ISNUMBER(SEARCH("Pre-Delivery",E208)),ISNUMBER(SEARCH("Predelivery",E208)),ISNUMBER(SEARCH("PD -",E208)),ISNUMBER(SEARCH("PD Lubes",E208))),"Pre-Delivery","")</f>
        <v/>
      </c>
      <c r="E208" s="141" t="inlineStr">
        <is>
          <t>Reliability Spares - PCTC-Seaspan - Boilers QUOT26012103</t>
        </is>
      </c>
      <c r="F208" s="141" t="inlineStr">
        <is>
          <t>Safety Integration - SMiG</t>
        </is>
      </c>
      <c r="H208" s="141" t="inlineStr">
        <is>
          <t>Spares</t>
        </is>
      </c>
      <c r="K208" s="108" t="n"/>
      <c r="L208" s="141" t="inlineStr">
        <is>
          <t>PCTC</t>
        </is>
      </c>
      <c r="M208" s="108" t="inlineStr">
        <is>
          <t xml:space="preserve">#N/A </t>
        </is>
      </c>
      <c r="N208" s="108" t="inlineStr">
        <is>
          <t xml:space="preserve">#N/A </t>
        </is>
      </c>
      <c r="O208" s="108" t="inlineStr">
        <is>
          <t xml:space="preserve">#N/A </t>
        </is>
      </c>
      <c r="P208" s="123" t="inlineStr">
        <is>
          <t xml:space="preserve">#N/A </t>
        </is>
      </c>
    </row>
    <row r="209">
      <c r="A209" s="95" t="inlineStr">
        <is>
          <t>Glovis Lander</t>
        </is>
      </c>
      <c r="D209" s="95">
        <f>IF(OR(ISNUMBER(SEARCH("Pre Delivery",E209)),ISNUMBER(SEARCH("Pre-Delivery",E209)),ISNUMBER(SEARCH("Predelivery",E209)),ISNUMBER(SEARCH("PD -",E209)),ISNUMBER(SEARCH("PD Lubes",E209))),"Pre-Delivery","")</f>
        <v/>
      </c>
      <c r="E209" s="141" t="inlineStr">
        <is>
          <t>PCTC Loose Fittings Procurement</t>
        </is>
      </c>
      <c r="F209" s="141" t="inlineStr">
        <is>
          <t>IMPA Stores - Stationery</t>
        </is>
      </c>
      <c r="H209" s="141" t="inlineStr">
        <is>
          <t>Spares</t>
        </is>
      </c>
      <c r="K209" s="108" t="n"/>
      <c r="L209" s="141" t="inlineStr">
        <is>
          <t>PCTC</t>
        </is>
      </c>
      <c r="M209" s="108" t="inlineStr">
        <is>
          <t xml:space="preserve">#N/A </t>
        </is>
      </c>
      <c r="N209" s="108" t="inlineStr">
        <is>
          <t xml:space="preserve">#N/A </t>
        </is>
      </c>
      <c r="O209" s="108" t="inlineStr">
        <is>
          <t xml:space="preserve">#N/A </t>
        </is>
      </c>
      <c r="P209" s="123" t="inlineStr">
        <is>
          <t xml:space="preserve">#N/A </t>
        </is>
      </c>
    </row>
    <row r="210" ht="37.5" customHeight="1">
      <c r="A210" s="95" t="inlineStr">
        <is>
          <t>Glovis Lander</t>
        </is>
      </c>
      <c r="D210" s="95">
        <f>IF(OR(ISNUMBER(SEARCH("Pre Delivery",E210)),ISNUMBER(SEARCH("Pre-Delivery",E210)),ISNUMBER(SEARCH("Predelivery",E210)),ISNUMBER(SEARCH("PD -",E210)),ISNUMBER(SEARCH("PD Lubes",E210))),"Pre-Delivery","")</f>
        <v/>
      </c>
      <c r="E210" s="141" t="inlineStr">
        <is>
          <t>Shipyard Extra (Owner supply) - 10800 CEU LNG PCTC _x0013_ Consilium SMiG Integration</t>
        </is>
      </c>
      <c r="F210" s="141" t="inlineStr">
        <is>
          <t>IMPA Stores - SOPEP</t>
        </is>
      </c>
      <c r="H210" s="141" t="inlineStr">
        <is>
          <t>Spares</t>
        </is>
      </c>
      <c r="K210" s="108" t="n"/>
      <c r="L210" s="141" t="inlineStr">
        <is>
          <t>PCTC</t>
        </is>
      </c>
      <c r="M210" s="108" t="inlineStr">
        <is>
          <t xml:space="preserve">#N/A </t>
        </is>
      </c>
      <c r="N210" s="108" t="inlineStr">
        <is>
          <t xml:space="preserve">#N/A </t>
        </is>
      </c>
      <c r="O210" s="108" t="inlineStr">
        <is>
          <t xml:space="preserve">#N/A </t>
        </is>
      </c>
      <c r="P210" s="123" t="inlineStr">
        <is>
          <t xml:space="preserve">#N/A </t>
        </is>
      </c>
    </row>
    <row r="211">
      <c r="A211" s="95" t="inlineStr">
        <is>
          <t>Glovis Lander</t>
        </is>
      </c>
      <c r="C211" s="141" t="inlineStr">
        <is>
          <t>GLAN-60041/26</t>
        </is>
      </c>
      <c r="D211" s="95">
        <f>IF(OR(ISNUMBER(SEARCH("Pre Delivery",E211)),ISNUMBER(SEARCH("Pre-Delivery",E211)),ISNUMBER(SEARCH("Predelivery",E211)),ISNUMBER(SEARCH("PD -",E211)),ISNUMBER(SEARCH("PD Lubes",E211))),"Pre-Delivery","")</f>
        <v/>
      </c>
      <c r="E211" s="141" t="inlineStr">
        <is>
          <t>Impa Stores Stationery</t>
        </is>
      </c>
      <c r="F211" s="141" t="inlineStr">
        <is>
          <t>IMPA Stores - Deck</t>
        </is>
      </c>
      <c r="H211" s="141" t="inlineStr">
        <is>
          <t>Stores</t>
        </is>
      </c>
      <c r="K211" s="108" t="n"/>
      <c r="L211" s="141" t="inlineStr">
        <is>
          <t>PCTC</t>
        </is>
      </c>
      <c r="M211" s="108" t="inlineStr">
        <is>
          <t xml:space="preserve">#N/A </t>
        </is>
      </c>
      <c r="N211" s="108" t="inlineStr">
        <is>
          <t xml:space="preserve">#N/A </t>
        </is>
      </c>
      <c r="O211" s="108" t="inlineStr">
        <is>
          <t xml:space="preserve">#N/A </t>
        </is>
      </c>
      <c r="P211" s="123" t="inlineStr">
        <is>
          <t xml:space="preserve">#N/A </t>
        </is>
      </c>
    </row>
    <row r="212">
      <c r="A212" s="95" t="inlineStr">
        <is>
          <t>Glovis Lander</t>
        </is>
      </c>
      <c r="C212" s="141" t="inlineStr">
        <is>
          <t>GLAN-60042/26</t>
        </is>
      </c>
      <c r="D212" s="95">
        <f>IF(OR(ISNUMBER(SEARCH("Pre Delivery",E212)),ISNUMBER(SEARCH("Pre-Delivery",E212)),ISNUMBER(SEARCH("Predelivery",E212)),ISNUMBER(SEARCH("PD -",E212)),ISNUMBER(SEARCH("PD Lubes",E212))),"Pre-Delivery","")</f>
        <v/>
      </c>
      <c r="E212" s="141" t="inlineStr">
        <is>
          <t>Impa Stores - SOPEP</t>
        </is>
      </c>
      <c r="F212" s="141" t="inlineStr">
        <is>
          <t>IMPA Stores - Bridge</t>
        </is>
      </c>
      <c r="H212" s="141" t="inlineStr">
        <is>
          <t>Stores</t>
        </is>
      </c>
      <c r="K212" s="108" t="n"/>
      <c r="L212" s="141" t="inlineStr">
        <is>
          <t>PCTC</t>
        </is>
      </c>
      <c r="M212" s="108" t="inlineStr">
        <is>
          <t xml:space="preserve">#N/A </t>
        </is>
      </c>
      <c r="N212" s="108" t="inlineStr">
        <is>
          <t xml:space="preserve">#N/A </t>
        </is>
      </c>
      <c r="O212" s="108" t="inlineStr">
        <is>
          <t xml:space="preserve">#N/A </t>
        </is>
      </c>
      <c r="P212" s="123" t="inlineStr">
        <is>
          <t xml:space="preserve">#N/A </t>
        </is>
      </c>
    </row>
    <row r="213">
      <c r="A213" s="95" t="inlineStr">
        <is>
          <t>Glovis Lander</t>
        </is>
      </c>
      <c r="C213" s="141" t="inlineStr">
        <is>
          <t>GLAN-60043/26</t>
        </is>
      </c>
      <c r="D213" s="95">
        <f>IF(OR(ISNUMBER(SEARCH("Pre Delivery",E213)),ISNUMBER(SEARCH("Pre-Delivery",E213)),ISNUMBER(SEARCH("Predelivery",E213)),ISNUMBER(SEARCH("PD -",E213)),ISNUMBER(SEARCH("PD Lubes",E213))),"Pre-Delivery","")</f>
        <v/>
      </c>
      <c r="E213" s="141" t="inlineStr">
        <is>
          <t>Impa Stores - Deck</t>
        </is>
      </c>
      <c r="F213" s="141" t="inlineStr">
        <is>
          <t>IMPA Stores - Gym</t>
        </is>
      </c>
      <c r="H213" s="141" t="inlineStr">
        <is>
          <t>Stores</t>
        </is>
      </c>
      <c r="K213" s="108" t="n"/>
      <c r="L213" s="141" t="inlineStr">
        <is>
          <t>PCTC</t>
        </is>
      </c>
      <c r="M213" s="108" t="inlineStr">
        <is>
          <t xml:space="preserve">#N/A </t>
        </is>
      </c>
      <c r="N213" s="108" t="inlineStr">
        <is>
          <t xml:space="preserve">#N/A </t>
        </is>
      </c>
      <c r="O213" s="108" t="inlineStr">
        <is>
          <t xml:space="preserve">#N/A </t>
        </is>
      </c>
      <c r="P213" s="123" t="inlineStr">
        <is>
          <t xml:space="preserve">#N/A </t>
        </is>
      </c>
    </row>
    <row r="214">
      <c r="A214" s="95" t="inlineStr">
        <is>
          <t>Glovis Lander</t>
        </is>
      </c>
      <c r="C214" s="141" t="inlineStr">
        <is>
          <t>GLAN-60044/26</t>
        </is>
      </c>
      <c r="D214" s="95">
        <f>IF(OR(ISNUMBER(SEARCH("Pre Delivery",E214)),ISNUMBER(SEARCH("Pre-Delivery",E214)),ISNUMBER(SEARCH("Predelivery",E214)),ISNUMBER(SEARCH("PD -",E214)),ISNUMBER(SEARCH("PD Lubes",E214))),"Pre-Delivery","")</f>
        <v/>
      </c>
      <c r="E214" s="141" t="inlineStr">
        <is>
          <t>Impa Stores - Bridge</t>
        </is>
      </c>
      <c r="F214" s="141" t="inlineStr">
        <is>
          <t>IMPA Stores - Crew</t>
        </is>
      </c>
      <c r="H214" s="141" t="inlineStr">
        <is>
          <t>Stores</t>
        </is>
      </c>
      <c r="K214" s="108" t="n"/>
      <c r="L214" s="141" t="inlineStr">
        <is>
          <t>PCTC</t>
        </is>
      </c>
      <c r="M214" s="108" t="inlineStr">
        <is>
          <t xml:space="preserve">#N/A </t>
        </is>
      </c>
      <c r="N214" s="108" t="inlineStr">
        <is>
          <t xml:space="preserve">#N/A </t>
        </is>
      </c>
      <c r="O214" s="108" t="inlineStr">
        <is>
          <t xml:space="preserve">#N/A </t>
        </is>
      </c>
      <c r="P214" s="123" t="inlineStr">
        <is>
          <t xml:space="preserve">#N/A </t>
        </is>
      </c>
    </row>
    <row r="215">
      <c r="A215" s="95" t="inlineStr">
        <is>
          <t>Glovis Lander</t>
        </is>
      </c>
      <c r="C215" s="141" t="inlineStr">
        <is>
          <t>GLAN-60045/26</t>
        </is>
      </c>
      <c r="D215" s="95">
        <f>IF(OR(ISNUMBER(SEARCH("Pre Delivery",E215)),ISNUMBER(SEARCH("Pre-Delivery",E215)),ISNUMBER(SEARCH("Predelivery",E215)),ISNUMBER(SEARCH("PD -",E215)),ISNUMBER(SEARCH("PD Lubes",E215))),"Pre-Delivery","")</f>
        <v/>
      </c>
      <c r="E215" s="141" t="inlineStr">
        <is>
          <t>Impa Stores - Gym</t>
        </is>
      </c>
      <c r="F215" s="141" t="inlineStr">
        <is>
          <t>IMPA Stores - Firefighting Equipment</t>
        </is>
      </c>
      <c r="H215" s="141" t="inlineStr">
        <is>
          <t>Stores</t>
        </is>
      </c>
      <c r="K215" s="108" t="n"/>
      <c r="L215" s="141" t="inlineStr">
        <is>
          <t>PCTC</t>
        </is>
      </c>
      <c r="M215" s="108" t="inlineStr">
        <is>
          <t xml:space="preserve">#N/A </t>
        </is>
      </c>
      <c r="N215" s="108" t="inlineStr">
        <is>
          <t xml:space="preserve">#N/A </t>
        </is>
      </c>
      <c r="O215" s="108" t="inlineStr">
        <is>
          <t xml:space="preserve">#N/A </t>
        </is>
      </c>
      <c r="P215" s="123" t="inlineStr">
        <is>
          <t xml:space="preserve">#N/A </t>
        </is>
      </c>
    </row>
    <row r="216">
      <c r="A216" s="95" t="inlineStr">
        <is>
          <t>Glovis Lander</t>
        </is>
      </c>
      <c r="C216" s="141" t="inlineStr">
        <is>
          <t>GLAN-60046/26</t>
        </is>
      </c>
      <c r="D216" s="95">
        <f>IF(OR(ISNUMBER(SEARCH("Pre Delivery",E216)),ISNUMBER(SEARCH("Pre-Delivery",E216)),ISNUMBER(SEARCH("Predelivery",E216)),ISNUMBER(SEARCH("PD -",E216)),ISNUMBER(SEARCH("PD Lubes",E216))),"Pre-Delivery","")</f>
        <v/>
      </c>
      <c r="E216" s="141" t="inlineStr">
        <is>
          <t>Impa Stores - Crew</t>
        </is>
      </c>
      <c r="F216" s="141" t="inlineStr">
        <is>
          <t>IMPA Stores - Company Stationery</t>
        </is>
      </c>
      <c r="H216" s="141" t="inlineStr">
        <is>
          <t>Stores</t>
        </is>
      </c>
      <c r="K216" s="108" t="n"/>
      <c r="L216" s="141" t="inlineStr">
        <is>
          <t>PCTC</t>
        </is>
      </c>
      <c r="M216" s="108" t="inlineStr">
        <is>
          <t xml:space="preserve">#N/A </t>
        </is>
      </c>
      <c r="N216" s="108" t="inlineStr">
        <is>
          <t xml:space="preserve">#N/A </t>
        </is>
      </c>
      <c r="O216" s="108" t="inlineStr">
        <is>
          <t xml:space="preserve">#N/A </t>
        </is>
      </c>
      <c r="P216" s="123" t="inlineStr">
        <is>
          <t xml:space="preserve">#N/A </t>
        </is>
      </c>
    </row>
    <row r="217">
      <c r="A217" s="95" t="inlineStr">
        <is>
          <t>Glovis Lander</t>
        </is>
      </c>
      <c r="C217" s="141" t="inlineStr">
        <is>
          <t>GLAN-60047/26</t>
        </is>
      </c>
      <c r="D217" s="95">
        <f>IF(OR(ISNUMBER(SEARCH("Pre Delivery",E217)),ISNUMBER(SEARCH("Pre-Delivery",E217)),ISNUMBER(SEARCH("Predelivery",E217)),ISNUMBER(SEARCH("PD -",E217)),ISNUMBER(SEARCH("PD Lubes",E217))),"Pre-Delivery","")</f>
        <v/>
      </c>
      <c r="E217" s="141" t="inlineStr">
        <is>
          <t>Impa Stores - FFE</t>
        </is>
      </c>
      <c r="F217" s="141" t="inlineStr">
        <is>
          <t>IMPA Stores - BA Compressor</t>
        </is>
      </c>
      <c r="H217" s="141" t="inlineStr">
        <is>
          <t>Stores</t>
        </is>
      </c>
      <c r="K217" s="108" t="n"/>
      <c r="L217" s="141" t="inlineStr">
        <is>
          <t>PCTC</t>
        </is>
      </c>
      <c r="M217" s="108" t="inlineStr">
        <is>
          <t xml:space="preserve">#N/A </t>
        </is>
      </c>
      <c r="N217" s="108" t="inlineStr">
        <is>
          <t xml:space="preserve">#N/A </t>
        </is>
      </c>
      <c r="O217" s="108" t="inlineStr">
        <is>
          <t xml:space="preserve">#N/A </t>
        </is>
      </c>
      <c r="P217" s="123" t="inlineStr">
        <is>
          <t xml:space="preserve">#N/A </t>
        </is>
      </c>
    </row>
    <row r="218">
      <c r="A218" s="95" t="inlineStr">
        <is>
          <t>Glovis Lander</t>
        </is>
      </c>
      <c r="C218" s="141" t="inlineStr">
        <is>
          <t>GLAN-60048/26</t>
        </is>
      </c>
      <c r="D218" s="95">
        <f>IF(OR(ISNUMBER(SEARCH("Pre Delivery",E218)),ISNUMBER(SEARCH("Pre-Delivery",E218)),ISNUMBER(SEARCH("Predelivery",E218)),ISNUMBER(SEARCH("PD -",E218)),ISNUMBER(SEARCH("PD Lubes",E218))),"Pre-Delivery","")</f>
        <v/>
      </c>
      <c r="E218" s="141" t="inlineStr">
        <is>
          <t>Impa Stores - Company Stationery</t>
        </is>
      </c>
      <c r="F218" s="141" t="inlineStr">
        <is>
          <t>IMPA Stores - Accommodation</t>
        </is>
      </c>
      <c r="H218" s="141" t="inlineStr">
        <is>
          <t>Stores</t>
        </is>
      </c>
      <c r="K218" s="108" t="n"/>
      <c r="L218" s="141" t="inlineStr">
        <is>
          <t>PCTC</t>
        </is>
      </c>
      <c r="M218" s="108" t="inlineStr">
        <is>
          <t xml:space="preserve">#N/A </t>
        </is>
      </c>
      <c r="N218" s="108" t="inlineStr">
        <is>
          <t xml:space="preserve">#N/A </t>
        </is>
      </c>
      <c r="O218" s="108" t="inlineStr">
        <is>
          <t xml:space="preserve">#N/A </t>
        </is>
      </c>
      <c r="P218" s="123" t="inlineStr">
        <is>
          <t xml:space="preserve">#N/A </t>
        </is>
      </c>
    </row>
    <row r="219">
      <c r="A219" s="95" t="inlineStr">
        <is>
          <t>Glovis Lander</t>
        </is>
      </c>
      <c r="D219" s="95">
        <f>IF(OR(ISNUMBER(SEARCH("Pre Delivery",E219)),ISNUMBER(SEARCH("Pre-Delivery",E219)),ISNUMBER(SEARCH("Predelivery",E219)),ISNUMBER(SEARCH("PD -",E219)),ISNUMBER(SEARCH("PD Lubes",E219))),"Pre-Delivery","")</f>
        <v/>
      </c>
      <c r="E219" s="141" t="inlineStr">
        <is>
          <t>Impa Stores - BA Compressor</t>
        </is>
      </c>
      <c r="F219" s="141" t="inlineStr">
        <is>
          <t>IMPA Stores - Galley</t>
        </is>
      </c>
      <c r="H219" s="141" t="inlineStr">
        <is>
          <t>Stores</t>
        </is>
      </c>
      <c r="K219" s="108" t="n"/>
      <c r="L219" s="141" t="inlineStr">
        <is>
          <t>PCTC</t>
        </is>
      </c>
      <c r="M219" s="108" t="inlineStr">
        <is>
          <t xml:space="preserve">#N/A </t>
        </is>
      </c>
      <c r="N219" s="108" t="inlineStr">
        <is>
          <t xml:space="preserve">#N/A </t>
        </is>
      </c>
      <c r="O219" s="108" t="inlineStr">
        <is>
          <t xml:space="preserve">#N/A </t>
        </is>
      </c>
      <c r="P219" s="123" t="inlineStr">
        <is>
          <t xml:space="preserve">#N/A </t>
        </is>
      </c>
    </row>
    <row r="220">
      <c r="A220" s="95" t="inlineStr">
        <is>
          <t>Glovis Lander</t>
        </is>
      </c>
      <c r="C220" s="141" t="inlineStr">
        <is>
          <t>GLAN-60049/26</t>
        </is>
      </c>
      <c r="D220" s="95">
        <f>IF(OR(ISNUMBER(SEARCH("Pre Delivery",E220)),ISNUMBER(SEARCH("Pre-Delivery",E220)),ISNUMBER(SEARCH("Predelivery",E220)),ISNUMBER(SEARCH("PD -",E220)),ISNUMBER(SEARCH("PD Lubes",E220))),"Pre-Delivery","")</f>
        <v/>
      </c>
      <c r="E220" s="141" t="inlineStr">
        <is>
          <t>Impa Stores - ACC</t>
        </is>
      </c>
      <c r="F220" s="141" t="inlineStr">
        <is>
          <t>IMPA Stores - Engine</t>
        </is>
      </c>
      <c r="H220" s="141" t="inlineStr">
        <is>
          <t>Stores</t>
        </is>
      </c>
      <c r="K220" s="108" t="n"/>
      <c r="L220" s="141" t="inlineStr">
        <is>
          <t>PCTC</t>
        </is>
      </c>
      <c r="M220" s="108" t="inlineStr">
        <is>
          <t xml:space="preserve">#N/A </t>
        </is>
      </c>
      <c r="N220" s="108" t="inlineStr">
        <is>
          <t xml:space="preserve">#N/A </t>
        </is>
      </c>
      <c r="O220" s="108" t="inlineStr">
        <is>
          <t xml:space="preserve">#N/A </t>
        </is>
      </c>
      <c r="P220" s="123" t="inlineStr">
        <is>
          <t xml:space="preserve">#N/A </t>
        </is>
      </c>
    </row>
    <row r="221">
      <c r="A221" s="95" t="inlineStr">
        <is>
          <t>Glovis Lander</t>
        </is>
      </c>
      <c r="C221" s="141" t="inlineStr">
        <is>
          <t>GLAN-60050/26</t>
        </is>
      </c>
      <c r="D221" s="95">
        <f>IF(OR(ISNUMBER(SEARCH("Pre Delivery",E221)),ISNUMBER(SEARCH("Pre-Delivery",E221)),ISNUMBER(SEARCH("Predelivery",E221)),ISNUMBER(SEARCH("PD -",E221)),ISNUMBER(SEARCH("PD Lubes",E221))),"Pre-Delivery","")</f>
        <v/>
      </c>
      <c r="E221" s="141" t="inlineStr">
        <is>
          <t>Impa Stores - Galley</t>
        </is>
      </c>
      <c r="F221" s="141" t="inlineStr">
        <is>
          <t>IMPA Stores - Engine</t>
        </is>
      </c>
      <c r="H221" s="141" t="inlineStr">
        <is>
          <t>Stores</t>
        </is>
      </c>
      <c r="K221" s="108" t="n"/>
      <c r="L221" s="141" t="inlineStr">
        <is>
          <t>PCTC</t>
        </is>
      </c>
      <c r="M221" s="108" t="inlineStr">
        <is>
          <t xml:space="preserve">#N/A </t>
        </is>
      </c>
      <c r="N221" s="108" t="inlineStr">
        <is>
          <t xml:space="preserve">#N/A </t>
        </is>
      </c>
      <c r="O221" s="108" t="inlineStr">
        <is>
          <t xml:space="preserve">#N/A </t>
        </is>
      </c>
      <c r="P221" s="123" t="inlineStr">
        <is>
          <t xml:space="preserve">#N/A </t>
        </is>
      </c>
    </row>
    <row r="222">
      <c r="A222" s="95" t="inlineStr">
        <is>
          <t>Glovis Lander</t>
        </is>
      </c>
      <c r="C222" s="141" t="inlineStr">
        <is>
          <t>GLAN-60052/26</t>
        </is>
      </c>
      <c r="D222" s="95">
        <f>IF(OR(ISNUMBER(SEARCH("Pre Delivery",E222)),ISNUMBER(SEARCH("Pre-Delivery",E222)),ISNUMBER(SEARCH("Predelivery",E222)),ISNUMBER(SEARCH("PD -",E222)),ISNUMBER(SEARCH("PD Lubes",E222))),"Pre-Delivery","")</f>
        <v/>
      </c>
      <c r="E222" s="141" t="inlineStr">
        <is>
          <t>Impa Stores - Engine</t>
        </is>
      </c>
      <c r="F222" s="141" t="inlineStr">
        <is>
          <t>IMPA Stores - Engine</t>
        </is>
      </c>
      <c r="H222" s="141" t="inlineStr">
        <is>
          <t>Stores</t>
        </is>
      </c>
      <c r="K222" s="108" t="n"/>
      <c r="L222" s="141" t="inlineStr">
        <is>
          <t>PCTC</t>
        </is>
      </c>
      <c r="M222" s="108" t="inlineStr">
        <is>
          <t xml:space="preserve">#N/A </t>
        </is>
      </c>
      <c r="N222" s="108" t="inlineStr">
        <is>
          <t xml:space="preserve">#N/A </t>
        </is>
      </c>
      <c r="O222" s="108" t="inlineStr">
        <is>
          <t xml:space="preserve">#N/A </t>
        </is>
      </c>
      <c r="P222" s="123" t="inlineStr">
        <is>
          <t xml:space="preserve">#N/A </t>
        </is>
      </c>
    </row>
    <row r="223">
      <c r="A223" s="95" t="inlineStr">
        <is>
          <t>Glovis Lander</t>
        </is>
      </c>
      <c r="C223" s="141" t="inlineStr">
        <is>
          <t>GLAN-60051/26</t>
        </is>
      </c>
      <c r="D223" s="95">
        <f>IF(OR(ISNUMBER(SEARCH("Pre Delivery",E223)),ISNUMBER(SEARCH("Pre-Delivery",E223)),ISNUMBER(SEARCH("Predelivery",E223)),ISNUMBER(SEARCH("PD -",E223)),ISNUMBER(SEARCH("PD Lubes",E223))),"Pre-Delivery","")</f>
        <v/>
      </c>
      <c r="E223" s="141" t="inlineStr">
        <is>
          <t>Impa Stores - Engine</t>
        </is>
      </c>
      <c r="F223" s="141" t="inlineStr">
        <is>
          <t>IMPA Stores - Engine</t>
        </is>
      </c>
      <c r="H223" s="141" t="inlineStr">
        <is>
          <t>Stores</t>
        </is>
      </c>
      <c r="K223" s="108" t="n"/>
      <c r="L223" s="141" t="inlineStr">
        <is>
          <t>PCTC</t>
        </is>
      </c>
      <c r="M223" s="108" t="inlineStr">
        <is>
          <t xml:space="preserve">#N/A </t>
        </is>
      </c>
      <c r="N223" s="108" t="inlineStr">
        <is>
          <t xml:space="preserve">#N/A </t>
        </is>
      </c>
      <c r="O223" s="108" t="inlineStr">
        <is>
          <t xml:space="preserve">#N/A </t>
        </is>
      </c>
      <c r="P223" s="123" t="inlineStr">
        <is>
          <t xml:space="preserve">#N/A </t>
        </is>
      </c>
    </row>
    <row r="224">
      <c r="A224" s="95" t="inlineStr">
        <is>
          <t>Glovis Lander</t>
        </is>
      </c>
      <c r="C224" s="141" t="inlineStr">
        <is>
          <t>GLAN-60053/26</t>
        </is>
      </c>
      <c r="D224" s="95">
        <f>IF(OR(ISNUMBER(SEARCH("Pre Delivery",E224)),ISNUMBER(SEARCH("Pre-Delivery",E224)),ISNUMBER(SEARCH("Predelivery",E224)),ISNUMBER(SEARCH("PD -",E224)),ISNUMBER(SEARCH("PD Lubes",E224))),"Pre-Delivery","")</f>
        <v/>
      </c>
      <c r="E224" s="141" t="inlineStr">
        <is>
          <t>Impa Stores - Engine</t>
        </is>
      </c>
      <c r="F224" s="141" t="inlineStr">
        <is>
          <t>IMPA Stores - Electrical</t>
        </is>
      </c>
      <c r="H224" s="141" t="inlineStr">
        <is>
          <t>Stores</t>
        </is>
      </c>
      <c r="K224" s="108" t="n"/>
      <c r="L224" s="141" t="inlineStr">
        <is>
          <t>PCTC</t>
        </is>
      </c>
      <c r="M224" s="108" t="inlineStr">
        <is>
          <t xml:space="preserve">#N/A </t>
        </is>
      </c>
      <c r="N224" s="108" t="inlineStr">
        <is>
          <t xml:space="preserve">#N/A </t>
        </is>
      </c>
      <c r="O224" s="108" t="inlineStr">
        <is>
          <t xml:space="preserve">#N/A </t>
        </is>
      </c>
      <c r="P224" s="123" t="inlineStr">
        <is>
          <t xml:space="preserve">#N/A </t>
        </is>
      </c>
    </row>
    <row r="225">
      <c r="A225" s="95" t="inlineStr">
        <is>
          <t>Glovis Lander</t>
        </is>
      </c>
      <c r="C225" s="141" t="inlineStr">
        <is>
          <t>GLAN-60054/26</t>
        </is>
      </c>
      <c r="D225" s="95">
        <f>IF(OR(ISNUMBER(SEARCH("Pre Delivery",E225)),ISNUMBER(SEARCH("Pre-Delivery",E225)),ISNUMBER(SEARCH("Predelivery",E225)),ISNUMBER(SEARCH("PD -",E225)),ISNUMBER(SEARCH("PD Lubes",E225))),"Pre-Delivery","")</f>
        <v/>
      </c>
      <c r="E225" s="141" t="inlineStr">
        <is>
          <t>Impa Stores - Engine</t>
        </is>
      </c>
      <c r="F225" s="141" t="inlineStr">
        <is>
          <t>IMPA Stores - General</t>
        </is>
      </c>
      <c r="H225" s="141" t="inlineStr">
        <is>
          <t>Stores</t>
        </is>
      </c>
      <c r="K225" s="108" t="n"/>
      <c r="L225" s="141" t="inlineStr">
        <is>
          <t>PCTC</t>
        </is>
      </c>
      <c r="M225" s="108" t="inlineStr">
        <is>
          <t xml:space="preserve">#N/A </t>
        </is>
      </c>
      <c r="N225" s="108" t="inlineStr">
        <is>
          <t xml:space="preserve">#N/A </t>
        </is>
      </c>
      <c r="O225" s="108" t="inlineStr">
        <is>
          <t xml:space="preserve">#N/A </t>
        </is>
      </c>
      <c r="P225" s="123" t="inlineStr">
        <is>
          <t xml:space="preserve">#N/A </t>
        </is>
      </c>
    </row>
    <row r="226">
      <c r="A226" s="95" t="inlineStr">
        <is>
          <t>Glovis Lander</t>
        </is>
      </c>
      <c r="C226" s="141" t="inlineStr">
        <is>
          <t>GLAN-60055/26</t>
        </is>
      </c>
      <c r="D226" s="95">
        <f>IF(OR(ISNUMBER(SEARCH("Pre Delivery",E226)),ISNUMBER(SEARCH("Pre-Delivery",E226)),ISNUMBER(SEARCH("Predelivery",E226)),ISNUMBER(SEARCH("PD -",E226)),ISNUMBER(SEARCH("PD Lubes",E226))),"Pre-Delivery","")</f>
        <v/>
      </c>
      <c r="E226" s="141" t="inlineStr">
        <is>
          <t>Impa Stores - Electric</t>
        </is>
      </c>
      <c r="F226" s="141" t="inlineStr">
        <is>
          <t>Ultrasonic Cleaner</t>
        </is>
      </c>
      <c r="H226" s="141" t="inlineStr">
        <is>
          <t>Stores</t>
        </is>
      </c>
      <c r="K226" s="108" t="n"/>
      <c r="L226" s="141" t="inlineStr">
        <is>
          <t>PCTC</t>
        </is>
      </c>
      <c r="M226" s="108" t="inlineStr">
        <is>
          <t xml:space="preserve">#N/A </t>
        </is>
      </c>
      <c r="N226" s="108" t="inlineStr">
        <is>
          <t xml:space="preserve">#N/A </t>
        </is>
      </c>
      <c r="O226" s="108" t="inlineStr">
        <is>
          <t xml:space="preserve">#N/A </t>
        </is>
      </c>
      <c r="P226" s="123" t="inlineStr">
        <is>
          <t xml:space="preserve">#N/A </t>
        </is>
      </c>
    </row>
    <row r="227">
      <c r="A227" s="95" t="inlineStr">
        <is>
          <t>Glovis Lander</t>
        </is>
      </c>
      <c r="D227" s="95">
        <f>IF(OR(ISNUMBER(SEARCH("Pre Delivery",E227)),ISNUMBER(SEARCH("Pre-Delivery",E227)),ISNUMBER(SEARCH("Predelivery",E227)),ISNUMBER(SEARCH("PD -",E227)),ISNUMBER(SEARCH("PD Lubes",E227))),"Pre-Delivery","")</f>
        <v/>
      </c>
      <c r="E227" s="141" t="inlineStr">
        <is>
          <t>Impa Stores - Instrumenation</t>
        </is>
      </c>
      <c r="F227" s="141" t="inlineStr">
        <is>
          <t>OPA 90 Kit</t>
        </is>
      </c>
      <c r="H227" s="141" t="inlineStr">
        <is>
          <t>Stores</t>
        </is>
      </c>
      <c r="K227" s="108" t="n"/>
      <c r="L227" s="141" t="inlineStr">
        <is>
          <t>PCTC</t>
        </is>
      </c>
      <c r="M227" s="108" t="inlineStr">
        <is>
          <t xml:space="preserve">#N/A </t>
        </is>
      </c>
      <c r="N227" s="108" t="inlineStr">
        <is>
          <t xml:space="preserve">#N/A </t>
        </is>
      </c>
      <c r="O227" s="108" t="inlineStr">
        <is>
          <t xml:space="preserve">#N/A </t>
        </is>
      </c>
      <c r="P227" s="123" t="inlineStr">
        <is>
          <t xml:space="preserve">#N/A </t>
        </is>
      </c>
    </row>
    <row r="228">
      <c r="A228" s="95" t="inlineStr">
        <is>
          <t>Glovis Lander</t>
        </is>
      </c>
      <c r="C228" s="141" t="inlineStr">
        <is>
          <t>GLAN-60060/26-1</t>
        </is>
      </c>
      <c r="D228" s="95">
        <f>IF(OR(ISNUMBER(SEARCH("Pre Delivery",E228)),ISNUMBER(SEARCH("Pre-Delivery",E228)),ISNUMBER(SEARCH("Predelivery",E228)),ISNUMBER(SEARCH("PD -",E228)),ISNUMBER(SEARCH("PD Lubes",E228))),"Pre-Delivery","")</f>
        <v/>
      </c>
      <c r="E228" s="141" t="inlineStr">
        <is>
          <t>Ultrasonic Cleaning system - 230V</t>
        </is>
      </c>
      <c r="F228" s="141" t="inlineStr">
        <is>
          <t>High Pressure Washer</t>
        </is>
      </c>
      <c r="H228" s="141" t="inlineStr">
        <is>
          <t>Stores</t>
        </is>
      </c>
      <c r="I228" s="95" t="inlineStr">
        <is>
          <t>Pending Delivery</t>
        </is>
      </c>
      <c r="K228" s="108" t="n"/>
      <c r="L228" s="141" t="inlineStr">
        <is>
          <t>PCTC</t>
        </is>
      </c>
      <c r="M228" s="108" t="inlineStr">
        <is>
          <t xml:space="preserve">#N/A </t>
        </is>
      </c>
      <c r="N228" s="108" t="inlineStr">
        <is>
          <t xml:space="preserve">#N/A </t>
        </is>
      </c>
      <c r="O228" s="108" t="inlineStr">
        <is>
          <t xml:space="preserve">#N/A </t>
        </is>
      </c>
      <c r="P228" s="123" t="inlineStr">
        <is>
          <t xml:space="preserve">#N/A </t>
        </is>
      </c>
    </row>
    <row r="229">
      <c r="A229" s="95" t="inlineStr">
        <is>
          <t>Glovis Lander</t>
        </is>
      </c>
      <c r="C229" s="141" t="inlineStr">
        <is>
          <t>GLAN-60061/26-1</t>
        </is>
      </c>
      <c r="D229" s="95">
        <f>IF(OR(ISNUMBER(SEARCH("Pre Delivery",E229)),ISNUMBER(SEARCH("Pre-Delivery",E229)),ISNUMBER(SEARCH("Predelivery",E229)),ISNUMBER(SEARCH("PD -",E229)),ISNUMBER(SEARCH("PD Lubes",E229))),"Pre-Delivery","")</f>
        <v/>
      </c>
      <c r="E229" s="141" t="inlineStr">
        <is>
          <t>OPA 90 KIT - 12-barrel kit</t>
        </is>
      </c>
      <c r="F229" s="141" t="inlineStr">
        <is>
          <t>LOTO Stickers</t>
        </is>
      </c>
      <c r="H229" s="141" t="inlineStr">
        <is>
          <t>Stores</t>
        </is>
      </c>
      <c r="I229" s="95" t="inlineStr">
        <is>
          <t>Pending Delivery</t>
        </is>
      </c>
      <c r="K229" s="108" t="n"/>
      <c r="L229" s="141" t="inlineStr">
        <is>
          <t>PCTC</t>
        </is>
      </c>
      <c r="M229" s="108" t="inlineStr">
        <is>
          <t xml:space="preserve">#N/A </t>
        </is>
      </c>
      <c r="N229" s="108" t="inlineStr">
        <is>
          <t xml:space="preserve">#N/A </t>
        </is>
      </c>
      <c r="O229" s="108" t="inlineStr">
        <is>
          <t xml:space="preserve">#N/A </t>
        </is>
      </c>
      <c r="P229" s="123" t="inlineStr">
        <is>
          <t xml:space="preserve">#N/A </t>
        </is>
      </c>
    </row>
    <row r="230">
      <c r="A230" s="95" t="inlineStr">
        <is>
          <t>Glovis Lander</t>
        </is>
      </c>
      <c r="C230" s="141" t="inlineStr">
        <is>
          <t>GLAN-60062/26-1</t>
        </is>
      </c>
      <c r="D230" s="95">
        <f>IF(OR(ISNUMBER(SEARCH("Pre Delivery",E230)),ISNUMBER(SEARCH("Pre-Delivery",E230)),ISNUMBER(SEARCH("Predelivery",E230)),ISNUMBER(SEARCH("PD -",E230)),ISNUMBER(SEARCH("PD Lubes",E230))),"Pre-Delivery","")</f>
        <v/>
      </c>
      <c r="E230" s="141" t="inlineStr">
        <is>
          <t>H.P machine - 2pcs (prefer Branded - Karcher/ KEW)</t>
        </is>
      </c>
      <c r="F230" s="141" t="inlineStr">
        <is>
          <t>Steam Splash Suit</t>
        </is>
      </c>
      <c r="H230" s="141" t="inlineStr">
        <is>
          <t>Stores</t>
        </is>
      </c>
      <c r="I230" s="95" t="inlineStr">
        <is>
          <t>Pending Delivery</t>
        </is>
      </c>
      <c r="K230" s="108" t="n"/>
      <c r="L230" s="141" t="inlineStr">
        <is>
          <t>PCTC</t>
        </is>
      </c>
      <c r="M230" s="108" t="inlineStr">
        <is>
          <t xml:space="preserve">#N/A </t>
        </is>
      </c>
      <c r="N230" s="108" t="inlineStr">
        <is>
          <t xml:space="preserve">#N/A </t>
        </is>
      </c>
      <c r="O230" s="108" t="inlineStr">
        <is>
          <t xml:space="preserve">#N/A </t>
        </is>
      </c>
      <c r="P230" s="123" t="inlineStr">
        <is>
          <t xml:space="preserve">#N/A </t>
        </is>
      </c>
    </row>
    <row r="231">
      <c r="A231" s="95" t="inlineStr">
        <is>
          <t>Glovis Lander</t>
        </is>
      </c>
      <c r="D231" s="95">
        <f>IF(OR(ISNUMBER(SEARCH("Pre Delivery",E231)),ISNUMBER(SEARCH("Pre-Delivery",E231)),ISNUMBER(SEARCH("Predelivery",E231)),ISNUMBER(SEARCH("PD -",E231)),ISNUMBER(SEARCH("PD Lubes",E231))),"Pre-Delivery","")</f>
        <v/>
      </c>
      <c r="E231" s="141" t="inlineStr">
        <is>
          <t>2. LOTO Stickers</t>
        </is>
      </c>
      <c r="F231" s="141" t="inlineStr">
        <is>
          <t>Chemical Tags</t>
        </is>
      </c>
      <c r="H231" s="141" t="inlineStr">
        <is>
          <t>Stores</t>
        </is>
      </c>
      <c r="K231" s="108" t="n"/>
      <c r="L231" s="141" t="inlineStr">
        <is>
          <t>PCTC</t>
        </is>
      </c>
      <c r="M231" s="108" t="inlineStr">
        <is>
          <t xml:space="preserve">#N/A </t>
        </is>
      </c>
      <c r="N231" s="108" t="inlineStr">
        <is>
          <t xml:space="preserve">#N/A </t>
        </is>
      </c>
      <c r="O231" s="108" t="inlineStr">
        <is>
          <t xml:space="preserve">#N/A </t>
        </is>
      </c>
      <c r="P231" s="123" t="inlineStr">
        <is>
          <t xml:space="preserve">#N/A </t>
        </is>
      </c>
    </row>
    <row r="232">
      <c r="A232" s="95" t="inlineStr">
        <is>
          <t>Glovis Lander</t>
        </is>
      </c>
      <c r="C232" s="141" t="inlineStr">
        <is>
          <t>GLAN-60064/26</t>
        </is>
      </c>
      <c r="D232" s="95">
        <f>IF(OR(ISNUMBER(SEARCH("Pre Delivery",E232)),ISNUMBER(SEARCH("Pre-Delivery",E232)),ISNUMBER(SEARCH("Predelivery",E232)),ISNUMBER(SEARCH("PD -",E232)),ISNUMBER(SEARCH("PD Lubes",E232))),"Pre-Delivery","")</f>
        <v/>
      </c>
      <c r="E232" s="141" t="inlineStr">
        <is>
          <t>3. Steam Splash Suit</t>
        </is>
      </c>
      <c r="F232" s="141" t="inlineStr">
        <is>
          <t>Safe Lanes (Trelleborg)</t>
        </is>
      </c>
      <c r="H232" s="141" t="inlineStr">
        <is>
          <t>Stores</t>
        </is>
      </c>
      <c r="I232" s="95" t="inlineStr">
        <is>
          <t>Pending Approval</t>
        </is>
      </c>
      <c r="K232" s="108" t="n"/>
      <c r="L232" s="141" t="inlineStr">
        <is>
          <t>PCTC</t>
        </is>
      </c>
      <c r="M232" s="108" t="inlineStr">
        <is>
          <t xml:space="preserve">#N/A </t>
        </is>
      </c>
      <c r="N232" s="108" t="inlineStr">
        <is>
          <t xml:space="preserve">#N/A </t>
        </is>
      </c>
      <c r="O232" s="108" t="inlineStr">
        <is>
          <t xml:space="preserve">#N/A </t>
        </is>
      </c>
      <c r="P232" s="123" t="inlineStr">
        <is>
          <t xml:space="preserve">#N/A </t>
        </is>
      </c>
    </row>
    <row r="233">
      <c r="A233" s="95" t="inlineStr">
        <is>
          <t>Glovis Lander</t>
        </is>
      </c>
      <c r="D233" s="95">
        <f>IF(OR(ISNUMBER(SEARCH("Pre Delivery",E233)),ISNUMBER(SEARCH("Pre-Delivery",E233)),ISNUMBER(SEARCH("Predelivery",E233)),ISNUMBER(SEARCH("PD -",E233)),ISNUMBER(SEARCH("PD Lubes",E233))),"Pre-Delivery","")</f>
        <v/>
      </c>
      <c r="E233" s="141" t="inlineStr">
        <is>
          <t>4. Chemical tags</t>
        </is>
      </c>
      <c r="F233" s="141" t="inlineStr">
        <is>
          <t>Seatab</t>
        </is>
      </c>
      <c r="H233" s="141" t="inlineStr">
        <is>
          <t>Stores</t>
        </is>
      </c>
      <c r="K233" s="108" t="n"/>
      <c r="L233" s="141" t="inlineStr">
        <is>
          <t>PCTC</t>
        </is>
      </c>
      <c r="M233" s="108" t="inlineStr">
        <is>
          <t xml:space="preserve">#N/A </t>
        </is>
      </c>
      <c r="N233" s="108" t="inlineStr">
        <is>
          <t xml:space="preserve">#N/A </t>
        </is>
      </c>
      <c r="O233" s="108" t="inlineStr">
        <is>
          <t xml:space="preserve">#N/A </t>
        </is>
      </c>
      <c r="P233" s="123" t="inlineStr">
        <is>
          <t xml:space="preserve">#N/A </t>
        </is>
      </c>
    </row>
    <row r="234">
      <c r="A234" s="95" t="inlineStr">
        <is>
          <t>Glovis Lander</t>
        </is>
      </c>
      <c r="D234" s="95">
        <f>IF(OR(ISNUMBER(SEARCH("Pre Delivery",E234)),ISNUMBER(SEARCH("Pre-Delivery",E234)),ISNUMBER(SEARCH("Predelivery",E234)),ISNUMBER(SEARCH("PD -",E234)),ISNUMBER(SEARCH("PD Lubes",E234))),"Pre-Delivery","")</f>
        <v/>
      </c>
      <c r="E234" s="141" t="inlineStr">
        <is>
          <t>5. Trelleborg Safe lanes</t>
        </is>
      </c>
      <c r="F234" s="141" t="inlineStr">
        <is>
          <t>Thermal Camera (FLIR)</t>
        </is>
      </c>
      <c r="H234" s="141" t="inlineStr">
        <is>
          <t>Stores</t>
        </is>
      </c>
      <c r="K234" s="108" t="n"/>
      <c r="L234" s="141" t="inlineStr">
        <is>
          <t>PCTC</t>
        </is>
      </c>
      <c r="M234" s="108" t="inlineStr">
        <is>
          <t xml:space="preserve">#N/A </t>
        </is>
      </c>
      <c r="N234" s="108" t="inlineStr">
        <is>
          <t xml:space="preserve">#N/A </t>
        </is>
      </c>
      <c r="O234" s="108" t="inlineStr">
        <is>
          <t xml:space="preserve">#N/A </t>
        </is>
      </c>
      <c r="P234" s="123" t="inlineStr">
        <is>
          <t xml:space="preserve">#N/A </t>
        </is>
      </c>
    </row>
    <row r="235">
      <c r="A235" s="95" t="inlineStr">
        <is>
          <t>Glovis Lander</t>
        </is>
      </c>
      <c r="C235" s="141" t="inlineStr">
        <is>
          <t>GLAN-60037/26-1</t>
        </is>
      </c>
      <c r="D235" s="95">
        <f>IF(OR(ISNUMBER(SEARCH("Pre Delivery",E235)),ISNUMBER(SEARCH("Pre-Delivery",E235)),ISNUMBER(SEARCH("Predelivery",E235)),ISNUMBER(SEARCH("PD -",E235)),ISNUMBER(SEARCH("PD Lubes",E235))),"Pre-Delivery","")</f>
        <v/>
      </c>
      <c r="E235" s="141" t="inlineStr">
        <is>
          <t>Pre Delivery - Seatab</t>
        </is>
      </c>
      <c r="F235" s="141" t="inlineStr">
        <is>
          <t>Explosion Proof Camera</t>
        </is>
      </c>
      <c r="H235" s="141" t="inlineStr">
        <is>
          <t>Spares</t>
        </is>
      </c>
      <c r="I235" s="95" t="inlineStr">
        <is>
          <t>Pending Delivery</t>
        </is>
      </c>
      <c r="J235" s="97" t="n">
        <v>46098</v>
      </c>
      <c r="K235" s="108" t="n"/>
      <c r="L235" s="141" t="inlineStr">
        <is>
          <t>PCTC</t>
        </is>
      </c>
      <c r="M235" s="108" t="inlineStr">
        <is>
          <t xml:space="preserve">#N/A </t>
        </is>
      </c>
      <c r="N235" s="108" t="inlineStr">
        <is>
          <t xml:space="preserve">#N/A </t>
        </is>
      </c>
      <c r="O235" s="108" t="inlineStr">
        <is>
          <t xml:space="preserve">#N/A </t>
        </is>
      </c>
      <c r="P235" s="123" t="inlineStr">
        <is>
          <t xml:space="preserve">#N/A </t>
        </is>
      </c>
    </row>
    <row r="236">
      <c r="A236" s="95" t="inlineStr">
        <is>
          <t>Glovis Lander</t>
        </is>
      </c>
      <c r="C236" s="141" t="inlineStr">
        <is>
          <t>GLAN-60039/26-1</t>
        </is>
      </c>
      <c r="D236" s="95">
        <f>IF(OR(ISNUMBER(SEARCH("Pre Delivery",E236)),ISNUMBER(SEARCH("Pre-Delivery",E236)),ISNUMBER(SEARCH("Predelivery",E236)),ISNUMBER(SEARCH("PD -",E236)),ISNUMBER(SEARCH("PD Lubes",E236))),"Pre-Delivery","")</f>
        <v/>
      </c>
      <c r="E236" s="141" t="inlineStr">
        <is>
          <t>FLIR ESPro and E6 Pro</t>
        </is>
      </c>
      <c r="F236" s="141" t="inlineStr">
        <is>
          <t>Cryogenic PPE</t>
        </is>
      </c>
      <c r="H236" s="141" t="inlineStr">
        <is>
          <t>Stores</t>
        </is>
      </c>
      <c r="I236" s="95" t="inlineStr">
        <is>
          <t>Pending Delivery</t>
        </is>
      </c>
      <c r="K236" s="108" t="n"/>
      <c r="L236" s="141" t="inlineStr">
        <is>
          <t>PCTC</t>
        </is>
      </c>
      <c r="M236" s="108" t="inlineStr">
        <is>
          <t xml:space="preserve">#N/A </t>
        </is>
      </c>
      <c r="N236" s="108" t="inlineStr">
        <is>
          <t xml:space="preserve">#N/A </t>
        </is>
      </c>
      <c r="O236" s="108" t="inlineStr">
        <is>
          <t xml:space="preserve">#N/A </t>
        </is>
      </c>
      <c r="P236" s="123" t="inlineStr">
        <is>
          <t xml:space="preserve">#N/A </t>
        </is>
      </c>
    </row>
    <row r="237">
      <c r="A237" s="95" t="inlineStr">
        <is>
          <t>Glovis Lander</t>
        </is>
      </c>
      <c r="D237" s="95">
        <f>IF(OR(ISNUMBER(SEARCH("Pre Delivery",E237)),ISNUMBER(SEARCH("Pre-Delivery",E237)),ISNUMBER(SEARCH("Predelivery",E237)),ISNUMBER(SEARCH("PD -",E237)),ISNUMBER(SEARCH("PD Lubes",E237))),"Pre-Delivery","")</f>
        <v/>
      </c>
      <c r="E237" s="141" t="inlineStr">
        <is>
          <t>8. Explosion Proof Camera</t>
        </is>
      </c>
      <c r="F237" s="141" t="inlineStr">
        <is>
          <t>Temperature &amp; Pressure Calibrators</t>
        </is>
      </c>
      <c r="H237" s="141" t="inlineStr">
        <is>
          <t>Stores</t>
        </is>
      </c>
      <c r="K237" s="108" t="n"/>
      <c r="L237" s="141" t="inlineStr">
        <is>
          <t>PCTC</t>
        </is>
      </c>
      <c r="M237" s="108" t="inlineStr">
        <is>
          <t xml:space="preserve">#N/A </t>
        </is>
      </c>
      <c r="N237" s="108" t="inlineStr">
        <is>
          <t xml:space="preserve">#N/A </t>
        </is>
      </c>
      <c r="O237" s="108" t="inlineStr">
        <is>
          <t xml:space="preserve">#N/A </t>
        </is>
      </c>
      <c r="P237" s="123" t="inlineStr">
        <is>
          <t xml:space="preserve">#N/A </t>
        </is>
      </c>
    </row>
    <row r="238">
      <c r="A238" s="95" t="inlineStr">
        <is>
          <t>Glovis Lander</t>
        </is>
      </c>
      <c r="C238" s="141" t="inlineStr">
        <is>
          <t>GLAN-60035/26-1</t>
        </is>
      </c>
      <c r="D238" s="95">
        <f>IF(OR(ISNUMBER(SEARCH("Pre Delivery",E238)),ISNUMBER(SEARCH("Pre-Delivery",E238)),ISNUMBER(SEARCH("Predelivery",E238)),ISNUMBER(SEARCH("PD -",E238)),ISNUMBER(SEARCH("PD Lubes",E238))),"Pre-Delivery","")</f>
        <v/>
      </c>
      <c r="E238" s="141" t="inlineStr">
        <is>
          <t>Pre Delivery - Cryogenic PPE</t>
        </is>
      </c>
      <c r="F238" s="141" t="inlineStr">
        <is>
          <t>VISWA Line Samplers</t>
        </is>
      </c>
      <c r="H238" s="141" t="inlineStr">
        <is>
          <t>Stores</t>
        </is>
      </c>
      <c r="I238" s="95" t="inlineStr">
        <is>
          <t>Not Created</t>
        </is>
      </c>
      <c r="J238" s="97" t="n">
        <v>46098</v>
      </c>
      <c r="K238" s="108" t="n"/>
      <c r="L238" s="141" t="inlineStr">
        <is>
          <t>PCTC</t>
        </is>
      </c>
      <c r="M238" s="108" t="inlineStr">
        <is>
          <t xml:space="preserve">#N/A </t>
        </is>
      </c>
      <c r="N238" s="108" t="inlineStr">
        <is>
          <t xml:space="preserve">#N/A </t>
        </is>
      </c>
      <c r="O238" s="108" t="inlineStr">
        <is>
          <t xml:space="preserve">#N/A </t>
        </is>
      </c>
      <c r="P238" s="123" t="inlineStr">
        <is>
          <t xml:space="preserve">#N/A </t>
        </is>
      </c>
    </row>
    <row r="239">
      <c r="A239" s="95" t="inlineStr">
        <is>
          <t>Glovis Lander</t>
        </is>
      </c>
      <c r="D239" s="95">
        <f>IF(OR(ISNUMBER(SEARCH("Pre Delivery",E239)),ISNUMBER(SEARCH("Pre-Delivery",E239)),ISNUMBER(SEARCH("Predelivery",E239)),ISNUMBER(SEARCH("PD -",E239)),ISNUMBER(SEARCH("PD Lubes",E239))),"Pre-Delivery","")</f>
        <v/>
      </c>
      <c r="E239" s="141" t="inlineStr">
        <is>
          <t>10. Temperature &amp; Pressure Calibrators</t>
        </is>
      </c>
      <c r="F239" s="141" t="inlineStr">
        <is>
          <t>IMPA Stores - Stationery</t>
        </is>
      </c>
      <c r="H239" s="141" t="inlineStr">
        <is>
          <t>Stores</t>
        </is>
      </c>
      <c r="K239" s="108" t="n"/>
      <c r="L239" s="141" t="inlineStr">
        <is>
          <t>PCTC</t>
        </is>
      </c>
      <c r="M239" s="108" t="inlineStr">
        <is>
          <t xml:space="preserve">#N/A </t>
        </is>
      </c>
      <c r="N239" s="108" t="inlineStr">
        <is>
          <t xml:space="preserve">#N/A </t>
        </is>
      </c>
      <c r="O239" s="108" t="inlineStr">
        <is>
          <t xml:space="preserve">#N/A </t>
        </is>
      </c>
      <c r="P239" s="123" t="inlineStr">
        <is>
          <t xml:space="preserve">#N/A </t>
        </is>
      </c>
    </row>
    <row r="240">
      <c r="A240" s="95" t="inlineStr">
        <is>
          <t>Glovis Lander</t>
        </is>
      </c>
      <c r="D240" s="95">
        <f>IF(OR(ISNUMBER(SEARCH("Pre Delivery",E240)),ISNUMBER(SEARCH("Pre-Delivery",E240)),ISNUMBER(SEARCH("Predelivery",E240)),ISNUMBER(SEARCH("PD -",E240)),ISNUMBER(SEARCH("PD Lubes",E240))),"Pre-Delivery","")</f>
        <v/>
      </c>
      <c r="E240" s="141" t="inlineStr">
        <is>
          <t>11. VISWA Line Samplers</t>
        </is>
      </c>
      <c r="F240" s="141" t="inlineStr">
        <is>
          <t>HP Pump (Hydraulic Nuts)</t>
        </is>
      </c>
      <c r="H240" s="141" t="inlineStr">
        <is>
          <t>Stores</t>
        </is>
      </c>
      <c r="K240" s="108" t="n"/>
      <c r="L240" s="141" t="inlineStr">
        <is>
          <t>PCTC</t>
        </is>
      </c>
      <c r="M240" s="108" t="inlineStr">
        <is>
          <t xml:space="preserve">#N/A </t>
        </is>
      </c>
      <c r="N240" s="108" t="inlineStr">
        <is>
          <t xml:space="preserve">#N/A </t>
        </is>
      </c>
      <c r="O240" s="108" t="inlineStr">
        <is>
          <t xml:space="preserve">#N/A </t>
        </is>
      </c>
      <c r="P240" s="123" t="inlineStr">
        <is>
          <t xml:space="preserve">#N/A </t>
        </is>
      </c>
    </row>
    <row r="241">
      <c r="A241" s="95" t="inlineStr">
        <is>
          <t>Glovis Lander</t>
        </is>
      </c>
      <c r="D241" s="95">
        <f>IF(OR(ISNUMBER(SEARCH("Pre Delivery",E241)),ISNUMBER(SEARCH("Pre-Delivery",E241)),ISNUMBER(SEARCH("Predelivery",E241)),ISNUMBER(SEARCH("PD -",E241)),ISNUMBER(SEARCH("PD Lubes",E241))),"Pre-Delivery","")</f>
        <v/>
      </c>
      <c r="E241" s="141" t="inlineStr">
        <is>
          <t xml:space="preserve">12. Standard Chinese stationery </t>
        </is>
      </c>
      <c r="F241" s="141" t="inlineStr">
        <is>
          <t>Chemicals - General</t>
        </is>
      </c>
      <c r="H241" s="141" t="inlineStr">
        <is>
          <t>Stores</t>
        </is>
      </c>
      <c r="K241" s="108" t="n"/>
      <c r="L241" s="141" t="inlineStr">
        <is>
          <t>PCTC</t>
        </is>
      </c>
      <c r="M241" s="108" t="inlineStr">
        <is>
          <t xml:space="preserve">#N/A </t>
        </is>
      </c>
      <c r="N241" s="108" t="inlineStr">
        <is>
          <t xml:space="preserve">#N/A </t>
        </is>
      </c>
      <c r="O241" s="108" t="inlineStr">
        <is>
          <t xml:space="preserve">#N/A </t>
        </is>
      </c>
      <c r="P241" s="123" t="inlineStr">
        <is>
          <t xml:space="preserve">#N/A </t>
        </is>
      </c>
    </row>
    <row r="242" ht="37.5" customHeight="1">
      <c r="A242" s="95" t="inlineStr">
        <is>
          <t>Glovis Lander</t>
        </is>
      </c>
      <c r="D242" s="95">
        <f>IF(OR(ISNUMBER(SEARCH("Pre Delivery",E242)),ISNUMBER(SEARCH("Pre-Delivery",E242)),ISNUMBER(SEARCH("Predelivery",E242)),ISNUMBER(SEARCH("PD -",E242)),ISNUMBER(SEARCH("PD Lubes",E242))),"Pre-Delivery","")</f>
        <v/>
      </c>
      <c r="E242" s="141" t="inlineStr">
        <is>
          <t>13. Air driven HP Pump - For hydraulic nuts for M/E - From Dan Marine or VLINK</t>
        </is>
      </c>
      <c r="F242" s="141" t="inlineStr">
        <is>
          <t>Mooring Ropes</t>
        </is>
      </c>
      <c r="H242" s="141" t="inlineStr">
        <is>
          <t>Stores</t>
        </is>
      </c>
      <c r="K242" s="108" t="n"/>
      <c r="L242" s="141" t="inlineStr">
        <is>
          <t>PCTC</t>
        </is>
      </c>
      <c r="M242" s="108" t="inlineStr">
        <is>
          <t xml:space="preserve">#N/A </t>
        </is>
      </c>
      <c r="N242" s="108" t="inlineStr">
        <is>
          <t xml:space="preserve">#N/A </t>
        </is>
      </c>
      <c r="O242" s="108" t="inlineStr">
        <is>
          <t xml:space="preserve">#N/A </t>
        </is>
      </c>
      <c r="P242" s="123" t="inlineStr">
        <is>
          <t xml:space="preserve">#N/A </t>
        </is>
      </c>
    </row>
    <row r="243">
      <c r="A243" s="95" t="inlineStr">
        <is>
          <t>Glovis Lander</t>
        </is>
      </c>
      <c r="D243" s="95">
        <f>IF(OR(ISNUMBER(SEARCH("Pre Delivery",E243)),ISNUMBER(SEARCH("Pre-Delivery",E243)),ISNUMBER(SEARCH("Predelivery",E243)),ISNUMBER(SEARCH("PD -",E243)),ISNUMBER(SEARCH("PD Lubes",E243))),"Pre-Delivery","")</f>
        <v/>
      </c>
      <c r="E243" s="141" t="inlineStr">
        <is>
          <t>Chemical</t>
        </is>
      </c>
      <c r="F243" s="141" t="inlineStr">
        <is>
          <t>UHF Radio</t>
        </is>
      </c>
      <c r="H243" s="141" t="inlineStr">
        <is>
          <t>Stores</t>
        </is>
      </c>
      <c r="K243" s="108" t="n"/>
      <c r="L243" s="141" t="inlineStr">
        <is>
          <t>PCTC</t>
        </is>
      </c>
      <c r="M243" s="108" t="inlineStr">
        <is>
          <t xml:space="preserve">#N/A </t>
        </is>
      </c>
      <c r="N243" s="108" t="inlineStr">
        <is>
          <t xml:space="preserve">#N/A </t>
        </is>
      </c>
      <c r="O243" s="108" t="inlineStr">
        <is>
          <t xml:space="preserve">#N/A </t>
        </is>
      </c>
      <c r="P243" s="123" t="inlineStr">
        <is>
          <t xml:space="preserve">#N/A </t>
        </is>
      </c>
    </row>
    <row r="244">
      <c r="A244" s="95" t="inlineStr">
        <is>
          <t>Glovis Lander</t>
        </is>
      </c>
      <c r="C244" s="141" t="inlineStr">
        <is>
          <t>GLAN-60036/26-1</t>
        </is>
      </c>
      <c r="D244" s="95">
        <f>IF(OR(ISNUMBER(SEARCH("Pre Delivery",E244)),ISNUMBER(SEARCH("Pre-Delivery",E244)),ISNUMBER(SEARCH("Predelivery",E244)),ISNUMBER(SEARCH("PD -",E244)),ISNUMBER(SEARCH("PD Lubes",E244))),"Pre-Delivery","")</f>
        <v/>
      </c>
      <c r="E244" s="141" t="inlineStr">
        <is>
          <t>Mooring Rope</t>
        </is>
      </c>
      <c r="F244" s="141" t="inlineStr">
        <is>
          <t>Soot Treatment</t>
        </is>
      </c>
      <c r="H244" s="141" t="inlineStr">
        <is>
          <t>Stores</t>
        </is>
      </c>
      <c r="I244" s="95" t="inlineStr">
        <is>
          <t>Pending Delivery</t>
        </is>
      </c>
      <c r="K244" s="108" t="n"/>
      <c r="L244" s="141" t="inlineStr">
        <is>
          <t>PCTC</t>
        </is>
      </c>
      <c r="M244" s="108" t="inlineStr">
        <is>
          <t xml:space="preserve">#N/A </t>
        </is>
      </c>
      <c r="N244" s="108" t="inlineStr">
        <is>
          <t xml:space="preserve">#N/A </t>
        </is>
      </c>
      <c r="O244" s="108" t="inlineStr">
        <is>
          <t xml:space="preserve">#N/A </t>
        </is>
      </c>
      <c r="P244" s="123" t="inlineStr">
        <is>
          <t xml:space="preserve">#N/A </t>
        </is>
      </c>
    </row>
    <row r="245">
      <c r="A245" s="95" t="inlineStr">
        <is>
          <t>Glovis Lander</t>
        </is>
      </c>
      <c r="D245" s="95">
        <f>IF(OR(ISNUMBER(SEARCH("Pre Delivery",E245)),ISNUMBER(SEARCH("Pre-Delivery",E245)),ISNUMBER(SEARCH("Predelivery",E245)),ISNUMBER(SEARCH("PD -",E245)),ISNUMBER(SEARCH("PD Lubes",E245))),"Pre-Delivery","")</f>
        <v/>
      </c>
      <c r="E245" s="141" t="inlineStr">
        <is>
          <t>UHF Radio</t>
        </is>
      </c>
      <c r="F245" s="141" t="inlineStr">
        <is>
          <t>Garbage Refrigerator</t>
        </is>
      </c>
      <c r="H245" s="141" t="inlineStr">
        <is>
          <t>Stores</t>
        </is>
      </c>
      <c r="K245" s="108" t="n"/>
      <c r="L245" s="141" t="inlineStr">
        <is>
          <t>PCTC</t>
        </is>
      </c>
      <c r="M245" s="108" t="inlineStr">
        <is>
          <t xml:space="preserve">#N/A </t>
        </is>
      </c>
      <c r="N245" s="108" t="inlineStr">
        <is>
          <t xml:space="preserve">#N/A </t>
        </is>
      </c>
      <c r="O245" s="108" t="inlineStr">
        <is>
          <t xml:space="preserve">#N/A </t>
        </is>
      </c>
      <c r="P245" s="123" t="inlineStr">
        <is>
          <t xml:space="preserve">#N/A </t>
        </is>
      </c>
    </row>
    <row r="246">
      <c r="A246" s="95" t="inlineStr">
        <is>
          <t>Glovis Lander</t>
        </is>
      </c>
      <c r="D246" s="95">
        <f>IF(OR(ISNUMBER(SEARCH("Pre Delivery",E246)),ISNUMBER(SEARCH("Pre-Delivery",E246)),ISNUMBER(SEARCH("Predelivery",E246)),ISNUMBER(SEARCH("PD -",E246)),ISNUMBER(SEARCH("PD Lubes",E246))),"Pre-Delivery","")</f>
        <v/>
      </c>
      <c r="E246" s="141" t="inlineStr">
        <is>
          <t xml:space="preserve">Soot </t>
        </is>
      </c>
      <c r="F246" s="141" t="inlineStr">
        <is>
          <t>Dual Fuel Tools</t>
        </is>
      </c>
      <c r="H246" s="141" t="inlineStr">
        <is>
          <t>Stores</t>
        </is>
      </c>
      <c r="K246" s="108" t="n"/>
      <c r="L246" s="141" t="inlineStr">
        <is>
          <t>PCTC</t>
        </is>
      </c>
      <c r="M246" s="108" t="inlineStr">
        <is>
          <t xml:space="preserve">#N/A </t>
        </is>
      </c>
      <c r="N246" s="108" t="inlineStr">
        <is>
          <t xml:space="preserve">#N/A </t>
        </is>
      </c>
      <c r="O246" s="108" t="inlineStr">
        <is>
          <t xml:space="preserve">#N/A </t>
        </is>
      </c>
      <c r="P246" s="123" t="inlineStr">
        <is>
          <t xml:space="preserve">#N/A </t>
        </is>
      </c>
    </row>
    <row r="247">
      <c r="A247" s="95" t="inlineStr">
        <is>
          <t>Glovis Lander</t>
        </is>
      </c>
      <c r="D247" s="95">
        <f>IF(OR(ISNUMBER(SEARCH("Pre Delivery",E247)),ISNUMBER(SEARCH("Pre-Delivery",E247)),ISNUMBER(SEARCH("Predelivery",E247)),ISNUMBER(SEARCH("PD -",E247)),ISNUMBER(SEARCH("PD Lubes",E247))),"Pre-Delivery","")</f>
        <v/>
      </c>
      <c r="E247" s="141" t="inlineStr">
        <is>
          <t>Garbage Refrigerator</t>
        </is>
      </c>
      <c r="F247" s="141" t="inlineStr">
        <is>
          <t>UHF Antenna</t>
        </is>
      </c>
      <c r="H247" s="141" t="inlineStr">
        <is>
          <t>Stores</t>
        </is>
      </c>
      <c r="K247" s="108" t="n"/>
      <c r="L247" s="141" t="inlineStr">
        <is>
          <t>PCTC</t>
        </is>
      </c>
      <c r="M247" s="108" t="inlineStr">
        <is>
          <t xml:space="preserve">#N/A </t>
        </is>
      </c>
      <c r="N247" s="108" t="inlineStr">
        <is>
          <t xml:space="preserve">#N/A </t>
        </is>
      </c>
      <c r="O247" s="108" t="inlineStr">
        <is>
          <t xml:space="preserve">#N/A </t>
        </is>
      </c>
      <c r="P247" s="123" t="inlineStr">
        <is>
          <t xml:space="preserve">#N/A </t>
        </is>
      </c>
    </row>
    <row r="248">
      <c r="A248" s="95" t="inlineStr">
        <is>
          <t>Glovis Lander</t>
        </is>
      </c>
      <c r="C248" s="141" t="inlineStr">
        <is>
          <t>GLAN-60069/26</t>
        </is>
      </c>
      <c r="D248" s="95">
        <f>IF(OR(ISNUMBER(SEARCH("Pre Delivery",E248)),ISNUMBER(SEARCH("Pre-Delivery",E248)),ISNUMBER(SEARCH("Predelivery",E248)),ISNUMBER(SEARCH("PD -",E248)),ISNUMBER(SEARCH("PD Lubes",E248))),"Pre-Delivery","")</f>
        <v/>
      </c>
      <c r="E248" s="141" t="inlineStr">
        <is>
          <t>DF Tools</t>
        </is>
      </c>
      <c r="F248" s="141" t="inlineStr">
        <is>
          <t>Sample Cooler</t>
        </is>
      </c>
      <c r="H248" s="141" t="inlineStr">
        <is>
          <t>Stores</t>
        </is>
      </c>
      <c r="I248" s="95" t="inlineStr">
        <is>
          <t>Pending Approval</t>
        </is>
      </c>
      <c r="K248" s="108" t="n"/>
      <c r="L248" s="141" t="inlineStr">
        <is>
          <t>PCTC</t>
        </is>
      </c>
      <c r="M248" s="108" t="inlineStr">
        <is>
          <t xml:space="preserve">#N/A </t>
        </is>
      </c>
      <c r="N248" s="108" t="inlineStr">
        <is>
          <t xml:space="preserve">#N/A </t>
        </is>
      </c>
      <c r="O248" s="108" t="inlineStr">
        <is>
          <t xml:space="preserve">#N/A </t>
        </is>
      </c>
      <c r="P248" s="123" t="inlineStr">
        <is>
          <t xml:space="preserve">#N/A </t>
        </is>
      </c>
    </row>
    <row r="249">
      <c r="A249" s="95" t="inlineStr">
        <is>
          <t>Glovis Lander</t>
        </is>
      </c>
      <c r="D249" s="95">
        <f>IF(OR(ISNUMBER(SEARCH("Pre Delivery",E249)),ISNUMBER(SEARCH("Pre-Delivery",E249)),ISNUMBER(SEARCH("Predelivery",E249)),ISNUMBER(SEARCH("PD -",E249)),ISNUMBER(SEARCH("PD Lubes",E249))),"Pre-Delivery","")</f>
        <v/>
      </c>
      <c r="E249" s="141" t="inlineStr">
        <is>
          <t>UHF Antenna</t>
        </is>
      </c>
      <c r="F249" s="141" t="inlineStr">
        <is>
          <t>Citadel VHF/GPS/UHF System</t>
        </is>
      </c>
      <c r="H249" s="141" t="inlineStr">
        <is>
          <t>Stores</t>
        </is>
      </c>
      <c r="K249" s="108" t="n"/>
      <c r="L249" s="141" t="inlineStr">
        <is>
          <t>PCTC</t>
        </is>
      </c>
      <c r="M249" s="108" t="inlineStr">
        <is>
          <t xml:space="preserve">#N/A </t>
        </is>
      </c>
      <c r="N249" s="108" t="inlineStr">
        <is>
          <t xml:space="preserve">#N/A </t>
        </is>
      </c>
      <c r="O249" s="108" t="inlineStr">
        <is>
          <t xml:space="preserve">#N/A </t>
        </is>
      </c>
      <c r="P249" s="123" t="inlineStr">
        <is>
          <t xml:space="preserve">#N/A </t>
        </is>
      </c>
    </row>
    <row r="250">
      <c r="A250" s="95" t="inlineStr">
        <is>
          <t>Glovis Lander</t>
        </is>
      </c>
      <c r="C250" s="141" t="inlineStr">
        <is>
          <t>GLAN-60038/26-1</t>
        </is>
      </c>
      <c r="D250" s="95">
        <f>IF(OR(ISNUMBER(SEARCH("Pre Delivery",E250)),ISNUMBER(SEARCH("Pre-Delivery",E250)),ISNUMBER(SEARCH("Predelivery",E250)),ISNUMBER(SEARCH("PD -",E250)),ISNUMBER(SEARCH("PD Lubes",E250))),"Pre-Delivery","")</f>
        <v/>
      </c>
      <c r="E250" s="141" t="inlineStr">
        <is>
          <t>Pre Delivery - Sample Cooler</t>
        </is>
      </c>
      <c r="F250" s="141" t="inlineStr">
        <is>
          <t>Stanchions</t>
        </is>
      </c>
      <c r="H250" s="141" t="inlineStr">
        <is>
          <t>Spares</t>
        </is>
      </c>
      <c r="I250" s="95" t="inlineStr">
        <is>
          <t>Pending Approval</t>
        </is>
      </c>
      <c r="J250" s="97" t="n">
        <v>46101</v>
      </c>
      <c r="K250" s="108" t="n"/>
      <c r="L250" s="141" t="inlineStr">
        <is>
          <t>PCTC</t>
        </is>
      </c>
      <c r="M250" s="108" t="inlineStr">
        <is>
          <t xml:space="preserve">#N/A </t>
        </is>
      </c>
      <c r="N250" s="108" t="inlineStr">
        <is>
          <t xml:space="preserve">#N/A </t>
        </is>
      </c>
      <c r="O250" s="108" t="inlineStr">
        <is>
          <t xml:space="preserve">#N/A </t>
        </is>
      </c>
      <c r="P250" s="123" t="inlineStr">
        <is>
          <t xml:space="preserve">#N/A </t>
        </is>
      </c>
    </row>
    <row r="251">
      <c r="A251" s="95" t="inlineStr">
        <is>
          <t>Glovis Lander</t>
        </is>
      </c>
      <c r="D251" s="95">
        <f>IF(OR(ISNUMBER(SEARCH("Pre Delivery",E251)),ISNUMBER(SEARCH("Pre-Delivery",E251)),ISNUMBER(SEARCH("Predelivery",E251)),ISNUMBER(SEARCH("PD -",E251)),ISNUMBER(SEARCH("PD Lubes",E251))),"Pre-Delivery","")</f>
        <v/>
      </c>
      <c r="E251" s="141" t="inlineStr">
        <is>
          <t>Citadel Items</t>
        </is>
      </c>
      <c r="F251" s="141" t="inlineStr">
        <is>
          <t>Communications - VLINK Cable</t>
        </is>
      </c>
      <c r="H251" s="141" t="inlineStr">
        <is>
          <t>Spares</t>
        </is>
      </c>
      <c r="K251" s="108" t="n"/>
      <c r="L251" s="141" t="inlineStr">
        <is>
          <t>PCTC</t>
        </is>
      </c>
      <c r="M251" s="108" t="inlineStr">
        <is>
          <t xml:space="preserve">#N/A </t>
        </is>
      </c>
      <c r="N251" s="108" t="inlineStr">
        <is>
          <t xml:space="preserve">#N/A </t>
        </is>
      </c>
      <c r="O251" s="108" t="inlineStr">
        <is>
          <t xml:space="preserve">#N/A </t>
        </is>
      </c>
      <c r="P251" s="123" t="inlineStr">
        <is>
          <t xml:space="preserve">#N/A </t>
        </is>
      </c>
    </row>
    <row r="252" ht="19.5" customFormat="1" customHeight="1" s="100" thickBot="1">
      <c r="A252" s="98" t="inlineStr">
        <is>
          <t>Glovis Lander</t>
        </is>
      </c>
      <c r="B252" s="142" t="n"/>
      <c r="C252" s="142" t="n"/>
      <c r="D252" s="98">
        <f>IF(OR(ISNUMBER(SEARCH("Pre Delivery",E252)),ISNUMBER(SEARCH("Pre-Delivery",E252)),ISNUMBER(SEARCH("Predelivery",E252)),ISNUMBER(SEARCH("PD -",E252)),ISNUMBER(SEARCH("PD Lubes",E252))),"Pre-Delivery","")</f>
        <v/>
      </c>
      <c r="E252" s="142" t="inlineStr">
        <is>
          <t>Stanchions</t>
        </is>
      </c>
      <c r="F252" s="142" t="inlineStr">
        <is>
          <t>Stanchions</t>
        </is>
      </c>
      <c r="G252" s="142" t="n"/>
      <c r="H252" s="142" t="inlineStr">
        <is>
          <t>Spares</t>
        </is>
      </c>
      <c r="I252" s="98" t="n"/>
      <c r="J252" s="142" t="n"/>
      <c r="K252" s="142" t="n"/>
      <c r="L252" s="142" t="inlineStr">
        <is>
          <t>PCTC</t>
        </is>
      </c>
      <c r="M252" s="110" t="inlineStr">
        <is>
          <t xml:space="preserve">#N/A </t>
        </is>
      </c>
      <c r="N252" s="110" t="inlineStr">
        <is>
          <t xml:space="preserve">#N/A </t>
        </is>
      </c>
      <c r="O252" s="110" t="inlineStr">
        <is>
          <t xml:space="preserve">#N/A </t>
        </is>
      </c>
      <c r="P252" s="124" t="inlineStr">
        <is>
          <t xml:space="preserve">#N/A </t>
        </is>
      </c>
    </row>
    <row r="253">
      <c r="A253" s="95" t="inlineStr">
        <is>
          <t>Glovis Link</t>
        </is>
      </c>
      <c r="C253" s="141" t="inlineStr">
        <is>
          <t>GLIN-60016/26-1</t>
        </is>
      </c>
      <c r="D253" s="95">
        <f>IF(OR(ISNUMBER(SEARCH("Pre Delivery",E253)),ISNUMBER(SEARCH("Pre-Delivery",E253)),ISNUMBER(SEARCH("Predelivery",E253)),ISNUMBER(SEARCH("PD -",E253)),ISNUMBER(SEARCH("PD Lubes",E253))),"Pre-Delivery","")</f>
        <v/>
      </c>
      <c r="E253" s="141" t="inlineStr">
        <is>
          <t>FS-VLINK CABLE</t>
        </is>
      </c>
      <c r="F253" s="141" t="inlineStr">
        <is>
          <t>IT Equipment - ITBP</t>
        </is>
      </c>
      <c r="H253" s="141" t="inlineStr">
        <is>
          <t>Others</t>
        </is>
      </c>
      <c r="I253" s="95" t="inlineStr">
        <is>
          <t>Pending Delivery</t>
        </is>
      </c>
      <c r="J253" s="105" t="n">
        <v>46064</v>
      </c>
      <c r="K253" s="97" t="n">
        <v>46079</v>
      </c>
      <c r="L253" s="141" t="inlineStr">
        <is>
          <t>PCTC</t>
        </is>
      </c>
      <c r="M253" s="108" t="inlineStr">
        <is>
          <t xml:space="preserve">#N/A </t>
        </is>
      </c>
      <c r="N253" s="108" t="inlineStr">
        <is>
          <t xml:space="preserve">#N/A </t>
        </is>
      </c>
      <c r="O253" s="108" t="inlineStr">
        <is>
          <t xml:space="preserve">#N/A </t>
        </is>
      </c>
      <c r="P253" s="123" t="inlineStr">
        <is>
          <t xml:space="preserve">#N/A </t>
        </is>
      </c>
    </row>
    <row r="254">
      <c r="A254" s="95" t="inlineStr">
        <is>
          <t>Glovis Link</t>
        </is>
      </c>
      <c r="C254" s="141" t="inlineStr">
        <is>
          <t>GLIN-60019/26</t>
        </is>
      </c>
      <c r="D254" s="95">
        <f>IF(OR(ISNUMBER(SEARCH("Pre Delivery",E254)),ISNUMBER(SEARCH("Pre-Delivery",E254)),ISNUMBER(SEARCH("Predelivery",E254)),ISNUMBER(SEARCH("PD -",E254)),ISNUMBER(SEARCH("PD Lubes",E254))),"Pre-Delivery","")</f>
        <v/>
      </c>
      <c r="E254" s="141" t="inlineStr">
        <is>
          <t>Reliability Spares - PCTC-Seaspan - Boilers QUOT26012103_R00</t>
        </is>
      </c>
      <c r="F254" s="141" t="inlineStr">
        <is>
          <t>IT Equipment - ITBP Cables</t>
        </is>
      </c>
      <c r="H254" s="141" t="inlineStr">
        <is>
          <t>Spares</t>
        </is>
      </c>
      <c r="I254" s="95" t="inlineStr">
        <is>
          <t>Pending Approval</t>
        </is>
      </c>
      <c r="J254" s="105" t="n">
        <v>46078</v>
      </c>
      <c r="L254" s="141" t="inlineStr">
        <is>
          <t>PCTC</t>
        </is>
      </c>
      <c r="M254" s="108" t="inlineStr">
        <is>
          <t xml:space="preserve">#N/A </t>
        </is>
      </c>
      <c r="N254" s="108" t="inlineStr">
        <is>
          <t xml:space="preserve">#N/A </t>
        </is>
      </c>
      <c r="O254" s="108" t="inlineStr">
        <is>
          <t xml:space="preserve">#N/A </t>
        </is>
      </c>
      <c r="P254" s="123" t="inlineStr">
        <is>
          <t xml:space="preserve">#N/A </t>
        </is>
      </c>
    </row>
    <row r="255">
      <c r="A255" s="95" t="inlineStr">
        <is>
          <t>Glovis Link</t>
        </is>
      </c>
      <c r="C255" s="141" t="inlineStr">
        <is>
          <t>GLIN-60005/26-1</t>
        </is>
      </c>
      <c r="D255" s="95">
        <f>IF(OR(ISNUMBER(SEARCH("Pre Delivery",E255)),ISNUMBER(SEARCH("Pre-Delivery",E255)),ISNUMBER(SEARCH("Predelivery",E255)),ISNUMBER(SEARCH("PD -",E255)),ISNUMBER(SEARCH("PD Lubes",E255))),"Pre-Delivery","")</f>
        <v/>
      </c>
      <c r="E255" s="141" t="inlineStr">
        <is>
          <t>FS-ITBP  -glovis link</t>
        </is>
      </c>
      <c r="F255" s="141" t="inlineStr">
        <is>
          <t>IT Equipment - Sihui Marine</t>
        </is>
      </c>
      <c r="H255" s="141" t="inlineStr">
        <is>
          <t>Others</t>
        </is>
      </c>
      <c r="I255" s="95" t="inlineStr">
        <is>
          <t>Pending Delivery</t>
        </is>
      </c>
      <c r="J255" s="105" t="n">
        <v>46041</v>
      </c>
      <c r="K255" s="97" t="n">
        <v>46079</v>
      </c>
      <c r="L255" s="141" t="inlineStr">
        <is>
          <t>PCTC</t>
        </is>
      </c>
      <c r="M255" s="108" t="inlineStr">
        <is>
          <t xml:space="preserve">#N/A </t>
        </is>
      </c>
      <c r="N255" s="108" t="inlineStr">
        <is>
          <t xml:space="preserve">#N/A </t>
        </is>
      </c>
      <c r="O255" s="108" t="inlineStr">
        <is>
          <t xml:space="preserve">#N/A </t>
        </is>
      </c>
      <c r="P255" s="123" t="inlineStr">
        <is>
          <t xml:space="preserve">#N/A </t>
        </is>
      </c>
    </row>
    <row r="256">
      <c r="A256" s="95" t="inlineStr">
        <is>
          <t>Glovis Link</t>
        </is>
      </c>
      <c r="C256" s="141" t="inlineStr">
        <is>
          <t>GLIN-60013/26-1</t>
        </is>
      </c>
      <c r="D256" s="95">
        <f>IF(OR(ISNUMBER(SEARCH("Pre Delivery",E256)),ISNUMBER(SEARCH("Pre-Delivery",E256)),ISNUMBER(SEARCH("Predelivery",E256)),ISNUMBER(SEARCH("PD -",E256)),ISNUMBER(SEARCH("PD Lubes",E256))),"Pre-Delivery","")</f>
        <v/>
      </c>
      <c r="E256" s="141" t="inlineStr">
        <is>
          <t>FS-ITBP CABLES</t>
        </is>
      </c>
      <c r="F256" s="141" t="inlineStr">
        <is>
          <t>IT Equipment - Computers (Lenovo)</t>
        </is>
      </c>
      <c r="H256" s="141" t="inlineStr">
        <is>
          <t>Others</t>
        </is>
      </c>
      <c r="I256" s="95" t="inlineStr">
        <is>
          <t>Pending Delivery</t>
        </is>
      </c>
      <c r="J256" s="105" t="n">
        <v>46063</v>
      </c>
      <c r="K256" s="97" t="n">
        <v>46079</v>
      </c>
      <c r="L256" s="141" t="inlineStr">
        <is>
          <t>PCTC</t>
        </is>
      </c>
      <c r="M256" s="108" t="inlineStr">
        <is>
          <t xml:space="preserve">#N/A </t>
        </is>
      </c>
      <c r="N256" s="108" t="inlineStr">
        <is>
          <t xml:space="preserve">#N/A </t>
        </is>
      </c>
      <c r="O256" s="108" t="inlineStr">
        <is>
          <t xml:space="preserve">#N/A </t>
        </is>
      </c>
      <c r="P256" s="123" t="inlineStr">
        <is>
          <t xml:space="preserve">#N/A </t>
        </is>
      </c>
    </row>
    <row r="257">
      <c r="A257" s="95" t="inlineStr">
        <is>
          <t>Glovis Link</t>
        </is>
      </c>
      <c r="C257" s="141" t="inlineStr">
        <is>
          <t>GLIN-60009/26-1</t>
        </is>
      </c>
      <c r="D257" s="95">
        <f>IF(OR(ISNUMBER(SEARCH("Pre Delivery",E257)),ISNUMBER(SEARCH("Pre-Delivery",E257)),ISNUMBER(SEARCH("Predelivery",E257)),ISNUMBER(SEARCH("PD -",E257)),ISNUMBER(SEARCH("PD Lubes",E257))),"Pre-Delivery","")</f>
        <v/>
      </c>
      <c r="E257" s="141" t="inlineStr">
        <is>
          <t>FS-SIHUI-link</t>
        </is>
      </c>
      <c r="F257" s="141" t="inlineStr">
        <is>
          <t>Safety Integration - SMiG</t>
        </is>
      </c>
      <c r="H257" s="141" t="inlineStr">
        <is>
          <t>Others</t>
        </is>
      </c>
      <c r="I257" s="95" t="inlineStr">
        <is>
          <t>Pending Delivery</t>
        </is>
      </c>
      <c r="J257" s="105" t="n">
        <v>46048</v>
      </c>
      <c r="K257" s="97" t="n">
        <v>46079</v>
      </c>
      <c r="L257" s="141" t="inlineStr">
        <is>
          <t>PCTC</t>
        </is>
      </c>
      <c r="M257" s="108" t="inlineStr">
        <is>
          <t xml:space="preserve">#N/A </t>
        </is>
      </c>
      <c r="N257" s="108" t="inlineStr">
        <is>
          <t xml:space="preserve">#N/A </t>
        </is>
      </c>
      <c r="O257" s="108" t="inlineStr">
        <is>
          <t xml:space="preserve">#N/A </t>
        </is>
      </c>
      <c r="P257" s="123" t="inlineStr">
        <is>
          <t xml:space="preserve">#N/A </t>
        </is>
      </c>
    </row>
    <row r="258">
      <c r="A258" s="95" t="inlineStr">
        <is>
          <t>Glovis Link</t>
        </is>
      </c>
      <c r="C258" s="141" t="inlineStr">
        <is>
          <t>GLIN-60012/26-1</t>
        </is>
      </c>
      <c r="D258" s="95">
        <f>IF(OR(ISNUMBER(SEARCH("Pre Delivery",E258)),ISNUMBER(SEARCH("Pre-Delivery",E258)),ISNUMBER(SEARCH("Predelivery",E258)),ISNUMBER(SEARCH("PD -",E258)),ISNUMBER(SEARCH("PD Lubes",E258))),"Pre-Delivery","")</f>
        <v/>
      </c>
      <c r="E258" s="141" t="inlineStr">
        <is>
          <t>FS-LENOVO-Link</t>
        </is>
      </c>
      <c r="F258" s="141" t="inlineStr">
        <is>
          <t>Communications - VLINK</t>
        </is>
      </c>
      <c r="H258" s="141" t="inlineStr">
        <is>
          <t>Others</t>
        </is>
      </c>
      <c r="I258" s="95" t="inlineStr">
        <is>
          <t>Pending Delivery</t>
        </is>
      </c>
      <c r="J258" s="105" t="n">
        <v>46063</v>
      </c>
      <c r="K258" s="97" t="n">
        <v>46079</v>
      </c>
      <c r="L258" s="141" t="inlineStr">
        <is>
          <t>PCTC</t>
        </is>
      </c>
      <c r="M258" s="108" t="inlineStr">
        <is>
          <t xml:space="preserve">#N/A </t>
        </is>
      </c>
      <c r="N258" s="108" t="inlineStr">
        <is>
          <t xml:space="preserve">#N/A </t>
        </is>
      </c>
      <c r="O258" s="108" t="inlineStr">
        <is>
          <t xml:space="preserve">#N/A </t>
        </is>
      </c>
      <c r="P258" s="123" t="inlineStr">
        <is>
          <t xml:space="preserve">#N/A </t>
        </is>
      </c>
    </row>
    <row r="259" ht="37.5" customHeight="1">
      <c r="A259" s="95" t="inlineStr">
        <is>
          <t>Glovis Link</t>
        </is>
      </c>
      <c r="C259" s="141" t="inlineStr">
        <is>
          <t>GLIN-60011/26-1</t>
        </is>
      </c>
      <c r="D259" s="95">
        <f>IF(OR(ISNUMBER(SEARCH("Pre Delivery",E259)),ISNUMBER(SEARCH("Pre-Delivery",E259)),ISNUMBER(SEARCH("Predelivery",E259)),ISNUMBER(SEARCH("PD -",E259)),ISNUMBER(SEARCH("PD Lubes",E259))),"Pre-Delivery","")</f>
        <v/>
      </c>
      <c r="E259" s="141" t="inlineStr">
        <is>
          <t>Shipyard Extra (Owner supply) - 10800 CEU LNG PCTC _x0013_ Consilium SMiG Integration</t>
        </is>
      </c>
      <c r="F259" s="141" t="inlineStr">
        <is>
          <t>IT Equipment - ITBP Additional Items</t>
        </is>
      </c>
      <c r="H259" s="141" t="inlineStr">
        <is>
          <t>Spares</t>
        </is>
      </c>
      <c r="I259" s="95" t="inlineStr">
        <is>
          <t>Pending Delivery</t>
        </is>
      </c>
      <c r="J259" s="105" t="n">
        <v>46065</v>
      </c>
      <c r="L259" s="141" t="inlineStr">
        <is>
          <t>PCTC</t>
        </is>
      </c>
      <c r="M259" s="108" t="inlineStr">
        <is>
          <t xml:space="preserve">#N/A </t>
        </is>
      </c>
      <c r="N259" s="108" t="inlineStr">
        <is>
          <t xml:space="preserve">#N/A </t>
        </is>
      </c>
      <c r="O259" s="108" t="inlineStr">
        <is>
          <t xml:space="preserve">#N/A </t>
        </is>
      </c>
      <c r="P259" s="123" t="inlineStr">
        <is>
          <t xml:space="preserve">#N/A </t>
        </is>
      </c>
    </row>
    <row r="260">
      <c r="A260" s="95" t="inlineStr">
        <is>
          <t>Glovis Link</t>
        </is>
      </c>
      <c r="C260" s="141" t="inlineStr">
        <is>
          <t>GLIN-60004/26-1</t>
        </is>
      </c>
      <c r="D260" s="95">
        <f>IF(OR(ISNUMBER(SEARCH("Pre Delivery",E260)),ISNUMBER(SEARCH("Pre-Delivery",E260)),ISNUMBER(SEARCH("Predelivery",E260)),ISNUMBER(SEARCH("PD -",E260)),ISNUMBER(SEARCH("PD Lubes",E260))),"Pre-Delivery","")</f>
        <v/>
      </c>
      <c r="E260" s="141" t="inlineStr">
        <is>
          <t>FS-VLINK-H1612</t>
        </is>
      </c>
      <c r="F260" s="141" t="inlineStr">
        <is>
          <t xml:space="preserve">IT Equipment </t>
        </is>
      </c>
      <c r="H260" s="141" t="inlineStr">
        <is>
          <t>Others</t>
        </is>
      </c>
      <c r="I260" s="95" t="inlineStr">
        <is>
          <t>Pending Delivery</t>
        </is>
      </c>
      <c r="J260" s="105" t="n">
        <v>46041</v>
      </c>
      <c r="K260" s="97" t="n">
        <v>46079</v>
      </c>
      <c r="L260" s="141" t="inlineStr">
        <is>
          <t>PCTC</t>
        </is>
      </c>
      <c r="M260" s="108" t="inlineStr">
        <is>
          <t xml:space="preserve">#N/A </t>
        </is>
      </c>
      <c r="N260" s="108" t="inlineStr">
        <is>
          <t xml:space="preserve">#N/A </t>
        </is>
      </c>
      <c r="O260" s="108" t="inlineStr">
        <is>
          <t xml:space="preserve">#N/A </t>
        </is>
      </c>
      <c r="P260" s="123" t="inlineStr">
        <is>
          <t xml:space="preserve">#N/A </t>
        </is>
      </c>
    </row>
    <row r="261">
      <c r="A261" s="95" t="inlineStr">
        <is>
          <t>Glovis Link</t>
        </is>
      </c>
      <c r="C261" s="141" t="inlineStr">
        <is>
          <t>GLIN-60017/26-1</t>
        </is>
      </c>
      <c r="D261" s="95">
        <f>IF(OR(ISNUMBER(SEARCH("Pre Delivery",E261)),ISNUMBER(SEARCH("Pre-Delivery",E261)),ISNUMBER(SEARCH("Predelivery",E261)),ISNUMBER(SEARCH("PD -",E261)),ISNUMBER(SEARCH("PD Lubes",E261))),"Pre-Delivery","")</f>
        <v/>
      </c>
      <c r="E261" s="141" t="inlineStr">
        <is>
          <t>FS-ITBP Additional Item</t>
        </is>
      </c>
      <c r="F261" s="141" t="inlineStr">
        <is>
          <t>Communications - VLINK Accessories</t>
        </is>
      </c>
      <c r="H261" s="141" t="inlineStr">
        <is>
          <t>Others</t>
        </is>
      </c>
      <c r="I261" s="95" t="inlineStr">
        <is>
          <t>Pending Delivery</t>
        </is>
      </c>
      <c r="J261" s="105" t="n">
        <v>46072</v>
      </c>
      <c r="K261" s="97" t="n">
        <v>46079</v>
      </c>
      <c r="L261" s="141" t="inlineStr">
        <is>
          <t>PCTC</t>
        </is>
      </c>
      <c r="M261" s="108" t="inlineStr">
        <is>
          <t xml:space="preserve">#N/A </t>
        </is>
      </c>
      <c r="N261" s="108" t="inlineStr">
        <is>
          <t xml:space="preserve">#N/A </t>
        </is>
      </c>
      <c r="O261" s="108" t="inlineStr">
        <is>
          <t xml:space="preserve">#N/A </t>
        </is>
      </c>
      <c r="P261" s="123" t="inlineStr">
        <is>
          <t xml:space="preserve">#N/A </t>
        </is>
      </c>
    </row>
    <row r="262">
      <c r="A262" s="95" t="inlineStr">
        <is>
          <t>Glovis Link</t>
        </is>
      </c>
      <c r="C262" s="141" t="inlineStr">
        <is>
          <t>GLIN-60020/26</t>
        </is>
      </c>
      <c r="D262" s="95">
        <f>IF(OR(ISNUMBER(SEARCH("Pre Delivery",E262)),ISNUMBER(SEARCH("Pre-Delivery",E262)),ISNUMBER(SEARCH("Predelivery",E262)),ISNUMBER(SEARCH("PD -",E262)),ISNUMBER(SEARCH("PD Lubes",E262))),"Pre-Delivery","")</f>
        <v/>
      </c>
      <c r="E262" s="141" t="inlineStr">
        <is>
          <t>Reliability Spares - PCTC-Seaspan - Boilers QUOT26012103</t>
        </is>
      </c>
      <c r="F262" s="141" t="inlineStr">
        <is>
          <t>IT Equipment - Interface / Integration</t>
        </is>
      </c>
      <c r="H262" s="141" t="inlineStr">
        <is>
          <t>Spares</t>
        </is>
      </c>
      <c r="I262" s="95" t="inlineStr">
        <is>
          <t>Not Created</t>
        </is>
      </c>
      <c r="J262" s="105" t="n">
        <v>46078</v>
      </c>
      <c r="L262" s="141" t="inlineStr">
        <is>
          <t>PCTC</t>
        </is>
      </c>
      <c r="M262" s="108" t="inlineStr">
        <is>
          <t xml:space="preserve">#N/A </t>
        </is>
      </c>
      <c r="N262" s="108" t="inlineStr">
        <is>
          <t xml:space="preserve">#N/A </t>
        </is>
      </c>
      <c r="O262" s="108" t="inlineStr">
        <is>
          <t xml:space="preserve">#N/A </t>
        </is>
      </c>
      <c r="P262" s="123" t="inlineStr">
        <is>
          <t xml:space="preserve">#N/A </t>
        </is>
      </c>
    </row>
    <row r="263">
      <c r="A263" s="95" t="inlineStr">
        <is>
          <t>Glovis Link</t>
        </is>
      </c>
      <c r="C263" s="141" t="inlineStr">
        <is>
          <t>GLIN-60006/26-1</t>
        </is>
      </c>
      <c r="D263" s="95">
        <f>IF(OR(ISNUMBER(SEARCH("Pre Delivery",E263)),ISNUMBER(SEARCH("Pre-Delivery",E263)),ISNUMBER(SEARCH("Predelivery",E263)),ISNUMBER(SEARCH("PD -",E263)),ISNUMBER(SEARCH("PD Lubes",E263))),"Pre-Delivery","")</f>
        <v/>
      </c>
      <c r="E263" s="141" t="inlineStr">
        <is>
          <t>FS-VLINK-Accessories</t>
        </is>
      </c>
      <c r="F263" s="141" t="inlineStr">
        <is>
          <t>Gas Detection System</t>
        </is>
      </c>
      <c r="H263" s="141" t="inlineStr">
        <is>
          <t>Others</t>
        </is>
      </c>
      <c r="I263" s="95" t="inlineStr">
        <is>
          <t>Pending Delivery</t>
        </is>
      </c>
      <c r="J263" s="105" t="n">
        <v>46043</v>
      </c>
      <c r="K263" s="97" t="n">
        <v>46079</v>
      </c>
      <c r="L263" s="141" t="inlineStr">
        <is>
          <t>PCTC</t>
        </is>
      </c>
      <c r="M263" s="108" t="inlineStr">
        <is>
          <t xml:space="preserve">#N/A </t>
        </is>
      </c>
      <c r="N263" s="108" t="inlineStr">
        <is>
          <t xml:space="preserve">#N/A </t>
        </is>
      </c>
      <c r="O263" s="108" t="inlineStr">
        <is>
          <t xml:space="preserve">#N/A </t>
        </is>
      </c>
      <c r="P263" s="123" t="inlineStr">
        <is>
          <t xml:space="preserve">#N/A </t>
        </is>
      </c>
    </row>
    <row r="264">
      <c r="A264" s="95" t="inlineStr">
        <is>
          <t>Glovis Link</t>
        </is>
      </c>
      <c r="C264" s="141" t="inlineStr">
        <is>
          <t>GLIN-60003/26-1</t>
        </is>
      </c>
      <c r="D264" s="95">
        <f>IF(OR(ISNUMBER(SEARCH("Pre Delivery",E264)),ISNUMBER(SEARCH("Pre-Delivery",E264)),ISNUMBER(SEARCH("Predelivery",E264)),ISNUMBER(SEARCH("PD -",E264)),ISNUMBER(SEARCH("PD Lubes",E264))),"Pre-Delivery","")</f>
        <v/>
      </c>
      <c r="E264" s="141" t="inlineStr">
        <is>
          <t>Interface PO-H1612</t>
        </is>
      </c>
      <c r="F264" s="141" t="inlineStr">
        <is>
          <t>IT Equipment - X10 System</t>
        </is>
      </c>
      <c r="H264" s="141" t="inlineStr">
        <is>
          <t>Others</t>
        </is>
      </c>
      <c r="I264" s="95" t="inlineStr">
        <is>
          <t>Pending Delivery</t>
        </is>
      </c>
      <c r="J264" s="105" t="n">
        <v>46041</v>
      </c>
      <c r="K264" s="97" t="n">
        <v>46079</v>
      </c>
      <c r="L264" s="141" t="inlineStr">
        <is>
          <t>PCTC</t>
        </is>
      </c>
      <c r="M264" s="108" t="inlineStr">
        <is>
          <t xml:space="preserve">#N/A </t>
        </is>
      </c>
      <c r="N264" s="108" t="inlineStr">
        <is>
          <t xml:space="preserve">#N/A </t>
        </is>
      </c>
      <c r="O264" s="108" t="inlineStr">
        <is>
          <t xml:space="preserve">#N/A </t>
        </is>
      </c>
      <c r="P264" s="123" t="inlineStr">
        <is>
          <t xml:space="preserve">#N/A </t>
        </is>
      </c>
    </row>
    <row r="265">
      <c r="A265" s="95" t="inlineStr">
        <is>
          <t>Glovis Link</t>
        </is>
      </c>
      <c r="C265" s="141" t="inlineStr">
        <is>
          <t>GLIN-60023/26-1</t>
        </is>
      </c>
      <c r="D265" s="95">
        <f>IF(OR(ISNUMBER(SEARCH("Pre Delivery",E265)),ISNUMBER(SEARCH("Pre-Delivery",E265)),ISNUMBER(SEARCH("Predelivery",E265)),ISNUMBER(SEARCH("PD -",E265)),ISNUMBER(SEARCH("PD Lubes",E265))),"Pre-Delivery","")</f>
        <v/>
      </c>
      <c r="E265" s="141" t="inlineStr">
        <is>
          <t>Reliabiltiy Spares - Gas Detection System</t>
        </is>
      </c>
      <c r="F265" s="141" t="inlineStr">
        <is>
          <t>Navigation - HiNAS SVM</t>
        </is>
      </c>
      <c r="H265" s="141" t="inlineStr">
        <is>
          <t>Spares</t>
        </is>
      </c>
      <c r="I265" s="95" t="inlineStr">
        <is>
          <t>Pending Delivery</t>
        </is>
      </c>
      <c r="J265" s="105" t="n">
        <v>46087</v>
      </c>
      <c r="L265" s="141" t="inlineStr">
        <is>
          <t>PCTC</t>
        </is>
      </c>
      <c r="M265" s="108" t="inlineStr">
        <is>
          <t xml:space="preserve">#N/A </t>
        </is>
      </c>
      <c r="N265" s="108" t="inlineStr">
        <is>
          <t xml:space="preserve">#N/A </t>
        </is>
      </c>
      <c r="O265" s="108" t="inlineStr">
        <is>
          <t xml:space="preserve">#N/A </t>
        </is>
      </c>
      <c r="P265" s="123" t="inlineStr">
        <is>
          <t xml:space="preserve">#N/A </t>
        </is>
      </c>
    </row>
    <row r="266">
      <c r="A266" s="95" t="inlineStr">
        <is>
          <t>Glovis Link</t>
        </is>
      </c>
      <c r="C266" s="141" t="inlineStr">
        <is>
          <t>GLIN-60007/26-1</t>
        </is>
      </c>
      <c r="D266" s="95">
        <f>IF(OR(ISNUMBER(SEARCH("Pre Delivery",E266)),ISNUMBER(SEARCH("Pre-Delivery",E266)),ISNUMBER(SEARCH("Predelivery",E266)),ISNUMBER(SEARCH("PD -",E266)),ISNUMBER(SEARCH("PD Lubes",E266))),"Pre-Delivery","")</f>
        <v/>
      </c>
      <c r="E266" s="141" t="inlineStr">
        <is>
          <t>FS-X10</t>
        </is>
      </c>
      <c r="F266" s="141" t="inlineStr">
        <is>
          <t>Communications - VSAT (KVH)</t>
        </is>
      </c>
      <c r="H266" s="141" t="inlineStr">
        <is>
          <t>Others</t>
        </is>
      </c>
      <c r="I266" s="95" t="inlineStr">
        <is>
          <t>Pending Delivery</t>
        </is>
      </c>
      <c r="J266" s="97" t="n">
        <v>46043</v>
      </c>
      <c r="K266" s="97" t="n">
        <v>46079</v>
      </c>
      <c r="L266" s="141" t="inlineStr">
        <is>
          <t>PCTC</t>
        </is>
      </c>
      <c r="M266" s="108" t="inlineStr">
        <is>
          <t xml:space="preserve">#N/A </t>
        </is>
      </c>
      <c r="N266" s="108" t="inlineStr">
        <is>
          <t xml:space="preserve">#N/A </t>
        </is>
      </c>
      <c r="O266" s="108" t="inlineStr">
        <is>
          <t xml:space="preserve">#N/A </t>
        </is>
      </c>
      <c r="P266" s="123" t="inlineStr">
        <is>
          <t xml:space="preserve">#N/A </t>
        </is>
      </c>
    </row>
    <row r="267">
      <c r="A267" s="95" t="inlineStr">
        <is>
          <t>Glovis Link</t>
        </is>
      </c>
      <c r="C267" s="141" t="inlineStr">
        <is>
          <t>GLIN-60015/26-1</t>
        </is>
      </c>
      <c r="D267" s="95">
        <f>IF(OR(ISNUMBER(SEARCH("Pre Delivery",E267)),ISNUMBER(SEARCH("Pre-Delivery",E267)),ISNUMBER(SEARCH("Predelivery",E267)),ISNUMBER(SEARCH("PD -",E267)),ISNUMBER(SEARCH("PD Lubes",E267))),"Pre-Delivery","")</f>
        <v/>
      </c>
      <c r="E267" s="141" t="inlineStr">
        <is>
          <t>Shipyard Extra Buyers supply - Hinas SVM SEASPAN 10.8K PCTC</t>
        </is>
      </c>
      <c r="F267" s="141" t="inlineStr">
        <is>
          <t>IT Equipment - AST</t>
        </is>
      </c>
      <c r="H267" s="141" t="inlineStr">
        <is>
          <t>Spares</t>
        </is>
      </c>
      <c r="I267" s="95" t="inlineStr">
        <is>
          <t>Pending Delivery</t>
        </is>
      </c>
      <c r="J267" s="105" t="n">
        <v>46070</v>
      </c>
      <c r="L267" s="141" t="inlineStr">
        <is>
          <t>PCTC</t>
        </is>
      </c>
      <c r="M267" s="108" t="inlineStr">
        <is>
          <t xml:space="preserve">#N/A </t>
        </is>
      </c>
      <c r="N267" s="108" t="inlineStr">
        <is>
          <t xml:space="preserve">#N/A </t>
        </is>
      </c>
      <c r="O267" s="108" t="inlineStr">
        <is>
          <t xml:space="preserve">#N/A </t>
        </is>
      </c>
      <c r="P267" s="123" t="inlineStr">
        <is>
          <t xml:space="preserve">#N/A </t>
        </is>
      </c>
    </row>
    <row r="268">
      <c r="A268" s="95" t="inlineStr">
        <is>
          <t>Glovis Link</t>
        </is>
      </c>
      <c r="C268" s="141" t="inlineStr">
        <is>
          <t>GLIN-60010/26-1</t>
        </is>
      </c>
      <c r="D268" s="95">
        <f>IF(OR(ISNUMBER(SEARCH("Pre Delivery",E268)),ISNUMBER(SEARCH("Pre-Delivery",E268)),ISNUMBER(SEARCH("Predelivery",E268)),ISNUMBER(SEARCH("PD -",E268)),ISNUMBER(SEARCH("PD Lubes",E268))),"Pre-Delivery","")</f>
        <v/>
      </c>
      <c r="E268" s="141" t="inlineStr">
        <is>
          <t>FS-KVH-SWS</t>
        </is>
      </c>
      <c r="F268" s="141" t="inlineStr">
        <is>
          <t>Lubricants</t>
        </is>
      </c>
      <c r="H268" s="141" t="inlineStr">
        <is>
          <t>Others</t>
        </is>
      </c>
      <c r="I268" s="95" t="inlineStr">
        <is>
          <t>Pending Delivery</t>
        </is>
      </c>
      <c r="J268" s="105" t="n">
        <v>46048</v>
      </c>
      <c r="K268" s="97" t="n">
        <v>46079</v>
      </c>
      <c r="L268" s="141" t="inlineStr">
        <is>
          <t>PCTC</t>
        </is>
      </c>
      <c r="M268" s="108" t="inlineStr">
        <is>
          <t xml:space="preserve">#N/A </t>
        </is>
      </c>
      <c r="N268" s="108" t="inlineStr">
        <is>
          <t xml:space="preserve">#N/A </t>
        </is>
      </c>
      <c r="O268" s="108" t="inlineStr">
        <is>
          <t xml:space="preserve">#N/A </t>
        </is>
      </c>
      <c r="P268" s="123" t="inlineStr">
        <is>
          <t xml:space="preserve">#N/A </t>
        </is>
      </c>
    </row>
    <row r="269">
      <c r="A269" s="95" t="inlineStr">
        <is>
          <t>Glovis Link</t>
        </is>
      </c>
      <c r="C269" s="141" t="inlineStr">
        <is>
          <t>GLIN-60008/26-1</t>
        </is>
      </c>
      <c r="D269" s="95">
        <f>IF(OR(ISNUMBER(SEARCH("Pre Delivery",E269)),ISNUMBER(SEARCH("Pre-Delivery",E269)),ISNUMBER(SEARCH("Predelivery",E269)),ISNUMBER(SEARCH("PD -",E269)),ISNUMBER(SEARCH("PD Lubes",E269))),"Pre-Delivery","")</f>
        <v/>
      </c>
      <c r="E269" s="141" t="inlineStr">
        <is>
          <t>FS -AST-LINK</t>
        </is>
      </c>
      <c r="F269" s="141" t="inlineStr">
        <is>
          <t>Fire Detection System</t>
        </is>
      </c>
      <c r="H269" s="141" t="inlineStr">
        <is>
          <t>Others</t>
        </is>
      </c>
      <c r="I269" s="95" t="inlineStr">
        <is>
          <t>Pending Delivery</t>
        </is>
      </c>
      <c r="J269" s="105" t="n">
        <v>46043</v>
      </c>
      <c r="K269" s="97" t="n">
        <v>46079</v>
      </c>
      <c r="L269" s="141" t="inlineStr">
        <is>
          <t>PCTC</t>
        </is>
      </c>
      <c r="M269" s="108" t="inlineStr">
        <is>
          <t xml:space="preserve">#N/A </t>
        </is>
      </c>
      <c r="N269" s="108" t="inlineStr">
        <is>
          <t xml:space="preserve">#N/A </t>
        </is>
      </c>
      <c r="O269" s="108" t="inlineStr">
        <is>
          <t xml:space="preserve">#N/A </t>
        </is>
      </c>
      <c r="P269" s="123" t="inlineStr">
        <is>
          <t xml:space="preserve">#N/A </t>
        </is>
      </c>
    </row>
    <row r="270">
      <c r="A270" s="95" t="inlineStr">
        <is>
          <t>Glovis Link</t>
        </is>
      </c>
      <c r="C270" s="141" t="inlineStr">
        <is>
          <t>GLIN-60002/26-1</t>
        </is>
      </c>
      <c r="D270" s="95">
        <f>IF(OR(ISNUMBER(SEARCH("Pre Delivery",E270)),ISNUMBER(SEARCH("Pre-Delivery",E270)),ISNUMBER(SEARCH("Predelivery",E270)),ISNUMBER(SEARCH("PD -",E270)),ISNUMBER(SEARCH("PD Lubes",E270))),"Pre-Delivery","")</f>
        <v/>
      </c>
      <c r="E270" s="141" t="inlineStr">
        <is>
          <t>Predelivery - Visga 46 5715010143</t>
        </is>
      </c>
      <c r="F270" s="141" t="inlineStr">
        <is>
          <t>IT Equipment - ITBP Licenses</t>
        </is>
      </c>
      <c r="H270" s="141" t="inlineStr">
        <is>
          <t>Lube Oil</t>
        </is>
      </c>
      <c r="I270" s="95" t="inlineStr">
        <is>
          <t>Pending Delivery</t>
        </is>
      </c>
      <c r="J270" s="105" t="n">
        <v>46072</v>
      </c>
      <c r="K270" s="97" t="n">
        <v>46127</v>
      </c>
      <c r="L270" s="141" t="inlineStr">
        <is>
          <t>PCTC</t>
        </is>
      </c>
      <c r="M270" s="108" t="inlineStr">
        <is>
          <t xml:space="preserve">#N/A </t>
        </is>
      </c>
      <c r="N270" s="108" t="inlineStr">
        <is>
          <t xml:space="preserve">#N/A </t>
        </is>
      </c>
      <c r="O270" s="108" t="inlineStr">
        <is>
          <t xml:space="preserve">#N/A </t>
        </is>
      </c>
      <c r="P270" s="123" t="inlineStr">
        <is>
          <t xml:space="preserve">#N/A </t>
        </is>
      </c>
    </row>
    <row r="271">
      <c r="A271" s="95" t="inlineStr">
        <is>
          <t>Glovis Link</t>
        </is>
      </c>
      <c r="C271" s="141" t="inlineStr">
        <is>
          <t>GLIN-60024/26-1</t>
        </is>
      </c>
      <c r="D271" s="95">
        <f>IF(OR(ISNUMBER(SEARCH("Pre Delivery",E271)),ISNUMBER(SEARCH("Pre-Delivery",E271)),ISNUMBER(SEARCH("Predelivery",E271)),ISNUMBER(SEARCH("PD -",E271)),ISNUMBER(SEARCH("PD Lubes",E271))),"Pre-Delivery","")</f>
        <v/>
      </c>
      <c r="E271" s="141" t="inlineStr">
        <is>
          <t>Reliability Spares - Fire detection system</t>
        </is>
      </c>
      <c r="F271" s="141" t="inlineStr">
        <is>
          <t>Communications - Starlink Accessories</t>
        </is>
      </c>
      <c r="H271" s="141" t="inlineStr">
        <is>
          <t>Spares</t>
        </is>
      </c>
      <c r="I271" s="95" t="inlineStr">
        <is>
          <t>Pending Delivery</t>
        </is>
      </c>
      <c r="J271" s="105" t="n">
        <v>46087</v>
      </c>
      <c r="L271" s="141" t="inlineStr">
        <is>
          <t>PCTC</t>
        </is>
      </c>
      <c r="M271" s="108" t="inlineStr">
        <is>
          <t xml:space="preserve">#N/A </t>
        </is>
      </c>
      <c r="N271" s="108" t="inlineStr">
        <is>
          <t xml:space="preserve">#N/A </t>
        </is>
      </c>
      <c r="O271" s="108" t="inlineStr">
        <is>
          <t xml:space="preserve">#N/A </t>
        </is>
      </c>
      <c r="P271" s="123" t="inlineStr">
        <is>
          <t xml:space="preserve">#N/A </t>
        </is>
      </c>
    </row>
    <row r="272">
      <c r="A272" s="95" t="inlineStr">
        <is>
          <t>Glovis Link</t>
        </is>
      </c>
      <c r="C272" s="141" t="inlineStr">
        <is>
          <t>GLIN-60021/26</t>
        </is>
      </c>
      <c r="D272" s="95">
        <f>IF(OR(ISNUMBER(SEARCH("Pre Delivery",E272)),ISNUMBER(SEARCH("Pre-Delivery",E272)),ISNUMBER(SEARCH("Predelivery",E272)),ISNUMBER(SEARCH("PD -",E272)),ISNUMBER(SEARCH("PD Lubes",E272))),"Pre-Delivery","")</f>
        <v/>
      </c>
      <c r="E272" s="141" t="inlineStr">
        <is>
          <t>FS-ITBP-LICENSES</t>
        </is>
      </c>
      <c r="F272" s="141" t="inlineStr">
        <is>
          <t>Oil Skimmers - Abanaki</t>
        </is>
      </c>
      <c r="H272" s="141" t="inlineStr">
        <is>
          <t>Others</t>
        </is>
      </c>
      <c r="I272" s="95" t="inlineStr">
        <is>
          <t>Pending Delivery</t>
        </is>
      </c>
      <c r="J272" s="105" t="n">
        <v>46078</v>
      </c>
      <c r="K272" s="97" t="n">
        <v>46079</v>
      </c>
      <c r="L272" s="141" t="inlineStr">
        <is>
          <t>PCTC</t>
        </is>
      </c>
      <c r="M272" s="108" t="inlineStr">
        <is>
          <t xml:space="preserve">#N/A </t>
        </is>
      </c>
      <c r="N272" s="108" t="inlineStr">
        <is>
          <t xml:space="preserve">#N/A </t>
        </is>
      </c>
      <c r="O272" s="108" t="inlineStr">
        <is>
          <t xml:space="preserve">#N/A </t>
        </is>
      </c>
      <c r="P272" s="123" t="inlineStr">
        <is>
          <t xml:space="preserve">#N/A </t>
        </is>
      </c>
    </row>
    <row r="273">
      <c r="A273" s="95" t="inlineStr">
        <is>
          <t>Glovis Link</t>
        </is>
      </c>
      <c r="C273" s="141" t="inlineStr">
        <is>
          <t>GLIN-60025/26-1</t>
        </is>
      </c>
      <c r="D273" s="95">
        <f>IF(OR(ISNUMBER(SEARCH("Pre Delivery",E273)),ISNUMBER(SEARCH("Pre-Delivery",E273)),ISNUMBER(SEARCH("Predelivery",E273)),ISNUMBER(SEARCH("PD -",E273)),ISNUMBER(SEARCH("PD Lubes",E273))),"Pre-Delivery","")</f>
        <v/>
      </c>
      <c r="E273" s="141" t="inlineStr">
        <is>
          <t>FS-VLINK-Starlink Accessories</t>
        </is>
      </c>
      <c r="F273" s="141" t="inlineStr">
        <is>
          <t>IT Equipment - ITBP Lab Kit</t>
        </is>
      </c>
      <c r="H273" s="141" t="inlineStr">
        <is>
          <t>Others</t>
        </is>
      </c>
      <c r="I273" s="95" t="inlineStr">
        <is>
          <t>Pending Delivery</t>
        </is>
      </c>
      <c r="J273" s="97" t="n">
        <v>46086</v>
      </c>
      <c r="K273" s="97" t="n">
        <v>46079</v>
      </c>
      <c r="L273" s="141" t="inlineStr">
        <is>
          <t>PCTC</t>
        </is>
      </c>
      <c r="M273" s="108" t="inlineStr">
        <is>
          <t xml:space="preserve">#N/A </t>
        </is>
      </c>
      <c r="N273" s="108" t="inlineStr">
        <is>
          <t xml:space="preserve">#N/A </t>
        </is>
      </c>
      <c r="O273" s="108" t="inlineStr">
        <is>
          <t xml:space="preserve">#N/A </t>
        </is>
      </c>
      <c r="P273" s="123" t="inlineStr">
        <is>
          <t xml:space="preserve">#N/A </t>
        </is>
      </c>
    </row>
    <row r="274">
      <c r="A274" s="95" t="inlineStr">
        <is>
          <t>Glovis Link</t>
        </is>
      </c>
      <c r="C274" s="141" t="inlineStr">
        <is>
          <t>GLIN-60026/26-1</t>
        </is>
      </c>
      <c r="D274" s="95">
        <f>IF(OR(ISNUMBER(SEARCH("Pre Delivery",E274)),ISNUMBER(SEARCH("Pre-Delivery",E274)),ISNUMBER(SEARCH("Predelivery",E274)),ISNUMBER(SEARCH("PD -",E274)),ISNUMBER(SEARCH("PD Lubes",E274))),"Pre-Delivery","")</f>
        <v/>
      </c>
      <c r="E274" s="141" t="inlineStr">
        <is>
          <t>SHIPYARD EXTRA OWNER SUPPLY- Abanaki Skimmers</t>
        </is>
      </c>
      <c r="F274" s="141" t="inlineStr">
        <is>
          <t>Lubricants</t>
        </is>
      </c>
      <c r="H274" s="141" t="inlineStr">
        <is>
          <t>Spares</t>
        </is>
      </c>
      <c r="I274" s="95" t="inlineStr">
        <is>
          <t>Pending Approval</t>
        </is>
      </c>
      <c r="J274" s="97" t="n">
        <v>46091</v>
      </c>
      <c r="L274" s="141" t="inlineStr">
        <is>
          <t>PCTC</t>
        </is>
      </c>
      <c r="M274" s="108" t="inlineStr">
        <is>
          <t xml:space="preserve">#N/A </t>
        </is>
      </c>
      <c r="N274" s="108" t="inlineStr">
        <is>
          <t xml:space="preserve">#N/A </t>
        </is>
      </c>
      <c r="O274" s="108" t="inlineStr">
        <is>
          <t xml:space="preserve">#N/A </t>
        </is>
      </c>
      <c r="P274" s="123" t="inlineStr">
        <is>
          <t xml:space="preserve">#N/A </t>
        </is>
      </c>
    </row>
    <row r="275">
      <c r="A275" s="95" t="inlineStr">
        <is>
          <t>Glovis Link</t>
        </is>
      </c>
      <c r="C275" s="141" t="inlineStr">
        <is>
          <t>GLIN-60018/26-1</t>
        </is>
      </c>
      <c r="D275" s="95">
        <f>IF(OR(ISNUMBER(SEARCH("Pre Delivery",E275)),ISNUMBER(SEARCH("Pre-Delivery",E275)),ISNUMBER(SEARCH("Predelivery",E275)),ISNUMBER(SEARCH("PD -",E275)),ISNUMBER(SEARCH("PD Lubes",E275))),"Pre-Delivery","")</f>
        <v/>
      </c>
      <c r="E275" s="141" t="inlineStr">
        <is>
          <t>FS-ITBP MISC LAB KIT</t>
        </is>
      </c>
      <c r="F275" s="141" t="inlineStr">
        <is>
          <t>GVT Electronics</t>
        </is>
      </c>
      <c r="H275" s="141" t="inlineStr">
        <is>
          <t>Others</t>
        </is>
      </c>
      <c r="I275" s="95" t="inlineStr">
        <is>
          <t>Pending Delivery</t>
        </is>
      </c>
      <c r="J275" s="105" t="n">
        <v>46077</v>
      </c>
      <c r="K275" s="97" t="n">
        <v>46079</v>
      </c>
      <c r="L275" s="141" t="inlineStr">
        <is>
          <t>PCTC</t>
        </is>
      </c>
      <c r="M275" s="108" t="inlineStr">
        <is>
          <t xml:space="preserve">#N/A </t>
        </is>
      </c>
      <c r="N275" s="108" t="inlineStr">
        <is>
          <t xml:space="preserve">#N/A </t>
        </is>
      </c>
      <c r="O275" s="108" t="inlineStr">
        <is>
          <t xml:space="preserve">#N/A </t>
        </is>
      </c>
      <c r="P275" s="123" t="inlineStr">
        <is>
          <t xml:space="preserve">#N/A </t>
        </is>
      </c>
    </row>
    <row r="276">
      <c r="A276" s="95" t="inlineStr">
        <is>
          <t>Glovis Link</t>
        </is>
      </c>
      <c r="C276" s="141" t="inlineStr">
        <is>
          <t>GLIN-60022/26-1</t>
        </is>
      </c>
      <c r="D276" s="95">
        <f>IF(OR(ISNUMBER(SEARCH("Pre Delivery",E276)),ISNUMBER(SEARCH("Pre-Delivery",E276)),ISNUMBER(SEARCH("Predelivery",E276)),ISNUMBER(SEARCH("PD -",E276)),ISNUMBER(SEARCH("PD Lubes",E276))),"Pre-Delivery","")</f>
        <v/>
      </c>
      <c r="E276" s="141" t="inlineStr">
        <is>
          <t>PD - RSC Envirologic</t>
        </is>
      </c>
      <c r="F276" s="141" t="inlineStr">
        <is>
          <t>LNG Operation Manual</t>
        </is>
      </c>
      <c r="H276" s="141" t="inlineStr">
        <is>
          <t>Spares</t>
        </is>
      </c>
      <c r="I276" s="95" t="inlineStr">
        <is>
          <t>Pending Delivery</t>
        </is>
      </c>
      <c r="L276" s="141" t="inlineStr">
        <is>
          <t>PCTC</t>
        </is>
      </c>
      <c r="M276" s="108" t="inlineStr">
        <is>
          <t xml:space="preserve">#N/A </t>
        </is>
      </c>
      <c r="N276" s="108" t="inlineStr">
        <is>
          <t xml:space="preserve">#N/A </t>
        </is>
      </c>
      <c r="O276" s="108" t="inlineStr">
        <is>
          <t xml:space="preserve">#N/A </t>
        </is>
      </c>
      <c r="P276" s="123" t="inlineStr">
        <is>
          <t xml:space="preserve">#N/A </t>
        </is>
      </c>
    </row>
    <row r="277">
      <c r="A277" s="95" t="inlineStr">
        <is>
          <t>Glovis Link</t>
        </is>
      </c>
      <c r="C277" s="141" t="inlineStr">
        <is>
          <t>GLIN-60014/26-2</t>
        </is>
      </c>
      <c r="D277" s="95">
        <f>IF(OR(ISNUMBER(SEARCH("Pre Delivery",E277)),ISNUMBER(SEARCH("Pre-Delivery",E277)),ISNUMBER(SEARCH("Predelivery",E277)),ISNUMBER(SEARCH("PD -",E277)),ISNUMBER(SEARCH("PD Lubes",E277))),"Pre-Delivery","")</f>
        <v/>
      </c>
      <c r="E277" s="141" t="inlineStr">
        <is>
          <t>Reliability Spares - 10,8K CEU SWS - GVT- Eltronic</t>
        </is>
      </c>
      <c r="F277" s="141" t="inlineStr">
        <is>
          <t>Citadel VHF/GPS/UHF System</t>
        </is>
      </c>
      <c r="H277" s="141" t="inlineStr">
        <is>
          <t>Spares</t>
        </is>
      </c>
      <c r="I277" s="95" t="inlineStr">
        <is>
          <t>Pending Approval</t>
        </is>
      </c>
      <c r="J277" s="97" t="n">
        <v>46112</v>
      </c>
      <c r="L277" s="141" t="inlineStr">
        <is>
          <t>PCTC</t>
        </is>
      </c>
      <c r="M277" s="108" t="inlineStr">
        <is>
          <t xml:space="preserve">#N/A </t>
        </is>
      </c>
      <c r="N277" s="108" t="inlineStr">
        <is>
          <t xml:space="preserve">#N/A </t>
        </is>
      </c>
      <c r="O277" s="108" t="inlineStr">
        <is>
          <t xml:space="preserve">#N/A </t>
        </is>
      </c>
      <c r="P277" s="123" t="inlineStr">
        <is>
          <t xml:space="preserve">#N/A </t>
        </is>
      </c>
    </row>
    <row r="278">
      <c r="A278" s="95" t="inlineStr">
        <is>
          <t>Glovis Link</t>
        </is>
      </c>
      <c r="C278" s="141" t="inlineStr">
        <is>
          <t>GLIN-60033/26-1</t>
        </is>
      </c>
      <c r="D278" s="95">
        <f>IF(OR(ISNUMBER(SEARCH("Pre Delivery",E278)),ISNUMBER(SEARCH("Pre-Delivery",E278)),ISNUMBER(SEARCH("Predelivery",E278)),ISNUMBER(SEARCH("PD -",E278)),ISNUMBER(SEARCH("PD Lubes",E278))),"Pre-Delivery","")</f>
        <v/>
      </c>
      <c r="E278" s="141" t="inlineStr">
        <is>
          <t>LNG OPERATION MANUAL Development</t>
        </is>
      </c>
      <c r="F278" s="141" t="inlineStr">
        <is>
          <t>RO-RO Equipment - Loose Fittings</t>
        </is>
      </c>
      <c r="H278" s="141" t="inlineStr">
        <is>
          <t>Stores</t>
        </is>
      </c>
      <c r="L278" s="141" t="inlineStr">
        <is>
          <t>PCTC</t>
        </is>
      </c>
      <c r="M278" s="108" t="inlineStr">
        <is>
          <t xml:space="preserve">#N/A </t>
        </is>
      </c>
      <c r="N278" s="108" t="inlineStr">
        <is>
          <t xml:space="preserve">#N/A </t>
        </is>
      </c>
      <c r="O278" s="108" t="inlineStr">
        <is>
          <t xml:space="preserve">#N/A </t>
        </is>
      </c>
      <c r="P278" s="123" t="inlineStr">
        <is>
          <t xml:space="preserve">#N/A </t>
        </is>
      </c>
    </row>
    <row r="279">
      <c r="A279" s="95" t="inlineStr">
        <is>
          <t>Glovis Link</t>
        </is>
      </c>
      <c r="D279" s="95">
        <f>IF(OR(ISNUMBER(SEARCH("Pre Delivery",E279)),ISNUMBER(SEARCH("Pre-Delivery",E279)),ISNUMBER(SEARCH("Predelivery",E279)),ISNUMBER(SEARCH("PD -",E279)),ISNUMBER(SEARCH("PD Lubes",E279))),"Pre-Delivery","")</f>
        <v/>
      </c>
      <c r="E279" s="141" t="inlineStr">
        <is>
          <t>Citadel VHF/GPS and UHF ANTENNA system</t>
        </is>
      </c>
      <c r="F279" s="141" t="inlineStr">
        <is>
          <t>Citadel VHF/GPS/UHF System</t>
        </is>
      </c>
      <c r="H279" s="141" t="inlineStr">
        <is>
          <t>Stores</t>
        </is>
      </c>
      <c r="L279" s="141" t="inlineStr">
        <is>
          <t>PCTC</t>
        </is>
      </c>
      <c r="M279" s="108" t="inlineStr">
        <is>
          <t xml:space="preserve">#N/A </t>
        </is>
      </c>
      <c r="N279" s="108" t="inlineStr">
        <is>
          <t xml:space="preserve">#N/A </t>
        </is>
      </c>
      <c r="O279" s="108" t="inlineStr">
        <is>
          <t xml:space="preserve">#N/A </t>
        </is>
      </c>
      <c r="P279" s="123" t="inlineStr">
        <is>
          <t xml:space="preserve">#N/A </t>
        </is>
      </c>
    </row>
    <row r="280">
      <c r="A280" s="95" t="inlineStr">
        <is>
          <t>Glovis Link</t>
        </is>
      </c>
      <c r="D280" s="95">
        <f>IF(OR(ISNUMBER(SEARCH("Pre Delivery",E280)),ISNUMBER(SEARCH("Pre-Delivery",E280)),ISNUMBER(SEARCH("Predelivery",E280)),ISNUMBER(SEARCH("PD -",E280)),ISNUMBER(SEARCH("PD Lubes",E280))),"Pre-Delivery","")</f>
        <v/>
      </c>
      <c r="E280" s="141" t="inlineStr">
        <is>
          <t>PCTC Loose Fittings Procurement</t>
        </is>
      </c>
      <c r="F280" s="141" t="inlineStr">
        <is>
          <t>Navigation - Captains Eye</t>
        </is>
      </c>
      <c r="H280" s="141" t="inlineStr">
        <is>
          <t>Stores</t>
        </is>
      </c>
      <c r="L280" s="141" t="inlineStr">
        <is>
          <t>PCTC</t>
        </is>
      </c>
      <c r="M280" s="108" t="inlineStr">
        <is>
          <t xml:space="preserve">#N/A </t>
        </is>
      </c>
      <c r="N280" s="108" t="inlineStr">
        <is>
          <t xml:space="preserve">#N/A </t>
        </is>
      </c>
      <c r="O280" s="108" t="inlineStr">
        <is>
          <t xml:space="preserve">#N/A </t>
        </is>
      </c>
      <c r="P280" s="123" t="inlineStr">
        <is>
          <t xml:space="preserve">#N/A </t>
        </is>
      </c>
    </row>
    <row r="281" ht="37.5" customHeight="1">
      <c r="A281" s="95" t="inlineStr">
        <is>
          <t>Glovis Link</t>
        </is>
      </c>
      <c r="D281" s="95">
        <f>IF(OR(ISNUMBER(SEARCH("Pre Delivery",E281)),ISNUMBER(SEARCH("Pre-Delivery",E281)),ISNUMBER(SEARCH("Predelivery",E281)),ISNUMBER(SEARCH("PD -",E281)),ISNUMBER(SEARCH("PD Lubes",E281))),"Pre-Delivery","")</f>
        <v/>
      </c>
      <c r="E281" s="141" t="inlineStr">
        <is>
          <t>Buyer Supply - 10,800 PCTC Citadel VHF/GPS and UHF ANTENNA system</t>
        </is>
      </c>
      <c r="F281" s="141" t="inlineStr">
        <is>
          <t>Oil Skimmers - Abanaki</t>
        </is>
      </c>
      <c r="H281" s="141" t="inlineStr">
        <is>
          <t>Stores</t>
        </is>
      </c>
      <c r="L281" s="141" t="inlineStr">
        <is>
          <t>PCTC</t>
        </is>
      </c>
      <c r="M281" s="108" t="inlineStr">
        <is>
          <t xml:space="preserve">#N/A </t>
        </is>
      </c>
      <c r="N281" s="108" t="inlineStr">
        <is>
          <t xml:space="preserve">#N/A </t>
        </is>
      </c>
      <c r="O281" s="108" t="inlineStr">
        <is>
          <t xml:space="preserve">#N/A </t>
        </is>
      </c>
      <c r="P281" s="123" t="inlineStr">
        <is>
          <t xml:space="preserve">#N/A </t>
        </is>
      </c>
    </row>
    <row r="282">
      <c r="A282" s="95" t="inlineStr">
        <is>
          <t>Glovis Link</t>
        </is>
      </c>
      <c r="C282" s="141" t="inlineStr">
        <is>
          <t xml:space="preserve">GLIN-60001/26 </t>
        </is>
      </c>
      <c r="D282" s="95">
        <f>IF(OR(ISNUMBER(SEARCH("Pre Delivery",E282)),ISNUMBER(SEARCH("Pre-Delivery",E282)),ISNUMBER(SEARCH("Predelivery",E282)),ISNUMBER(SEARCH("PD -",E282)),ISNUMBER(SEARCH("PD Lubes",E282))),"Pre-Delivery","")</f>
        <v/>
      </c>
      <c r="E282" s="141" t="inlineStr">
        <is>
          <t>Shipyard Extra Owner supply - Captains Eye</t>
        </is>
      </c>
      <c r="F282" s="141" t="inlineStr">
        <is>
          <t>Garbage Compactor</t>
        </is>
      </c>
      <c r="H282" s="141" t="inlineStr">
        <is>
          <t>Spares</t>
        </is>
      </c>
      <c r="L282" s="141" t="inlineStr">
        <is>
          <t>PCTC</t>
        </is>
      </c>
      <c r="M282" s="108" t="inlineStr">
        <is>
          <t xml:space="preserve">#N/A </t>
        </is>
      </c>
      <c r="N282" s="108" t="inlineStr">
        <is>
          <t xml:space="preserve">#N/A </t>
        </is>
      </c>
      <c r="O282" s="108" t="inlineStr">
        <is>
          <t xml:space="preserve">#N/A </t>
        </is>
      </c>
      <c r="P282" s="123" t="inlineStr">
        <is>
          <t xml:space="preserve">#N/A </t>
        </is>
      </c>
    </row>
    <row r="283">
      <c r="A283" s="95" t="inlineStr">
        <is>
          <t>Glovis Link</t>
        </is>
      </c>
      <c r="C283" s="141" t="inlineStr">
        <is>
          <t>GLIN-60026/26-1</t>
        </is>
      </c>
      <c r="D283" s="95">
        <f>IF(OR(ISNUMBER(SEARCH("Pre Delivery",E283)),ISNUMBER(SEARCH("Pre-Delivery",E283)),ISNUMBER(SEARCH("Predelivery",E283)),ISNUMBER(SEARCH("PD -",E283)),ISNUMBER(SEARCH("PD Lubes",E283))),"Pre-Delivery","")</f>
        <v/>
      </c>
      <c r="E283" s="141" t="inlineStr">
        <is>
          <t>SHIPYARD EXTRA OWNER SUPPLY- Abanaki Skimmers</t>
        </is>
      </c>
      <c r="F283" s="141" t="inlineStr">
        <is>
          <t>IMPA Stores - Stationery</t>
        </is>
      </c>
      <c r="H283" s="141" t="inlineStr">
        <is>
          <t>Spares</t>
        </is>
      </c>
      <c r="I283" s="95" t="inlineStr">
        <is>
          <t>Pending Supplier Confirmation</t>
        </is>
      </c>
      <c r="J283" s="97" t="n">
        <v>46091</v>
      </c>
      <c r="L283" s="141" t="inlineStr">
        <is>
          <t>PCTC</t>
        </is>
      </c>
      <c r="M283" s="108" t="inlineStr">
        <is>
          <t xml:space="preserve">#N/A </t>
        </is>
      </c>
      <c r="N283" s="108" t="inlineStr">
        <is>
          <t xml:space="preserve">#N/A </t>
        </is>
      </c>
      <c r="O283" s="108" t="inlineStr">
        <is>
          <t xml:space="preserve">#N/A </t>
        </is>
      </c>
      <c r="P283" s="123" t="inlineStr">
        <is>
          <t xml:space="preserve">#N/A </t>
        </is>
      </c>
    </row>
    <row r="284">
      <c r="A284" s="95" t="inlineStr">
        <is>
          <t>Glovis Link</t>
        </is>
      </c>
      <c r="C284" s="141" t="inlineStr">
        <is>
          <t>GLIN-60027/26-1</t>
        </is>
      </c>
      <c r="D284" s="95">
        <f>IF(OR(ISNUMBER(SEARCH("Pre Delivery",E284)),ISNUMBER(SEARCH("Pre-Delivery",E284)),ISNUMBER(SEARCH("Predelivery",E284)),ISNUMBER(SEARCH("PD -",E284)),ISNUMBER(SEARCH("PD Lubes",E284))),"Pre-Delivery","")</f>
        <v/>
      </c>
      <c r="E284" s="141" t="inlineStr">
        <is>
          <t>Pre Delivery - Garbage Compactor</t>
        </is>
      </c>
      <c r="F284" s="141" t="inlineStr">
        <is>
          <t>IMPA Stores - SOPEP</t>
        </is>
      </c>
      <c r="H284" s="141" t="inlineStr">
        <is>
          <t>Stores</t>
        </is>
      </c>
      <c r="I284" s="95" t="inlineStr">
        <is>
          <t>Pending Delivery</t>
        </is>
      </c>
      <c r="J284" s="97" t="n">
        <v>46094</v>
      </c>
      <c r="L284" s="141" t="inlineStr">
        <is>
          <t>PCTC</t>
        </is>
      </c>
      <c r="M284" s="108" t="inlineStr">
        <is>
          <t xml:space="preserve">#N/A </t>
        </is>
      </c>
      <c r="N284" s="108" t="inlineStr">
        <is>
          <t xml:space="preserve">#N/A </t>
        </is>
      </c>
      <c r="O284" s="108" t="inlineStr">
        <is>
          <t xml:space="preserve">#N/A </t>
        </is>
      </c>
      <c r="P284" s="123" t="inlineStr">
        <is>
          <t xml:space="preserve">#N/A </t>
        </is>
      </c>
    </row>
    <row r="285">
      <c r="A285" s="95" t="inlineStr">
        <is>
          <t>Glovis Link</t>
        </is>
      </c>
      <c r="D285" s="95">
        <f>IF(OR(ISNUMBER(SEARCH("Pre Delivery",E285)),ISNUMBER(SEARCH("Pre-Delivery",E285)),ISNUMBER(SEARCH("Predelivery",E285)),ISNUMBER(SEARCH("PD -",E285)),ISNUMBER(SEARCH("PD Lubes",E285))),"Pre-Delivery","")</f>
        <v/>
      </c>
      <c r="E285" s="141" t="inlineStr">
        <is>
          <t>Impa Stores Stationery</t>
        </is>
      </c>
      <c r="F285" s="141" t="inlineStr">
        <is>
          <t>IMPA Stores - Deck</t>
        </is>
      </c>
      <c r="H285" s="141" t="inlineStr">
        <is>
          <t>Stores</t>
        </is>
      </c>
      <c r="L285" s="141" t="inlineStr">
        <is>
          <t>PCTC</t>
        </is>
      </c>
      <c r="M285" s="108" t="inlineStr">
        <is>
          <t xml:space="preserve">#N/A </t>
        </is>
      </c>
      <c r="N285" s="108" t="inlineStr">
        <is>
          <t xml:space="preserve">#N/A </t>
        </is>
      </c>
      <c r="O285" s="108" t="inlineStr">
        <is>
          <t xml:space="preserve">#N/A </t>
        </is>
      </c>
      <c r="P285" s="123" t="inlineStr">
        <is>
          <t xml:space="preserve">#N/A </t>
        </is>
      </c>
    </row>
    <row r="286">
      <c r="A286" s="95" t="inlineStr">
        <is>
          <t>Glovis Link</t>
        </is>
      </c>
      <c r="D286" s="95">
        <f>IF(OR(ISNUMBER(SEARCH("Pre Delivery",E286)),ISNUMBER(SEARCH("Pre-Delivery",E286)),ISNUMBER(SEARCH("Predelivery",E286)),ISNUMBER(SEARCH("PD -",E286)),ISNUMBER(SEARCH("PD Lubes",E286))),"Pre-Delivery","")</f>
        <v/>
      </c>
      <c r="E286" s="141" t="inlineStr">
        <is>
          <t>Impa Stores - SOPEP</t>
        </is>
      </c>
      <c r="F286" s="141" t="inlineStr">
        <is>
          <t>IMPA Stores - Bridge</t>
        </is>
      </c>
      <c r="H286" s="141" t="inlineStr">
        <is>
          <t>Stores</t>
        </is>
      </c>
      <c r="L286" s="141" t="inlineStr">
        <is>
          <t>PCTC</t>
        </is>
      </c>
      <c r="M286" s="108" t="inlineStr">
        <is>
          <t xml:space="preserve">#N/A </t>
        </is>
      </c>
      <c r="N286" s="108" t="inlineStr">
        <is>
          <t xml:space="preserve">#N/A </t>
        </is>
      </c>
      <c r="O286" s="108" t="inlineStr">
        <is>
          <t xml:space="preserve">#N/A </t>
        </is>
      </c>
      <c r="P286" s="123" t="inlineStr">
        <is>
          <t xml:space="preserve">#N/A </t>
        </is>
      </c>
    </row>
    <row r="287">
      <c r="A287" s="95" t="inlineStr">
        <is>
          <t>Glovis Link</t>
        </is>
      </c>
      <c r="D287" s="95">
        <f>IF(OR(ISNUMBER(SEARCH("Pre Delivery",E287)),ISNUMBER(SEARCH("Pre-Delivery",E287)),ISNUMBER(SEARCH("Predelivery",E287)),ISNUMBER(SEARCH("PD -",E287)),ISNUMBER(SEARCH("PD Lubes",E287))),"Pre-Delivery","")</f>
        <v/>
      </c>
      <c r="E287" s="141" t="inlineStr">
        <is>
          <t>Impa Stores - Deck</t>
        </is>
      </c>
      <c r="F287" s="141" t="inlineStr">
        <is>
          <t>IMPA Stores - Gym</t>
        </is>
      </c>
      <c r="H287" s="141" t="inlineStr">
        <is>
          <t>Stores</t>
        </is>
      </c>
      <c r="L287" s="141" t="inlineStr">
        <is>
          <t>PCTC</t>
        </is>
      </c>
      <c r="M287" s="108" t="inlineStr">
        <is>
          <t xml:space="preserve">#N/A </t>
        </is>
      </c>
      <c r="N287" s="108" t="inlineStr">
        <is>
          <t xml:space="preserve">#N/A </t>
        </is>
      </c>
      <c r="O287" s="108" t="inlineStr">
        <is>
          <t xml:space="preserve">#N/A </t>
        </is>
      </c>
      <c r="P287" s="123" t="inlineStr">
        <is>
          <t xml:space="preserve">#N/A </t>
        </is>
      </c>
    </row>
    <row r="288">
      <c r="A288" s="95" t="inlineStr">
        <is>
          <t>Glovis Link</t>
        </is>
      </c>
      <c r="D288" s="95">
        <f>IF(OR(ISNUMBER(SEARCH("Pre Delivery",E288)),ISNUMBER(SEARCH("Pre-Delivery",E288)),ISNUMBER(SEARCH("Predelivery",E288)),ISNUMBER(SEARCH("PD -",E288)),ISNUMBER(SEARCH("PD Lubes",E288))),"Pre-Delivery","")</f>
        <v/>
      </c>
      <c r="E288" s="141" t="inlineStr">
        <is>
          <t>Impa Stores - Bridge</t>
        </is>
      </c>
      <c r="F288" s="141" t="inlineStr">
        <is>
          <t>IMPA Stores - Crew</t>
        </is>
      </c>
      <c r="H288" s="141" t="inlineStr">
        <is>
          <t>Stores</t>
        </is>
      </c>
      <c r="L288" s="141" t="inlineStr">
        <is>
          <t>PCTC</t>
        </is>
      </c>
      <c r="M288" s="108" t="inlineStr">
        <is>
          <t xml:space="preserve">#N/A </t>
        </is>
      </c>
      <c r="N288" s="108" t="inlineStr">
        <is>
          <t xml:space="preserve">#N/A </t>
        </is>
      </c>
      <c r="O288" s="108" t="inlineStr">
        <is>
          <t xml:space="preserve">#N/A </t>
        </is>
      </c>
      <c r="P288" s="123" t="inlineStr">
        <is>
          <t xml:space="preserve">#N/A </t>
        </is>
      </c>
    </row>
    <row r="289">
      <c r="A289" s="95" t="inlineStr">
        <is>
          <t>Glovis Link</t>
        </is>
      </c>
      <c r="D289" s="95">
        <f>IF(OR(ISNUMBER(SEARCH("Pre Delivery",E289)),ISNUMBER(SEARCH("Pre-Delivery",E289)),ISNUMBER(SEARCH("Predelivery",E289)),ISNUMBER(SEARCH("PD -",E289)),ISNUMBER(SEARCH("PD Lubes",E289))),"Pre-Delivery","")</f>
        <v/>
      </c>
      <c r="E289" s="141" t="inlineStr">
        <is>
          <t>Impa Stores - Gym</t>
        </is>
      </c>
      <c r="F289" s="141" t="inlineStr">
        <is>
          <t>IMPA Stores - Firefighting Equipment</t>
        </is>
      </c>
      <c r="H289" s="141" t="inlineStr">
        <is>
          <t>Stores</t>
        </is>
      </c>
      <c r="L289" s="141" t="inlineStr">
        <is>
          <t>PCTC</t>
        </is>
      </c>
      <c r="M289" s="108" t="inlineStr">
        <is>
          <t xml:space="preserve">#N/A </t>
        </is>
      </c>
      <c r="N289" s="108" t="inlineStr">
        <is>
          <t xml:space="preserve">#N/A </t>
        </is>
      </c>
      <c r="O289" s="108" t="inlineStr">
        <is>
          <t xml:space="preserve">#N/A </t>
        </is>
      </c>
      <c r="P289" s="123" t="inlineStr">
        <is>
          <t xml:space="preserve">#N/A </t>
        </is>
      </c>
    </row>
    <row r="290">
      <c r="A290" s="95" t="inlineStr">
        <is>
          <t>Glovis Link</t>
        </is>
      </c>
      <c r="D290" s="95">
        <f>IF(OR(ISNUMBER(SEARCH("Pre Delivery",E290)),ISNUMBER(SEARCH("Pre-Delivery",E290)),ISNUMBER(SEARCH("Predelivery",E290)),ISNUMBER(SEARCH("PD -",E290)),ISNUMBER(SEARCH("PD Lubes",E290))),"Pre-Delivery","")</f>
        <v/>
      </c>
      <c r="E290" s="141" t="inlineStr">
        <is>
          <t>Impa Stores - Crew</t>
        </is>
      </c>
      <c r="F290" s="141" t="inlineStr">
        <is>
          <t>IMPA Stores - Company Stationery</t>
        </is>
      </c>
      <c r="H290" s="141" t="inlineStr">
        <is>
          <t>Stores</t>
        </is>
      </c>
      <c r="L290" s="141" t="inlineStr">
        <is>
          <t>PCTC</t>
        </is>
      </c>
      <c r="M290" s="108" t="inlineStr">
        <is>
          <t xml:space="preserve">#N/A </t>
        </is>
      </c>
      <c r="N290" s="108" t="inlineStr">
        <is>
          <t xml:space="preserve">#N/A </t>
        </is>
      </c>
      <c r="O290" s="108" t="inlineStr">
        <is>
          <t xml:space="preserve">#N/A </t>
        </is>
      </c>
      <c r="P290" s="123" t="inlineStr">
        <is>
          <t xml:space="preserve">#N/A </t>
        </is>
      </c>
    </row>
    <row r="291">
      <c r="A291" s="95" t="inlineStr">
        <is>
          <t>Glovis Link</t>
        </is>
      </c>
      <c r="D291" s="95">
        <f>IF(OR(ISNUMBER(SEARCH("Pre Delivery",E291)),ISNUMBER(SEARCH("Pre-Delivery",E291)),ISNUMBER(SEARCH("Predelivery",E291)),ISNUMBER(SEARCH("PD -",E291)),ISNUMBER(SEARCH("PD Lubes",E291))),"Pre-Delivery","")</f>
        <v/>
      </c>
      <c r="E291" s="141" t="inlineStr">
        <is>
          <t>Impa Stores - FFE</t>
        </is>
      </c>
      <c r="F291" s="141" t="inlineStr">
        <is>
          <t>IMPA Stores - BA Compressor</t>
        </is>
      </c>
      <c r="H291" s="141" t="inlineStr">
        <is>
          <t>Stores</t>
        </is>
      </c>
      <c r="L291" s="141" t="inlineStr">
        <is>
          <t>PCTC</t>
        </is>
      </c>
      <c r="M291" s="108" t="inlineStr">
        <is>
          <t xml:space="preserve">#N/A </t>
        </is>
      </c>
      <c r="N291" s="108" t="inlineStr">
        <is>
          <t xml:space="preserve">#N/A </t>
        </is>
      </c>
      <c r="O291" s="108" t="inlineStr">
        <is>
          <t xml:space="preserve">#N/A </t>
        </is>
      </c>
      <c r="P291" s="123" t="inlineStr">
        <is>
          <t xml:space="preserve">#N/A </t>
        </is>
      </c>
    </row>
    <row r="292">
      <c r="A292" s="95" t="inlineStr">
        <is>
          <t>Glovis Link</t>
        </is>
      </c>
      <c r="D292" s="95">
        <f>IF(OR(ISNUMBER(SEARCH("Pre Delivery",E292)),ISNUMBER(SEARCH("Pre-Delivery",E292)),ISNUMBER(SEARCH("Predelivery",E292)),ISNUMBER(SEARCH("PD -",E292)),ISNUMBER(SEARCH("PD Lubes",E292))),"Pre-Delivery","")</f>
        <v/>
      </c>
      <c r="E292" s="141" t="inlineStr">
        <is>
          <t>Impa Stores - Company Stationery</t>
        </is>
      </c>
      <c r="F292" s="141" t="inlineStr">
        <is>
          <t>IMPA Stores - Accommodation</t>
        </is>
      </c>
      <c r="H292" s="141" t="inlineStr">
        <is>
          <t>Stores</t>
        </is>
      </c>
      <c r="L292" s="141" t="inlineStr">
        <is>
          <t>PCTC</t>
        </is>
      </c>
      <c r="M292" s="108" t="inlineStr">
        <is>
          <t xml:space="preserve">#N/A </t>
        </is>
      </c>
      <c r="N292" s="108" t="inlineStr">
        <is>
          <t xml:space="preserve">#N/A </t>
        </is>
      </c>
      <c r="O292" s="108" t="inlineStr">
        <is>
          <t xml:space="preserve">#N/A </t>
        </is>
      </c>
      <c r="P292" s="123" t="inlineStr">
        <is>
          <t xml:space="preserve">#N/A </t>
        </is>
      </c>
    </row>
    <row r="293">
      <c r="A293" s="95" t="inlineStr">
        <is>
          <t>Glovis Link</t>
        </is>
      </c>
      <c r="D293" s="95">
        <f>IF(OR(ISNUMBER(SEARCH("Pre Delivery",E293)),ISNUMBER(SEARCH("Pre-Delivery",E293)),ISNUMBER(SEARCH("Predelivery",E293)),ISNUMBER(SEARCH("PD -",E293)),ISNUMBER(SEARCH("PD Lubes",E293))),"Pre-Delivery","")</f>
        <v/>
      </c>
      <c r="E293" s="141" t="inlineStr">
        <is>
          <t>Impa Stores - BA Compressor</t>
        </is>
      </c>
      <c r="F293" s="141" t="inlineStr">
        <is>
          <t>IMPA Stores - Galley</t>
        </is>
      </c>
      <c r="H293" s="141" t="inlineStr">
        <is>
          <t>Stores</t>
        </is>
      </c>
      <c r="L293" s="141" t="inlineStr">
        <is>
          <t>PCTC</t>
        </is>
      </c>
      <c r="M293" s="108" t="inlineStr">
        <is>
          <t xml:space="preserve">#N/A </t>
        </is>
      </c>
      <c r="N293" s="108" t="inlineStr">
        <is>
          <t xml:space="preserve">#N/A </t>
        </is>
      </c>
      <c r="O293" s="108" t="inlineStr">
        <is>
          <t xml:space="preserve">#N/A </t>
        </is>
      </c>
      <c r="P293" s="123" t="inlineStr">
        <is>
          <t xml:space="preserve">#N/A </t>
        </is>
      </c>
    </row>
    <row r="294">
      <c r="A294" s="95" t="inlineStr">
        <is>
          <t>Glovis Link</t>
        </is>
      </c>
      <c r="D294" s="95">
        <f>IF(OR(ISNUMBER(SEARCH("Pre Delivery",E294)),ISNUMBER(SEARCH("Pre-Delivery",E294)),ISNUMBER(SEARCH("Predelivery",E294)),ISNUMBER(SEARCH("PD -",E294)),ISNUMBER(SEARCH("PD Lubes",E294))),"Pre-Delivery","")</f>
        <v/>
      </c>
      <c r="E294" s="141" t="inlineStr">
        <is>
          <t>Impa Stores - ACC</t>
        </is>
      </c>
      <c r="F294" s="141" t="inlineStr">
        <is>
          <t>IMPA Stores - Engine</t>
        </is>
      </c>
      <c r="H294" s="141" t="inlineStr">
        <is>
          <t>Stores</t>
        </is>
      </c>
      <c r="L294" s="141" t="inlineStr">
        <is>
          <t>PCTC</t>
        </is>
      </c>
      <c r="M294" s="108" t="inlineStr">
        <is>
          <t xml:space="preserve">#N/A </t>
        </is>
      </c>
      <c r="N294" s="108" t="inlineStr">
        <is>
          <t xml:space="preserve">#N/A </t>
        </is>
      </c>
      <c r="O294" s="108" t="inlineStr">
        <is>
          <t xml:space="preserve">#N/A </t>
        </is>
      </c>
      <c r="P294" s="123" t="inlineStr">
        <is>
          <t xml:space="preserve">#N/A </t>
        </is>
      </c>
    </row>
    <row r="295">
      <c r="A295" s="95" t="inlineStr">
        <is>
          <t>Glovis Link</t>
        </is>
      </c>
      <c r="D295" s="95">
        <f>IF(OR(ISNUMBER(SEARCH("Pre Delivery",E295)),ISNUMBER(SEARCH("Pre-Delivery",E295)),ISNUMBER(SEARCH("Predelivery",E295)),ISNUMBER(SEARCH("PD -",E295)),ISNUMBER(SEARCH("PD Lubes",E295))),"Pre-Delivery","")</f>
        <v/>
      </c>
      <c r="E295" s="141" t="inlineStr">
        <is>
          <t>Impa Stores - Galley</t>
        </is>
      </c>
      <c r="F295" s="141" t="inlineStr">
        <is>
          <t>IMPA Stores - Engine</t>
        </is>
      </c>
      <c r="H295" s="141" t="inlineStr">
        <is>
          <t>Stores</t>
        </is>
      </c>
      <c r="L295" s="141" t="inlineStr">
        <is>
          <t>PCTC</t>
        </is>
      </c>
      <c r="M295" s="108" t="inlineStr">
        <is>
          <t xml:space="preserve">#N/A </t>
        </is>
      </c>
      <c r="N295" s="108" t="inlineStr">
        <is>
          <t xml:space="preserve">#N/A </t>
        </is>
      </c>
      <c r="O295" s="108" t="inlineStr">
        <is>
          <t xml:space="preserve">#N/A </t>
        </is>
      </c>
      <c r="P295" s="123" t="inlineStr">
        <is>
          <t xml:space="preserve">#N/A </t>
        </is>
      </c>
    </row>
    <row r="296">
      <c r="A296" s="95" t="inlineStr">
        <is>
          <t>Glovis Link</t>
        </is>
      </c>
      <c r="D296" s="95">
        <f>IF(OR(ISNUMBER(SEARCH("Pre Delivery",E296)),ISNUMBER(SEARCH("Pre-Delivery",E296)),ISNUMBER(SEARCH("Predelivery",E296)),ISNUMBER(SEARCH("PD -",E296)),ISNUMBER(SEARCH("PD Lubes",E296))),"Pre-Delivery","")</f>
        <v/>
      </c>
      <c r="E296" s="141" t="inlineStr">
        <is>
          <t>Impa Stores - Engine</t>
        </is>
      </c>
      <c r="F296" s="141" t="inlineStr">
        <is>
          <t>IMPA Stores - Engine</t>
        </is>
      </c>
      <c r="H296" s="141" t="inlineStr">
        <is>
          <t>Stores</t>
        </is>
      </c>
      <c r="L296" s="141" t="inlineStr">
        <is>
          <t>PCTC</t>
        </is>
      </c>
      <c r="M296" s="108" t="inlineStr">
        <is>
          <t xml:space="preserve">#N/A </t>
        </is>
      </c>
      <c r="N296" s="108" t="inlineStr">
        <is>
          <t xml:space="preserve">#N/A </t>
        </is>
      </c>
      <c r="O296" s="108" t="inlineStr">
        <is>
          <t xml:space="preserve">#N/A </t>
        </is>
      </c>
      <c r="P296" s="123" t="inlineStr">
        <is>
          <t xml:space="preserve">#N/A </t>
        </is>
      </c>
    </row>
    <row r="297">
      <c r="A297" s="95" t="inlineStr">
        <is>
          <t>Glovis Link</t>
        </is>
      </c>
      <c r="D297" s="95">
        <f>IF(OR(ISNUMBER(SEARCH("Pre Delivery",E297)),ISNUMBER(SEARCH("Pre-Delivery",E297)),ISNUMBER(SEARCH("Predelivery",E297)),ISNUMBER(SEARCH("PD -",E297)),ISNUMBER(SEARCH("PD Lubes",E297))),"Pre-Delivery","")</f>
        <v/>
      </c>
      <c r="E297" s="141" t="inlineStr">
        <is>
          <t>Impa Stores - Engine</t>
        </is>
      </c>
      <c r="F297" s="141" t="inlineStr">
        <is>
          <t>IMPA Stores - Engine</t>
        </is>
      </c>
      <c r="H297" s="141" t="inlineStr">
        <is>
          <t>Stores</t>
        </is>
      </c>
      <c r="L297" s="141" t="inlineStr">
        <is>
          <t>PCTC</t>
        </is>
      </c>
      <c r="M297" s="108" t="inlineStr">
        <is>
          <t xml:space="preserve">#N/A </t>
        </is>
      </c>
      <c r="N297" s="108" t="inlineStr">
        <is>
          <t xml:space="preserve">#N/A </t>
        </is>
      </c>
      <c r="O297" s="108" t="inlineStr">
        <is>
          <t xml:space="preserve">#N/A </t>
        </is>
      </c>
      <c r="P297" s="123" t="inlineStr">
        <is>
          <t xml:space="preserve">#N/A </t>
        </is>
      </c>
    </row>
    <row r="298">
      <c r="A298" s="95" t="inlineStr">
        <is>
          <t>Glovis Link</t>
        </is>
      </c>
      <c r="D298" s="95">
        <f>IF(OR(ISNUMBER(SEARCH("Pre Delivery",E298)),ISNUMBER(SEARCH("Pre-Delivery",E298)),ISNUMBER(SEARCH("Predelivery",E298)),ISNUMBER(SEARCH("PD -",E298)),ISNUMBER(SEARCH("PD Lubes",E298))),"Pre-Delivery","")</f>
        <v/>
      </c>
      <c r="E298" s="141" t="inlineStr">
        <is>
          <t>Impa Stores - Engine</t>
        </is>
      </c>
      <c r="F298" s="141" t="inlineStr">
        <is>
          <t>IMPA Stores - Electrical</t>
        </is>
      </c>
      <c r="H298" s="141" t="inlineStr">
        <is>
          <t>Stores</t>
        </is>
      </c>
      <c r="L298" s="141" t="inlineStr">
        <is>
          <t>PCTC</t>
        </is>
      </c>
      <c r="M298" s="108" t="inlineStr">
        <is>
          <t xml:space="preserve">#N/A </t>
        </is>
      </c>
      <c r="N298" s="108" t="inlineStr">
        <is>
          <t xml:space="preserve">#N/A </t>
        </is>
      </c>
      <c r="O298" s="108" t="inlineStr">
        <is>
          <t xml:space="preserve">#N/A </t>
        </is>
      </c>
      <c r="P298" s="123" t="inlineStr">
        <is>
          <t xml:space="preserve">#N/A </t>
        </is>
      </c>
    </row>
    <row r="299">
      <c r="A299" s="95" t="inlineStr">
        <is>
          <t>Glovis Link</t>
        </is>
      </c>
      <c r="D299" s="95">
        <f>IF(OR(ISNUMBER(SEARCH("Pre Delivery",E299)),ISNUMBER(SEARCH("Pre-Delivery",E299)),ISNUMBER(SEARCH("Predelivery",E299)),ISNUMBER(SEARCH("PD -",E299)),ISNUMBER(SEARCH("PD Lubes",E299))),"Pre-Delivery","")</f>
        <v/>
      </c>
      <c r="E299" s="141" t="inlineStr">
        <is>
          <t>Impa Stores - Engine</t>
        </is>
      </c>
      <c r="F299" s="141" t="inlineStr">
        <is>
          <t>IMPA Stores - General</t>
        </is>
      </c>
      <c r="H299" s="141" t="inlineStr">
        <is>
          <t>Stores</t>
        </is>
      </c>
      <c r="L299" s="141" t="inlineStr">
        <is>
          <t>PCTC</t>
        </is>
      </c>
      <c r="M299" s="108" t="inlineStr">
        <is>
          <t xml:space="preserve">#N/A </t>
        </is>
      </c>
      <c r="N299" s="108" t="inlineStr">
        <is>
          <t xml:space="preserve">#N/A </t>
        </is>
      </c>
      <c r="O299" s="108" t="inlineStr">
        <is>
          <t xml:space="preserve">#N/A </t>
        </is>
      </c>
      <c r="P299" s="123" t="inlineStr">
        <is>
          <t xml:space="preserve">#N/A </t>
        </is>
      </c>
    </row>
    <row r="300">
      <c r="A300" s="95" t="inlineStr">
        <is>
          <t>Glovis Link</t>
        </is>
      </c>
      <c r="D300" s="95">
        <f>IF(OR(ISNUMBER(SEARCH("Pre Delivery",E300)),ISNUMBER(SEARCH("Pre-Delivery",E300)),ISNUMBER(SEARCH("Predelivery",E300)),ISNUMBER(SEARCH("PD -",E300)),ISNUMBER(SEARCH("PD Lubes",E300))),"Pre-Delivery","")</f>
        <v/>
      </c>
      <c r="E300" s="141" t="inlineStr">
        <is>
          <t>Impa Stores - Electric</t>
        </is>
      </c>
      <c r="F300" s="141" t="inlineStr">
        <is>
          <t>Ultrasonic Cleaner</t>
        </is>
      </c>
      <c r="H300" s="141" t="inlineStr">
        <is>
          <t>Stores</t>
        </is>
      </c>
      <c r="L300" s="141" t="inlineStr">
        <is>
          <t>PCTC</t>
        </is>
      </c>
      <c r="M300" s="108" t="inlineStr">
        <is>
          <t xml:space="preserve">#N/A </t>
        </is>
      </c>
      <c r="N300" s="108" t="inlineStr">
        <is>
          <t xml:space="preserve">#N/A </t>
        </is>
      </c>
      <c r="O300" s="108" t="inlineStr">
        <is>
          <t xml:space="preserve">#N/A </t>
        </is>
      </c>
      <c r="P300" s="123" t="inlineStr">
        <is>
          <t xml:space="preserve">#N/A </t>
        </is>
      </c>
    </row>
    <row r="301">
      <c r="A301" s="95" t="inlineStr">
        <is>
          <t>Glovis Link</t>
        </is>
      </c>
      <c r="D301" s="95">
        <f>IF(OR(ISNUMBER(SEARCH("Pre Delivery",E301)),ISNUMBER(SEARCH("Pre-Delivery",E301)),ISNUMBER(SEARCH("Predelivery",E301)),ISNUMBER(SEARCH("PD -",E301)),ISNUMBER(SEARCH("PD Lubes",E301))),"Pre-Delivery","")</f>
        <v/>
      </c>
      <c r="E301" s="141" t="inlineStr">
        <is>
          <t>Impa Stores - Instrumenation</t>
        </is>
      </c>
      <c r="F301" s="141" t="inlineStr">
        <is>
          <t>OPA 90 Kit</t>
        </is>
      </c>
      <c r="H301" s="141" t="inlineStr">
        <is>
          <t>Stores</t>
        </is>
      </c>
      <c r="L301" s="141" t="inlineStr">
        <is>
          <t>PCTC</t>
        </is>
      </c>
      <c r="M301" s="108" t="inlineStr">
        <is>
          <t xml:space="preserve">#N/A </t>
        </is>
      </c>
      <c r="N301" s="108" t="inlineStr">
        <is>
          <t xml:space="preserve">#N/A </t>
        </is>
      </c>
      <c r="O301" s="108" t="inlineStr">
        <is>
          <t xml:space="preserve">#N/A </t>
        </is>
      </c>
      <c r="P301" s="123" t="inlineStr">
        <is>
          <t xml:space="preserve">#N/A </t>
        </is>
      </c>
    </row>
    <row r="302">
      <c r="A302" s="95" t="inlineStr">
        <is>
          <t>Glovis Link</t>
        </is>
      </c>
      <c r="C302" s="141" t="inlineStr">
        <is>
          <t>GLIN-60034/26</t>
        </is>
      </c>
      <c r="D302" s="95">
        <f>IF(OR(ISNUMBER(SEARCH("Pre Delivery",E302)),ISNUMBER(SEARCH("Pre-Delivery",E302)),ISNUMBER(SEARCH("Predelivery",E302)),ISNUMBER(SEARCH("PD -",E302)),ISNUMBER(SEARCH("PD Lubes",E302))),"Pre-Delivery","")</f>
        <v/>
      </c>
      <c r="E302" s="141" t="inlineStr">
        <is>
          <t>Ultrasonic Cleaning system - 230V</t>
        </is>
      </c>
      <c r="F302" s="141" t="inlineStr">
        <is>
          <t>High Pressure Washer</t>
        </is>
      </c>
      <c r="H302" s="141" t="inlineStr">
        <is>
          <t>Stores</t>
        </is>
      </c>
      <c r="I302" s="95" t="inlineStr">
        <is>
          <t>Pending Approval</t>
        </is>
      </c>
      <c r="L302" s="141" t="inlineStr">
        <is>
          <t>PCTC</t>
        </is>
      </c>
      <c r="M302" s="108" t="inlineStr">
        <is>
          <t xml:space="preserve">#N/A </t>
        </is>
      </c>
      <c r="N302" s="108" t="inlineStr">
        <is>
          <t xml:space="preserve">#N/A </t>
        </is>
      </c>
      <c r="O302" s="108" t="inlineStr">
        <is>
          <t xml:space="preserve">#N/A </t>
        </is>
      </c>
      <c r="P302" s="123" t="inlineStr">
        <is>
          <t xml:space="preserve">#N/A </t>
        </is>
      </c>
    </row>
    <row r="303">
      <c r="A303" s="95" t="inlineStr">
        <is>
          <t>Glovis Link</t>
        </is>
      </c>
      <c r="C303" s="141" t="inlineStr">
        <is>
          <t>GLIN-60035/26</t>
        </is>
      </c>
      <c r="D303" s="95">
        <f>IF(OR(ISNUMBER(SEARCH("Pre Delivery",E303)),ISNUMBER(SEARCH("Pre-Delivery",E303)),ISNUMBER(SEARCH("Predelivery",E303)),ISNUMBER(SEARCH("PD -",E303)),ISNUMBER(SEARCH("PD Lubes",E303))),"Pre-Delivery","")</f>
        <v/>
      </c>
      <c r="E303" s="141" t="inlineStr">
        <is>
          <t>OPA 90 KIT - 12-barrel kit</t>
        </is>
      </c>
      <c r="F303" s="141" t="inlineStr">
        <is>
          <t>LOTO Stickers</t>
        </is>
      </c>
      <c r="H303" s="141" t="inlineStr">
        <is>
          <t>Stores</t>
        </is>
      </c>
      <c r="I303" s="95" t="inlineStr">
        <is>
          <t>Pending Approval</t>
        </is>
      </c>
      <c r="L303" s="141" t="inlineStr">
        <is>
          <t>PCTC</t>
        </is>
      </c>
      <c r="M303" s="108" t="inlineStr">
        <is>
          <t xml:space="preserve">#N/A </t>
        </is>
      </c>
      <c r="N303" s="108" t="inlineStr">
        <is>
          <t xml:space="preserve">#N/A </t>
        </is>
      </c>
      <c r="O303" s="108" t="inlineStr">
        <is>
          <t xml:space="preserve">#N/A </t>
        </is>
      </c>
      <c r="P303" s="123" t="inlineStr">
        <is>
          <t xml:space="preserve">#N/A </t>
        </is>
      </c>
    </row>
    <row r="304">
      <c r="A304" s="95" t="inlineStr">
        <is>
          <t>Glovis Link</t>
        </is>
      </c>
      <c r="C304" s="141" t="inlineStr">
        <is>
          <t>GLIN-60036/26</t>
        </is>
      </c>
      <c r="D304" s="95">
        <f>IF(OR(ISNUMBER(SEARCH("Pre Delivery",E304)),ISNUMBER(SEARCH("Pre-Delivery",E304)),ISNUMBER(SEARCH("Predelivery",E304)),ISNUMBER(SEARCH("PD -",E304)),ISNUMBER(SEARCH("PD Lubes",E304))),"Pre-Delivery","")</f>
        <v/>
      </c>
      <c r="E304" s="141" t="inlineStr">
        <is>
          <t>H.P machine - 2pcs (prefer Branded - Karcher/ KEW)</t>
        </is>
      </c>
      <c r="F304" s="141" t="inlineStr">
        <is>
          <t>Steam Splash Suit</t>
        </is>
      </c>
      <c r="H304" s="141" t="inlineStr">
        <is>
          <t>Stores</t>
        </is>
      </c>
      <c r="L304" s="141" t="inlineStr">
        <is>
          <t>PCTC</t>
        </is>
      </c>
      <c r="M304" s="108" t="inlineStr">
        <is>
          <t xml:space="preserve">#N/A </t>
        </is>
      </c>
      <c r="N304" s="108" t="inlineStr">
        <is>
          <t xml:space="preserve">#N/A </t>
        </is>
      </c>
      <c r="O304" s="108" t="inlineStr">
        <is>
          <t xml:space="preserve">#N/A </t>
        </is>
      </c>
      <c r="P304" s="123" t="inlineStr">
        <is>
          <t xml:space="preserve">#N/A </t>
        </is>
      </c>
    </row>
    <row r="305">
      <c r="A305" s="95" t="inlineStr">
        <is>
          <t>Glovis Link</t>
        </is>
      </c>
      <c r="D305" s="95">
        <f>IF(OR(ISNUMBER(SEARCH("Pre Delivery",E305)),ISNUMBER(SEARCH("Pre-Delivery",E305)),ISNUMBER(SEARCH("Predelivery",E305)),ISNUMBER(SEARCH("PD -",E305)),ISNUMBER(SEARCH("PD Lubes",E305))),"Pre-Delivery","")</f>
        <v/>
      </c>
      <c r="E305" s="141" t="inlineStr">
        <is>
          <t>2. LOTO Stickers</t>
        </is>
      </c>
      <c r="F305" s="141" t="inlineStr">
        <is>
          <t>Chemical Tags</t>
        </is>
      </c>
      <c r="H305" s="141" t="inlineStr">
        <is>
          <t>Stores</t>
        </is>
      </c>
      <c r="L305" s="141" t="inlineStr">
        <is>
          <t>PCTC</t>
        </is>
      </c>
      <c r="M305" s="108" t="inlineStr">
        <is>
          <t xml:space="preserve">#N/A </t>
        </is>
      </c>
      <c r="N305" s="108" t="inlineStr">
        <is>
          <t xml:space="preserve">#N/A </t>
        </is>
      </c>
      <c r="O305" s="108" t="inlineStr">
        <is>
          <t xml:space="preserve">#N/A </t>
        </is>
      </c>
      <c r="P305" s="123" t="inlineStr">
        <is>
          <t xml:space="preserve">#N/A </t>
        </is>
      </c>
    </row>
    <row r="306">
      <c r="A306" s="95" t="inlineStr">
        <is>
          <t>Glovis Link</t>
        </is>
      </c>
      <c r="C306" s="141" t="inlineStr">
        <is>
          <t>GLIN-60037/26</t>
        </is>
      </c>
      <c r="D306" s="95">
        <f>IF(OR(ISNUMBER(SEARCH("Pre Delivery",E306)),ISNUMBER(SEARCH("Pre-Delivery",E306)),ISNUMBER(SEARCH("Predelivery",E306)),ISNUMBER(SEARCH("PD -",E306)),ISNUMBER(SEARCH("PD Lubes",E306))),"Pre-Delivery","")</f>
        <v/>
      </c>
      <c r="E306" s="141" t="inlineStr">
        <is>
          <t>3. Steam Splash Suit</t>
        </is>
      </c>
      <c r="F306" s="141" t="inlineStr">
        <is>
          <t>Safe Lanes (Trelleborg)</t>
        </is>
      </c>
      <c r="H306" s="141" t="inlineStr">
        <is>
          <t>Stores</t>
        </is>
      </c>
      <c r="I306" s="95" t="inlineStr">
        <is>
          <t>Pending Approval</t>
        </is>
      </c>
      <c r="L306" s="141" t="inlineStr">
        <is>
          <t>PCTC</t>
        </is>
      </c>
      <c r="M306" s="108" t="inlineStr">
        <is>
          <t xml:space="preserve">#N/A </t>
        </is>
      </c>
      <c r="N306" s="108" t="inlineStr">
        <is>
          <t xml:space="preserve">#N/A </t>
        </is>
      </c>
      <c r="O306" s="108" t="inlineStr">
        <is>
          <t xml:space="preserve">#N/A </t>
        </is>
      </c>
      <c r="P306" s="123" t="inlineStr">
        <is>
          <t xml:space="preserve">#N/A </t>
        </is>
      </c>
    </row>
    <row r="307">
      <c r="A307" s="95" t="inlineStr">
        <is>
          <t>Glovis Link</t>
        </is>
      </c>
      <c r="D307" s="95">
        <f>IF(OR(ISNUMBER(SEARCH("Pre Delivery",E307)),ISNUMBER(SEARCH("Pre-Delivery",E307)),ISNUMBER(SEARCH("Predelivery",E307)),ISNUMBER(SEARCH("PD -",E307)),ISNUMBER(SEARCH("PD Lubes",E307))),"Pre-Delivery","")</f>
        <v/>
      </c>
      <c r="E307" s="141" t="inlineStr">
        <is>
          <t>4. Chemical tags</t>
        </is>
      </c>
      <c r="F307" s="141" t="inlineStr">
        <is>
          <t>Seatab</t>
        </is>
      </c>
      <c r="H307" s="141" t="inlineStr">
        <is>
          <t>Stores</t>
        </is>
      </c>
      <c r="L307" s="141" t="inlineStr">
        <is>
          <t>PCTC</t>
        </is>
      </c>
      <c r="M307" s="108" t="inlineStr">
        <is>
          <t xml:space="preserve">#N/A </t>
        </is>
      </c>
      <c r="N307" s="108" t="inlineStr">
        <is>
          <t xml:space="preserve">#N/A </t>
        </is>
      </c>
      <c r="O307" s="108" t="inlineStr">
        <is>
          <t xml:space="preserve">#N/A </t>
        </is>
      </c>
      <c r="P307" s="123" t="inlineStr">
        <is>
          <t xml:space="preserve">#N/A </t>
        </is>
      </c>
    </row>
    <row r="308">
      <c r="A308" s="95" t="inlineStr">
        <is>
          <t>Glovis Link</t>
        </is>
      </c>
      <c r="D308" s="95">
        <f>IF(OR(ISNUMBER(SEARCH("Pre Delivery",E308)),ISNUMBER(SEARCH("Pre-Delivery",E308)),ISNUMBER(SEARCH("Predelivery",E308)),ISNUMBER(SEARCH("PD -",E308)),ISNUMBER(SEARCH("PD Lubes",E308))),"Pre-Delivery","")</f>
        <v/>
      </c>
      <c r="E308" s="141" t="inlineStr">
        <is>
          <t>5. Trelleborg Safe lanes</t>
        </is>
      </c>
      <c r="F308" s="141" t="inlineStr">
        <is>
          <t>Thermal Camera (FLIR)</t>
        </is>
      </c>
      <c r="H308" s="141" t="inlineStr">
        <is>
          <t>Stores</t>
        </is>
      </c>
      <c r="L308" s="141" t="inlineStr">
        <is>
          <t>PCTC</t>
        </is>
      </c>
      <c r="M308" s="108" t="inlineStr">
        <is>
          <t xml:space="preserve">#N/A </t>
        </is>
      </c>
      <c r="N308" s="108" t="inlineStr">
        <is>
          <t xml:space="preserve">#N/A </t>
        </is>
      </c>
      <c r="O308" s="108" t="inlineStr">
        <is>
          <t xml:space="preserve">#N/A </t>
        </is>
      </c>
      <c r="P308" s="123" t="inlineStr">
        <is>
          <t xml:space="preserve">#N/A </t>
        </is>
      </c>
    </row>
    <row r="309">
      <c r="A309" s="95" t="inlineStr">
        <is>
          <t>Glovis Link</t>
        </is>
      </c>
      <c r="C309" s="141" t="inlineStr">
        <is>
          <t>GLIN-60029/26-1</t>
        </is>
      </c>
      <c r="D309" s="95">
        <f>IF(OR(ISNUMBER(SEARCH("Pre Delivery",E309)),ISNUMBER(SEARCH("Pre-Delivery",E309)),ISNUMBER(SEARCH("Predelivery",E309)),ISNUMBER(SEARCH("PD -",E309)),ISNUMBER(SEARCH("PD Lubes",E309))),"Pre-Delivery","")</f>
        <v/>
      </c>
      <c r="E309" s="141" t="inlineStr">
        <is>
          <t>Pre Delivery - Seatab</t>
        </is>
      </c>
      <c r="F309" s="141" t="inlineStr">
        <is>
          <t>Explosion Proof Camera</t>
        </is>
      </c>
      <c r="H309" s="141" t="inlineStr">
        <is>
          <t>Stores</t>
        </is>
      </c>
      <c r="J309" s="141" t="inlineStr">
        <is>
          <t>3/17/2026</t>
        </is>
      </c>
      <c r="L309" s="141" t="inlineStr">
        <is>
          <t>PCTC</t>
        </is>
      </c>
      <c r="M309" s="108" t="inlineStr">
        <is>
          <t xml:space="preserve">#N/A </t>
        </is>
      </c>
      <c r="N309" s="108" t="inlineStr">
        <is>
          <t xml:space="preserve">#N/A </t>
        </is>
      </c>
      <c r="O309" s="108" t="inlineStr">
        <is>
          <t xml:space="preserve">#N/A </t>
        </is>
      </c>
      <c r="P309" s="123" t="inlineStr">
        <is>
          <t xml:space="preserve">#N/A </t>
        </is>
      </c>
    </row>
    <row r="310">
      <c r="A310" s="95" t="inlineStr">
        <is>
          <t>Glovis Link</t>
        </is>
      </c>
      <c r="C310" s="141" t="inlineStr">
        <is>
          <t>GLIN-60032/26-1</t>
        </is>
      </c>
      <c r="D310" s="95">
        <f>IF(OR(ISNUMBER(SEARCH("Pre Delivery",E310)),ISNUMBER(SEARCH("Pre-Delivery",E310)),ISNUMBER(SEARCH("Predelivery",E310)),ISNUMBER(SEARCH("PD -",E310)),ISNUMBER(SEARCH("PD Lubes",E310))),"Pre-Delivery","")</f>
        <v/>
      </c>
      <c r="E310" s="141" t="inlineStr">
        <is>
          <t>FLIR ESPro and E6 Pro</t>
        </is>
      </c>
      <c r="F310" s="141" t="inlineStr">
        <is>
          <t>Cryogenic PPE</t>
        </is>
      </c>
      <c r="H310" s="141" t="inlineStr">
        <is>
          <t>Stores</t>
        </is>
      </c>
      <c r="I310" s="95" t="inlineStr">
        <is>
          <t>Pending Delivery</t>
        </is>
      </c>
      <c r="L310" s="141" t="inlineStr">
        <is>
          <t>PCTC</t>
        </is>
      </c>
      <c r="M310" s="108" t="inlineStr">
        <is>
          <t xml:space="preserve">#N/A </t>
        </is>
      </c>
      <c r="N310" s="108" t="inlineStr">
        <is>
          <t xml:space="preserve">#N/A </t>
        </is>
      </c>
      <c r="O310" s="108" t="inlineStr">
        <is>
          <t xml:space="preserve">#N/A </t>
        </is>
      </c>
      <c r="P310" s="123" t="inlineStr">
        <is>
          <t xml:space="preserve">#N/A </t>
        </is>
      </c>
    </row>
    <row r="311">
      <c r="A311" s="95" t="inlineStr">
        <is>
          <t>Glovis Link</t>
        </is>
      </c>
      <c r="D311" s="95">
        <f>IF(OR(ISNUMBER(SEARCH("Pre Delivery",E311)),ISNUMBER(SEARCH("Pre-Delivery",E311)),ISNUMBER(SEARCH("Predelivery",E311)),ISNUMBER(SEARCH("PD -",E311)),ISNUMBER(SEARCH("PD Lubes",E311))),"Pre-Delivery","")</f>
        <v/>
      </c>
      <c r="E311" s="141" t="inlineStr">
        <is>
          <t>8. Explosion Proof Camera</t>
        </is>
      </c>
      <c r="F311" s="141" t="inlineStr">
        <is>
          <t>Temperature &amp; Pressure Calibrators</t>
        </is>
      </c>
      <c r="H311" s="141" t="inlineStr">
        <is>
          <t>Stores</t>
        </is>
      </c>
      <c r="L311" s="141" t="inlineStr">
        <is>
          <t>PCTC</t>
        </is>
      </c>
      <c r="M311" s="108" t="inlineStr">
        <is>
          <t xml:space="preserve">#N/A </t>
        </is>
      </c>
      <c r="N311" s="108" t="inlineStr">
        <is>
          <t xml:space="preserve">#N/A </t>
        </is>
      </c>
      <c r="O311" s="108" t="inlineStr">
        <is>
          <t xml:space="preserve">#N/A </t>
        </is>
      </c>
      <c r="P311" s="123" t="inlineStr">
        <is>
          <t xml:space="preserve">#N/A </t>
        </is>
      </c>
    </row>
    <row r="312">
      <c r="A312" s="95" t="inlineStr">
        <is>
          <t>Glovis Link</t>
        </is>
      </c>
      <c r="C312" s="141" t="inlineStr">
        <is>
          <t>GLIN-60028/26-1</t>
        </is>
      </c>
      <c r="D312" s="95">
        <f>IF(OR(ISNUMBER(SEARCH("Pre Delivery",E312)),ISNUMBER(SEARCH("Pre-Delivery",E312)),ISNUMBER(SEARCH("Predelivery",E312)),ISNUMBER(SEARCH("PD -",E312)),ISNUMBER(SEARCH("PD Lubes",E312))),"Pre-Delivery","")</f>
        <v/>
      </c>
      <c r="E312" s="141" t="inlineStr">
        <is>
          <t>Pre Delivery - Cryogenic PPE</t>
        </is>
      </c>
      <c r="F312" s="141" t="inlineStr">
        <is>
          <t>VISWA Line Samplers</t>
        </is>
      </c>
      <c r="H312" s="141" t="inlineStr">
        <is>
          <t>Stores</t>
        </is>
      </c>
      <c r="I312" s="95" t="inlineStr">
        <is>
          <t>Pending Supplier Confirmation</t>
        </is>
      </c>
      <c r="J312" s="97" t="n">
        <v>46101</v>
      </c>
      <c r="L312" s="141" t="inlineStr">
        <is>
          <t>PCTC</t>
        </is>
      </c>
      <c r="M312" s="108" t="inlineStr">
        <is>
          <t xml:space="preserve">#N/A </t>
        </is>
      </c>
      <c r="N312" s="108" t="inlineStr">
        <is>
          <t xml:space="preserve">#N/A </t>
        </is>
      </c>
      <c r="O312" s="108" t="inlineStr">
        <is>
          <t xml:space="preserve">#N/A </t>
        </is>
      </c>
      <c r="P312" s="123" t="inlineStr">
        <is>
          <t xml:space="preserve">#N/A </t>
        </is>
      </c>
    </row>
    <row r="313">
      <c r="A313" s="95" t="inlineStr">
        <is>
          <t>Glovis Link</t>
        </is>
      </c>
      <c r="D313" s="95">
        <f>IF(OR(ISNUMBER(SEARCH("Pre Delivery",E313)),ISNUMBER(SEARCH("Pre-Delivery",E313)),ISNUMBER(SEARCH("Predelivery",E313)),ISNUMBER(SEARCH("PD -",E313)),ISNUMBER(SEARCH("PD Lubes",E313))),"Pre-Delivery","")</f>
        <v/>
      </c>
      <c r="E313" s="141" t="inlineStr">
        <is>
          <t>10. Temperature &amp; Pressure Calibrators</t>
        </is>
      </c>
      <c r="F313" s="141" t="inlineStr">
        <is>
          <t>IMPA Stores - Stationery</t>
        </is>
      </c>
      <c r="H313" s="141" t="inlineStr">
        <is>
          <t>Stores</t>
        </is>
      </c>
      <c r="L313" s="141" t="inlineStr">
        <is>
          <t>PCTC</t>
        </is>
      </c>
      <c r="M313" s="108" t="inlineStr">
        <is>
          <t xml:space="preserve">#N/A </t>
        </is>
      </c>
      <c r="N313" s="108" t="inlineStr">
        <is>
          <t xml:space="preserve">#N/A </t>
        </is>
      </c>
      <c r="O313" s="108" t="inlineStr">
        <is>
          <t xml:space="preserve">#N/A </t>
        </is>
      </c>
      <c r="P313" s="123" t="inlineStr">
        <is>
          <t xml:space="preserve">#N/A </t>
        </is>
      </c>
    </row>
    <row r="314">
      <c r="A314" s="95" t="inlineStr">
        <is>
          <t>Glovis Link</t>
        </is>
      </c>
      <c r="D314" s="95">
        <f>IF(OR(ISNUMBER(SEARCH("Pre Delivery",E314)),ISNUMBER(SEARCH("Pre-Delivery",E314)),ISNUMBER(SEARCH("Predelivery",E314)),ISNUMBER(SEARCH("PD -",E314)),ISNUMBER(SEARCH("PD Lubes",E314))),"Pre-Delivery","")</f>
        <v/>
      </c>
      <c r="E314" s="141" t="inlineStr">
        <is>
          <t>11. VISWA Line Samplers</t>
        </is>
      </c>
      <c r="F314" s="141" t="inlineStr">
        <is>
          <t>HP Pump (Hydraulic Nuts)</t>
        </is>
      </c>
      <c r="H314" s="141" t="inlineStr">
        <is>
          <t>Stores</t>
        </is>
      </c>
      <c r="L314" s="141" t="inlineStr">
        <is>
          <t>PCTC</t>
        </is>
      </c>
      <c r="M314" s="108" t="inlineStr">
        <is>
          <t xml:space="preserve">#N/A </t>
        </is>
      </c>
      <c r="N314" s="108" t="inlineStr">
        <is>
          <t xml:space="preserve">#N/A </t>
        </is>
      </c>
      <c r="O314" s="108" t="inlineStr">
        <is>
          <t xml:space="preserve">#N/A </t>
        </is>
      </c>
      <c r="P314" s="123" t="inlineStr">
        <is>
          <t xml:space="preserve">#N/A </t>
        </is>
      </c>
    </row>
    <row r="315">
      <c r="A315" s="95" t="inlineStr">
        <is>
          <t>Glovis Link</t>
        </is>
      </c>
      <c r="D315" s="95">
        <f>IF(OR(ISNUMBER(SEARCH("Pre Delivery",E315)),ISNUMBER(SEARCH("Pre-Delivery",E315)),ISNUMBER(SEARCH("Predelivery",E315)),ISNUMBER(SEARCH("PD -",E315)),ISNUMBER(SEARCH("PD Lubes",E315))),"Pre-Delivery","")</f>
        <v/>
      </c>
      <c r="E315" s="141" t="inlineStr">
        <is>
          <t xml:space="preserve">12. Standard Chinese stationery </t>
        </is>
      </c>
      <c r="F315" s="141" t="inlineStr">
        <is>
          <t>Chemicals - General</t>
        </is>
      </c>
      <c r="H315" s="141" t="inlineStr">
        <is>
          <t>Stores</t>
        </is>
      </c>
      <c r="L315" s="141" t="inlineStr">
        <is>
          <t>PCTC</t>
        </is>
      </c>
      <c r="M315" s="108" t="inlineStr">
        <is>
          <t xml:space="preserve">#N/A </t>
        </is>
      </c>
      <c r="N315" s="108" t="inlineStr">
        <is>
          <t xml:space="preserve">#N/A </t>
        </is>
      </c>
      <c r="O315" s="108" t="inlineStr">
        <is>
          <t xml:space="preserve">#N/A </t>
        </is>
      </c>
      <c r="P315" s="123" t="inlineStr">
        <is>
          <t xml:space="preserve">#N/A </t>
        </is>
      </c>
    </row>
    <row r="316" ht="37.5" customHeight="1">
      <c r="A316" s="95" t="inlineStr">
        <is>
          <t>Glovis Link</t>
        </is>
      </c>
      <c r="D316" s="95">
        <f>IF(OR(ISNUMBER(SEARCH("Pre Delivery",E316)),ISNUMBER(SEARCH("Pre-Delivery",E316)),ISNUMBER(SEARCH("Predelivery",E316)),ISNUMBER(SEARCH("PD -",E316)),ISNUMBER(SEARCH("PD Lubes",E316))),"Pre-Delivery","")</f>
        <v/>
      </c>
      <c r="E316" s="141" t="inlineStr">
        <is>
          <t>13. Air driven HP Pump - For hydraulic nuts for M/E - From Dan Marine or VLINK</t>
        </is>
      </c>
      <c r="F316" s="141" t="inlineStr">
        <is>
          <t>Mooring Ropes</t>
        </is>
      </c>
      <c r="H316" s="141" t="inlineStr">
        <is>
          <t>Stores</t>
        </is>
      </c>
      <c r="L316" s="141" t="inlineStr">
        <is>
          <t>PCTC</t>
        </is>
      </c>
      <c r="M316" s="108" t="inlineStr">
        <is>
          <t xml:space="preserve">#N/A </t>
        </is>
      </c>
      <c r="N316" s="108" t="inlineStr">
        <is>
          <t xml:space="preserve">#N/A </t>
        </is>
      </c>
      <c r="O316" s="108" t="inlineStr">
        <is>
          <t xml:space="preserve">#N/A </t>
        </is>
      </c>
      <c r="P316" s="123" t="inlineStr">
        <is>
          <t xml:space="preserve">#N/A </t>
        </is>
      </c>
    </row>
    <row r="317">
      <c r="A317" s="95" t="inlineStr">
        <is>
          <t>Glovis Link</t>
        </is>
      </c>
      <c r="D317" s="95">
        <f>IF(OR(ISNUMBER(SEARCH("Pre Delivery",E317)),ISNUMBER(SEARCH("Pre-Delivery",E317)),ISNUMBER(SEARCH("Predelivery",E317)),ISNUMBER(SEARCH("PD -",E317)),ISNUMBER(SEARCH("PD Lubes",E317))),"Pre-Delivery","")</f>
        <v/>
      </c>
      <c r="E317" s="141" t="inlineStr">
        <is>
          <t>Chemical</t>
        </is>
      </c>
      <c r="F317" s="141" t="inlineStr">
        <is>
          <t>UHF Radio</t>
        </is>
      </c>
      <c r="H317" s="141" t="inlineStr">
        <is>
          <t>Stores</t>
        </is>
      </c>
      <c r="L317" s="141" t="inlineStr">
        <is>
          <t>PCTC</t>
        </is>
      </c>
      <c r="M317" s="108" t="inlineStr">
        <is>
          <t xml:space="preserve">#N/A </t>
        </is>
      </c>
      <c r="N317" s="108" t="inlineStr">
        <is>
          <t xml:space="preserve">#N/A </t>
        </is>
      </c>
      <c r="O317" s="108" t="inlineStr">
        <is>
          <t xml:space="preserve">#N/A </t>
        </is>
      </c>
      <c r="P317" s="123" t="inlineStr">
        <is>
          <t xml:space="preserve">#N/A </t>
        </is>
      </c>
    </row>
    <row r="318">
      <c r="A318" s="95" t="inlineStr">
        <is>
          <t>Glovis Link</t>
        </is>
      </c>
      <c r="D318" s="95">
        <f>IF(OR(ISNUMBER(SEARCH("Pre Delivery",E318)),ISNUMBER(SEARCH("Pre-Delivery",E318)),ISNUMBER(SEARCH("Predelivery",E318)),ISNUMBER(SEARCH("PD -",E318)),ISNUMBER(SEARCH("PD Lubes",E318))),"Pre-Delivery","")</f>
        <v/>
      </c>
      <c r="E318" s="141" t="inlineStr">
        <is>
          <t>Mooring Rope</t>
        </is>
      </c>
      <c r="F318" s="141" t="inlineStr">
        <is>
          <t>Soot Treatment</t>
        </is>
      </c>
      <c r="H318" s="141" t="inlineStr">
        <is>
          <t>Stores</t>
        </is>
      </c>
      <c r="L318" s="141" t="inlineStr">
        <is>
          <t>PCTC</t>
        </is>
      </c>
      <c r="M318" s="108" t="inlineStr">
        <is>
          <t xml:space="preserve">#N/A </t>
        </is>
      </c>
      <c r="N318" s="108" t="inlineStr">
        <is>
          <t xml:space="preserve">#N/A </t>
        </is>
      </c>
      <c r="O318" s="108" t="inlineStr">
        <is>
          <t xml:space="preserve">#N/A </t>
        </is>
      </c>
      <c r="P318" s="123" t="inlineStr">
        <is>
          <t xml:space="preserve">#N/A </t>
        </is>
      </c>
    </row>
    <row r="319">
      <c r="A319" s="95" t="inlineStr">
        <is>
          <t>Glovis Link</t>
        </is>
      </c>
      <c r="D319" s="95">
        <f>IF(OR(ISNUMBER(SEARCH("Pre Delivery",E319)),ISNUMBER(SEARCH("Pre-Delivery",E319)),ISNUMBER(SEARCH("Predelivery",E319)),ISNUMBER(SEARCH("PD -",E319)),ISNUMBER(SEARCH("PD Lubes",E319))),"Pre-Delivery","")</f>
        <v/>
      </c>
      <c r="E319" s="141" t="inlineStr">
        <is>
          <t>UHF Radio</t>
        </is>
      </c>
      <c r="F319" s="141" t="inlineStr">
        <is>
          <t>Garbage Refrigerator</t>
        </is>
      </c>
      <c r="H319" s="141" t="inlineStr">
        <is>
          <t>Stores</t>
        </is>
      </c>
      <c r="L319" s="141" t="inlineStr">
        <is>
          <t>PCTC</t>
        </is>
      </c>
      <c r="M319" s="108" t="inlineStr">
        <is>
          <t xml:space="preserve">#N/A </t>
        </is>
      </c>
      <c r="N319" s="108" t="inlineStr">
        <is>
          <t xml:space="preserve">#N/A </t>
        </is>
      </c>
      <c r="O319" s="108" t="inlineStr">
        <is>
          <t xml:space="preserve">#N/A </t>
        </is>
      </c>
      <c r="P319" s="123" t="inlineStr">
        <is>
          <t xml:space="preserve">#N/A </t>
        </is>
      </c>
    </row>
    <row r="320">
      <c r="A320" s="95" t="inlineStr">
        <is>
          <t>Glovis Link</t>
        </is>
      </c>
      <c r="D320" s="95">
        <f>IF(OR(ISNUMBER(SEARCH("Pre Delivery",E320)),ISNUMBER(SEARCH("Pre-Delivery",E320)),ISNUMBER(SEARCH("Predelivery",E320)),ISNUMBER(SEARCH("PD -",E320)),ISNUMBER(SEARCH("PD Lubes",E320))),"Pre-Delivery","")</f>
        <v/>
      </c>
      <c r="E320" s="141" t="inlineStr">
        <is>
          <t xml:space="preserve">Soot </t>
        </is>
      </c>
      <c r="F320" s="141" t="inlineStr">
        <is>
          <t>Dual Fuel Tools</t>
        </is>
      </c>
      <c r="H320" s="141" t="inlineStr">
        <is>
          <t>Stores</t>
        </is>
      </c>
      <c r="L320" s="141" t="inlineStr">
        <is>
          <t>PCTC</t>
        </is>
      </c>
      <c r="M320" s="108" t="inlineStr">
        <is>
          <t xml:space="preserve">#N/A </t>
        </is>
      </c>
      <c r="N320" s="108" t="inlineStr">
        <is>
          <t xml:space="preserve">#N/A </t>
        </is>
      </c>
      <c r="O320" s="108" t="inlineStr">
        <is>
          <t xml:space="preserve">#N/A </t>
        </is>
      </c>
      <c r="P320" s="123" t="inlineStr">
        <is>
          <t xml:space="preserve">#N/A </t>
        </is>
      </c>
    </row>
    <row r="321">
      <c r="A321" s="95" t="inlineStr">
        <is>
          <t>Glovis Link</t>
        </is>
      </c>
      <c r="D321" s="95">
        <f>IF(OR(ISNUMBER(SEARCH("Pre Delivery",E321)),ISNUMBER(SEARCH("Pre-Delivery",E321)),ISNUMBER(SEARCH("Predelivery",E321)),ISNUMBER(SEARCH("PD -",E321)),ISNUMBER(SEARCH("PD Lubes",E321))),"Pre-Delivery","")</f>
        <v/>
      </c>
      <c r="E321" s="141" t="inlineStr">
        <is>
          <t>Garbage Refrigerator</t>
        </is>
      </c>
      <c r="F321" s="141" t="inlineStr">
        <is>
          <t>UHF Antenna</t>
        </is>
      </c>
      <c r="H321" s="141" t="inlineStr">
        <is>
          <t>Stores</t>
        </is>
      </c>
      <c r="L321" s="141" t="inlineStr">
        <is>
          <t>PCTC</t>
        </is>
      </c>
      <c r="M321" s="108" t="inlineStr">
        <is>
          <t xml:space="preserve">#N/A </t>
        </is>
      </c>
      <c r="N321" s="108" t="inlineStr">
        <is>
          <t xml:space="preserve">#N/A </t>
        </is>
      </c>
      <c r="O321" s="108" t="inlineStr">
        <is>
          <t xml:space="preserve">#N/A </t>
        </is>
      </c>
      <c r="P321" s="123" t="inlineStr">
        <is>
          <t xml:space="preserve">#N/A </t>
        </is>
      </c>
    </row>
    <row r="322">
      <c r="A322" s="95" t="inlineStr">
        <is>
          <t>Glovis Link</t>
        </is>
      </c>
      <c r="D322" s="95">
        <f>IF(OR(ISNUMBER(SEARCH("Pre Delivery",E322)),ISNUMBER(SEARCH("Pre-Delivery",E322)),ISNUMBER(SEARCH("Predelivery",E322)),ISNUMBER(SEARCH("PD -",E322)),ISNUMBER(SEARCH("PD Lubes",E322))),"Pre-Delivery","")</f>
        <v/>
      </c>
      <c r="E322" s="141" t="inlineStr">
        <is>
          <t>DF Tools</t>
        </is>
      </c>
      <c r="F322" s="141" t="inlineStr">
        <is>
          <t>Sample Cooler</t>
        </is>
      </c>
      <c r="H322" s="141" t="inlineStr">
        <is>
          <t>Stores</t>
        </is>
      </c>
      <c r="L322" s="141" t="inlineStr">
        <is>
          <t>PCTC</t>
        </is>
      </c>
      <c r="M322" s="108" t="inlineStr">
        <is>
          <t xml:space="preserve">#N/A </t>
        </is>
      </c>
      <c r="N322" s="108" t="inlineStr">
        <is>
          <t xml:space="preserve">#N/A </t>
        </is>
      </c>
      <c r="O322" s="108" t="inlineStr">
        <is>
          <t xml:space="preserve">#N/A </t>
        </is>
      </c>
      <c r="P322" s="123" t="inlineStr">
        <is>
          <t xml:space="preserve">#N/A </t>
        </is>
      </c>
    </row>
    <row r="323">
      <c r="A323" s="95" t="inlineStr">
        <is>
          <t>Glovis Link</t>
        </is>
      </c>
      <c r="D323" s="95">
        <f>IF(OR(ISNUMBER(SEARCH("Pre Delivery",E323)),ISNUMBER(SEARCH("Pre-Delivery",E323)),ISNUMBER(SEARCH("Predelivery",E323)),ISNUMBER(SEARCH("PD -",E323)),ISNUMBER(SEARCH("PD Lubes",E323))),"Pre-Delivery","")</f>
        <v/>
      </c>
      <c r="E323" s="141" t="inlineStr">
        <is>
          <t>UHF Antenna</t>
        </is>
      </c>
      <c r="F323" s="141" t="inlineStr">
        <is>
          <t>Citadel VHF/GPS/UHF System</t>
        </is>
      </c>
      <c r="H323" s="141" t="inlineStr">
        <is>
          <t>Stores</t>
        </is>
      </c>
      <c r="L323" s="141" t="inlineStr">
        <is>
          <t>PCTC</t>
        </is>
      </c>
      <c r="M323" s="108" t="inlineStr">
        <is>
          <t xml:space="preserve">#N/A </t>
        </is>
      </c>
      <c r="N323" s="108" t="inlineStr">
        <is>
          <t xml:space="preserve">#N/A </t>
        </is>
      </c>
      <c r="O323" s="108" t="inlineStr">
        <is>
          <t xml:space="preserve">#N/A </t>
        </is>
      </c>
      <c r="P323" s="123" t="inlineStr">
        <is>
          <t xml:space="preserve">#N/A </t>
        </is>
      </c>
    </row>
    <row r="324">
      <c r="A324" s="95" t="inlineStr">
        <is>
          <t>Glovis Link</t>
        </is>
      </c>
      <c r="C324" s="141" t="inlineStr">
        <is>
          <t>GLIN-60030/26-1</t>
        </is>
      </c>
      <c r="D324" s="95">
        <f>IF(OR(ISNUMBER(SEARCH("Pre Delivery",E324)),ISNUMBER(SEARCH("Pre-Delivery",E324)),ISNUMBER(SEARCH("Predelivery",E324)),ISNUMBER(SEARCH("PD -",E324)),ISNUMBER(SEARCH("PD Lubes",E324))),"Pre-Delivery","")</f>
        <v/>
      </c>
      <c r="E324" s="141" t="inlineStr">
        <is>
          <t>Pre Delivery - Sample Cooler</t>
        </is>
      </c>
      <c r="F324" s="141" t="inlineStr">
        <is>
          <t>Stanchions</t>
        </is>
      </c>
      <c r="H324" s="141" t="inlineStr">
        <is>
          <t>Spares</t>
        </is>
      </c>
      <c r="I324" s="95" t="inlineStr">
        <is>
          <t>Pending Approval</t>
        </is>
      </c>
      <c r="J324" s="97" t="n">
        <v>46101</v>
      </c>
      <c r="L324" s="141" t="inlineStr">
        <is>
          <t>PCTC</t>
        </is>
      </c>
      <c r="M324" s="108" t="inlineStr">
        <is>
          <t xml:space="preserve">#N/A </t>
        </is>
      </c>
      <c r="N324" s="108" t="inlineStr">
        <is>
          <t xml:space="preserve">#N/A </t>
        </is>
      </c>
      <c r="O324" s="108" t="inlineStr">
        <is>
          <t xml:space="preserve">#N/A </t>
        </is>
      </c>
      <c r="P324" s="123" t="inlineStr">
        <is>
          <t xml:space="preserve">#N/A </t>
        </is>
      </c>
    </row>
    <row r="325">
      <c r="A325" s="95" t="inlineStr">
        <is>
          <t>Glovis Link</t>
        </is>
      </c>
      <c r="D325" s="95">
        <f>IF(OR(ISNUMBER(SEARCH("Pre Delivery",E325)),ISNUMBER(SEARCH("Pre-Delivery",E325)),ISNUMBER(SEARCH("Predelivery",E325)),ISNUMBER(SEARCH("PD -",E325)),ISNUMBER(SEARCH("PD Lubes",E325))),"Pre-Delivery","")</f>
        <v/>
      </c>
      <c r="E325" s="141" t="inlineStr">
        <is>
          <t>Citadel Items</t>
        </is>
      </c>
      <c r="F325" s="141" t="inlineStr">
        <is>
          <t>Engine Spares - Main Engine</t>
        </is>
      </c>
      <c r="H325" s="141" t="inlineStr">
        <is>
          <t>Spares</t>
        </is>
      </c>
      <c r="L325" s="141" t="inlineStr">
        <is>
          <t>PCTC</t>
        </is>
      </c>
      <c r="M325" s="108" t="inlineStr">
        <is>
          <t xml:space="preserve">#N/A </t>
        </is>
      </c>
      <c r="N325" s="108" t="inlineStr">
        <is>
          <t xml:space="preserve">#N/A </t>
        </is>
      </c>
      <c r="O325" s="108" t="inlineStr">
        <is>
          <t xml:space="preserve">#N/A </t>
        </is>
      </c>
      <c r="P325" s="123" t="inlineStr">
        <is>
          <t xml:space="preserve">#N/A </t>
        </is>
      </c>
    </row>
    <row r="326">
      <c r="A326" s="95" t="inlineStr">
        <is>
          <t>Glovis Link</t>
        </is>
      </c>
      <c r="D326" s="95">
        <f>IF(OR(ISNUMBER(SEARCH("Pre Delivery",E326)),ISNUMBER(SEARCH("Pre-Delivery",E326)),ISNUMBER(SEARCH("Predelivery",E326)),ISNUMBER(SEARCH("PD -",E326)),ISNUMBER(SEARCH("PD Lubes",E326))),"Pre-Delivery","")</f>
        <v/>
      </c>
      <c r="E326" s="141" t="inlineStr">
        <is>
          <t>Stanchions</t>
        </is>
      </c>
      <c r="F326" s="141" t="inlineStr">
        <is>
          <t>Engine Spares - Auxiliary Engine</t>
        </is>
      </c>
      <c r="H326" s="141" t="inlineStr">
        <is>
          <t>Spares</t>
        </is>
      </c>
      <c r="L326" s="141" t="inlineStr">
        <is>
          <t>PCTC</t>
        </is>
      </c>
      <c r="M326" s="108" t="inlineStr">
        <is>
          <t xml:space="preserve">#N/A </t>
        </is>
      </c>
      <c r="N326" s="108" t="inlineStr">
        <is>
          <t xml:space="preserve">#N/A </t>
        </is>
      </c>
      <c r="O326" s="108" t="inlineStr">
        <is>
          <t xml:space="preserve">#N/A </t>
        </is>
      </c>
      <c r="P326" s="123" t="inlineStr">
        <is>
          <t xml:space="preserve">#N/A </t>
        </is>
      </c>
    </row>
    <row r="327">
      <c r="A327" s="95" t="inlineStr">
        <is>
          <t>Glovis Link</t>
        </is>
      </c>
      <c r="D327" s="95">
        <f>IF(OR(ISNUMBER(SEARCH("Pre Delivery",E327)),ISNUMBER(SEARCH("Pre-Delivery",E327)),ISNUMBER(SEARCH("Predelivery",E327)),ISNUMBER(SEARCH("PD -",E327)),ISNUMBER(SEARCH("PD Lubes",E327))),"Pre-Delivery","")</f>
        <v/>
      </c>
      <c r="E327" s="141" t="inlineStr">
        <is>
          <t xml:space="preserve">Main Engine  </t>
        </is>
      </c>
      <c r="F327" s="141" t="inlineStr">
        <is>
          <t>RO-RO Equipment - Ramp Spares</t>
        </is>
      </c>
      <c r="H327" s="141" t="inlineStr">
        <is>
          <t>Spares</t>
        </is>
      </c>
      <c r="L327" s="141" t="inlineStr">
        <is>
          <t>PCTC</t>
        </is>
      </c>
      <c r="M327" s="108" t="inlineStr">
        <is>
          <t xml:space="preserve">#N/A </t>
        </is>
      </c>
      <c r="N327" s="108" t="inlineStr">
        <is>
          <t xml:space="preserve">#N/A </t>
        </is>
      </c>
      <c r="O327" s="108" t="inlineStr">
        <is>
          <t xml:space="preserve">#N/A </t>
        </is>
      </c>
      <c r="P327" s="123" t="inlineStr">
        <is>
          <t xml:space="preserve">#N/A </t>
        </is>
      </c>
    </row>
    <row r="328">
      <c r="A328" s="95" t="inlineStr">
        <is>
          <t>Glovis Link</t>
        </is>
      </c>
      <c r="D328" s="95">
        <f>IF(OR(ISNUMBER(SEARCH("Pre Delivery",E328)),ISNUMBER(SEARCH("Pre-Delivery",E328)),ISNUMBER(SEARCH("Predelivery",E328)),ISNUMBER(SEARCH("PD -",E328)),ISNUMBER(SEARCH("PD Lubes",E328))),"Pre-Delivery","")</f>
        <v/>
      </c>
      <c r="E328" s="141" t="inlineStr">
        <is>
          <t>Aux. Engine</t>
        </is>
      </c>
      <c r="F328" s="141" t="inlineStr">
        <is>
          <t>Engine Spares - Auxiliary Engine</t>
        </is>
      </c>
      <c r="H328" s="141" t="inlineStr">
        <is>
          <t>Spares</t>
        </is>
      </c>
      <c r="L328" s="141" t="inlineStr">
        <is>
          <t>PCTC</t>
        </is>
      </c>
      <c r="M328" s="108" t="inlineStr">
        <is>
          <t xml:space="preserve">#N/A </t>
        </is>
      </c>
      <c r="N328" s="108" t="inlineStr">
        <is>
          <t xml:space="preserve">#N/A </t>
        </is>
      </c>
      <c r="O328" s="108" t="inlineStr">
        <is>
          <t xml:space="preserve">#N/A </t>
        </is>
      </c>
      <c r="P328" s="123" t="inlineStr">
        <is>
          <t xml:space="preserve">#N/A </t>
        </is>
      </c>
    </row>
    <row r="329" ht="37.5" customHeight="1">
      <c r="A329" s="95" t="inlineStr">
        <is>
          <t>Glovis Link</t>
        </is>
      </c>
      <c r="D329" s="95">
        <f>IF(OR(ISNUMBER(SEARCH("Pre Delivery",E329)),ISNUMBER(SEARCH("Pre-Delivery",E329)),ISNUMBER(SEARCH("Predelivery",E329)),ISNUMBER(SEARCH("PD -",E329)),ISNUMBER(SEARCH("PD Lubes",E329))),"Pre-Delivery","")</f>
        <v/>
      </c>
      <c r="E329" s="141" t="inlineStr">
        <is>
          <t>RO-RO Equipment (Main &amp; Centre Ramp spares + inner Ramp spares)</t>
        </is>
      </c>
      <c r="F329" s="141" t="inlineStr">
        <is>
          <t>BOG Compressor Spares</t>
        </is>
      </c>
      <c r="H329" s="141" t="inlineStr">
        <is>
          <t>Spares</t>
        </is>
      </c>
      <c r="L329" s="141" t="inlineStr">
        <is>
          <t>PCTC</t>
        </is>
      </c>
      <c r="M329" s="108" t="inlineStr">
        <is>
          <t xml:space="preserve">#N/A </t>
        </is>
      </c>
      <c r="N329" s="108" t="inlineStr">
        <is>
          <t xml:space="preserve">#N/A </t>
        </is>
      </c>
      <c r="O329" s="108" t="inlineStr">
        <is>
          <t xml:space="preserve">#N/A </t>
        </is>
      </c>
      <c r="P329" s="123" t="inlineStr">
        <is>
          <t xml:space="preserve">#N/A </t>
        </is>
      </c>
    </row>
    <row r="330">
      <c r="A330" s="95" t="inlineStr">
        <is>
          <t>Glovis Link</t>
        </is>
      </c>
      <c r="D330" s="95">
        <f>IF(OR(ISNUMBER(SEARCH("Pre Delivery",E330)),ISNUMBER(SEARCH("Pre-Delivery",E330)),ISNUMBER(SEARCH("Predelivery",E330)),ISNUMBER(SEARCH("PD -",E330)),ISNUMBER(SEARCH("PD Lubes",E330))),"Pre-Delivery","")</f>
        <v/>
      </c>
      <c r="E330" s="141" t="inlineStr">
        <is>
          <t>HP Pump Skid</t>
        </is>
      </c>
      <c r="F330" s="141" t="inlineStr">
        <is>
          <t>Nitrogen Generator</t>
        </is>
      </c>
      <c r="H330" s="141" t="inlineStr">
        <is>
          <t>Spares</t>
        </is>
      </c>
      <c r="L330" s="141" t="inlineStr">
        <is>
          <t>PCTC</t>
        </is>
      </c>
      <c r="M330" s="108" t="inlineStr">
        <is>
          <t xml:space="preserve">#N/A </t>
        </is>
      </c>
      <c r="N330" s="108" t="inlineStr">
        <is>
          <t xml:space="preserve">#N/A </t>
        </is>
      </c>
      <c r="O330" s="108" t="inlineStr">
        <is>
          <t xml:space="preserve">#N/A </t>
        </is>
      </c>
      <c r="P330" s="123" t="inlineStr">
        <is>
          <t xml:space="preserve">#N/A </t>
        </is>
      </c>
    </row>
    <row r="331">
      <c r="A331" s="95" t="inlineStr">
        <is>
          <t>Glovis Link</t>
        </is>
      </c>
      <c r="C331" s="141" t="inlineStr">
        <is>
          <t>GLIN-60031/26-1</t>
        </is>
      </c>
      <c r="D331" s="95">
        <f>IF(OR(ISNUMBER(SEARCH("Pre Delivery",E331)),ISNUMBER(SEARCH("Pre-Delivery",E331)),ISNUMBER(SEARCH("Predelivery",E331)),ISNUMBER(SEARCH("PD -",E331)),ISNUMBER(SEARCH("PD Lubes",E331))),"Pre-Delivery","")</f>
        <v/>
      </c>
      <c r="E331" s="141" t="inlineStr">
        <is>
          <t>Reliability - Donghwa Spares for BOG Compressor</t>
        </is>
      </c>
      <c r="F331" s="141" t="inlineStr">
        <is>
          <t>BOG Compressor Spares</t>
        </is>
      </c>
      <c r="H331" s="141" t="inlineStr">
        <is>
          <t>Spares</t>
        </is>
      </c>
      <c r="I331" s="95" t="inlineStr">
        <is>
          <t>Pending Approval</t>
        </is>
      </c>
      <c r="J331" s="97" t="n">
        <v>46111</v>
      </c>
      <c r="L331" s="141" t="inlineStr">
        <is>
          <t>PCTC</t>
        </is>
      </c>
      <c r="M331" s="108" t="inlineStr">
        <is>
          <t xml:space="preserve">#N/A </t>
        </is>
      </c>
      <c r="N331" s="108" t="inlineStr">
        <is>
          <t xml:space="preserve">#N/A </t>
        </is>
      </c>
      <c r="O331" s="108" t="inlineStr">
        <is>
          <t xml:space="preserve">#N/A </t>
        </is>
      </c>
      <c r="P331" s="123" t="inlineStr">
        <is>
          <t xml:space="preserve">#N/A </t>
        </is>
      </c>
    </row>
    <row r="332">
      <c r="A332" s="95" t="inlineStr">
        <is>
          <t>Glovis Link</t>
        </is>
      </c>
      <c r="D332" s="95">
        <f>IF(OR(ISNUMBER(SEARCH("Pre Delivery",E332)),ISNUMBER(SEARCH("Pre-Delivery",E332)),ISNUMBER(SEARCH("Predelivery",E332)),ISNUMBER(SEARCH("PD -",E332)),ISNUMBER(SEARCH("PD Lubes",E332))),"Pre-Delivery","")</f>
        <v/>
      </c>
      <c r="E332" s="141" t="inlineStr">
        <is>
          <t>Nitrogen Generator</t>
        </is>
      </c>
      <c r="F332" s="141" t="inlineStr">
        <is>
          <t>Lubricants</t>
        </is>
      </c>
      <c r="H332" s="141" t="inlineStr">
        <is>
          <t>Spares</t>
        </is>
      </c>
      <c r="L332" s="141" t="inlineStr">
        <is>
          <t>PCTC</t>
        </is>
      </c>
      <c r="M332" s="108" t="inlineStr">
        <is>
          <t xml:space="preserve">#N/A </t>
        </is>
      </c>
      <c r="N332" s="108" t="inlineStr">
        <is>
          <t xml:space="preserve">#N/A </t>
        </is>
      </c>
      <c r="O332" s="108" t="inlineStr">
        <is>
          <t xml:space="preserve">#N/A </t>
        </is>
      </c>
      <c r="P332" s="123" t="inlineStr">
        <is>
          <t xml:space="preserve">#N/A </t>
        </is>
      </c>
    </row>
    <row r="333">
      <c r="A333" s="95" t="inlineStr">
        <is>
          <t>Glovis Link</t>
        </is>
      </c>
      <c r="D333" s="95">
        <f>IF(OR(ISNUMBER(SEARCH("Pre Delivery",E333)),ISNUMBER(SEARCH("Pre-Delivery",E333)),ISNUMBER(SEARCH("Predelivery",E333)),ISNUMBER(SEARCH("PD -",E333)),ISNUMBER(SEARCH("PD Lubes",E333))),"Pre-Delivery","")</f>
        <v/>
      </c>
      <c r="F333" s="141" t="inlineStr">
        <is>
          <t>IT Equipment - Computers (Lenovo)</t>
        </is>
      </c>
      <c r="H333" s="141" t="inlineStr">
        <is>
          <t>Spares</t>
        </is>
      </c>
      <c r="L333" s="141" t="inlineStr">
        <is>
          <t>PCTC</t>
        </is>
      </c>
      <c r="M333" s="108" t="inlineStr">
        <is>
          <t xml:space="preserve">#N/A </t>
        </is>
      </c>
      <c r="N333" s="108" t="inlineStr">
        <is>
          <t xml:space="preserve">#N/A </t>
        </is>
      </c>
      <c r="O333" s="108" t="inlineStr">
        <is>
          <t xml:space="preserve">#N/A </t>
        </is>
      </c>
      <c r="P333" s="123" t="inlineStr">
        <is>
          <t xml:space="preserve">#N/A </t>
        </is>
      </c>
    </row>
    <row r="334">
      <c r="A334" s="95" t="inlineStr">
        <is>
          <t>Glovis Link</t>
        </is>
      </c>
      <c r="D334" s="95">
        <f>IF(OR(ISNUMBER(SEARCH("Pre Delivery",E334)),ISNUMBER(SEARCH("Pre-Delivery",E334)),ISNUMBER(SEARCH("Predelivery",E334)),ISNUMBER(SEARCH("PD -",E334)),ISNUMBER(SEARCH("PD Lubes",E334))),"Pre-Delivery","")</f>
        <v/>
      </c>
      <c r="E334" s="141" t="inlineStr">
        <is>
          <t xml:space="preserve">RSC Lube oil - qty </t>
        </is>
      </c>
      <c r="F334" s="141" t="inlineStr">
        <is>
          <t>BWTS Spares</t>
        </is>
      </c>
      <c r="H334" s="141" t="inlineStr">
        <is>
          <t>Spares</t>
        </is>
      </c>
      <c r="L334" s="141" t="inlineStr">
        <is>
          <t>PCTC</t>
        </is>
      </c>
      <c r="M334" s="108" t="inlineStr">
        <is>
          <t xml:space="preserve">#N/A </t>
        </is>
      </c>
      <c r="N334" s="108" t="inlineStr">
        <is>
          <t xml:space="preserve">#N/A </t>
        </is>
      </c>
      <c r="O334" s="108" t="inlineStr">
        <is>
          <t xml:space="preserve">#N/A </t>
        </is>
      </c>
      <c r="P334" s="123" t="inlineStr">
        <is>
          <t xml:space="preserve">#N/A </t>
        </is>
      </c>
    </row>
    <row r="335">
      <c r="A335" s="95" t="inlineStr">
        <is>
          <t>Glovis Link</t>
        </is>
      </c>
      <c r="D335" s="95">
        <f>IF(OR(ISNUMBER(SEARCH("Pre Delivery",E335)),ISNUMBER(SEARCH("Pre-Delivery",E335)),ISNUMBER(SEARCH("Predelivery",E335)),ISNUMBER(SEARCH("PD -",E335)),ISNUMBER(SEARCH("PD Lubes",E335))),"Pre-Delivery","")</f>
        <v/>
      </c>
      <c r="E335" s="141" t="inlineStr">
        <is>
          <t xml:space="preserve">QC DC </t>
        </is>
      </c>
      <c r="F335" s="141" t="inlineStr">
        <is>
          <t>Crew Welfare - Refrigerators</t>
        </is>
      </c>
      <c r="H335" s="141" t="inlineStr">
        <is>
          <t>Spares</t>
        </is>
      </c>
      <c r="L335" s="141" t="inlineStr">
        <is>
          <t>PCTC</t>
        </is>
      </c>
      <c r="M335" s="108" t="inlineStr">
        <is>
          <t xml:space="preserve">#N/A </t>
        </is>
      </c>
      <c r="N335" s="108" t="inlineStr">
        <is>
          <t xml:space="preserve">#N/A </t>
        </is>
      </c>
      <c r="O335" s="108" t="inlineStr">
        <is>
          <t xml:space="preserve">#N/A </t>
        </is>
      </c>
      <c r="P335" s="123" t="inlineStr">
        <is>
          <t xml:space="preserve">#N/A </t>
        </is>
      </c>
    </row>
    <row r="336" ht="37.5" customHeight="1">
      <c r="A336" s="95" t="inlineStr">
        <is>
          <t>Glovis Link</t>
        </is>
      </c>
      <c r="D336" s="95">
        <f>IF(OR(ISNUMBER(SEARCH("Pre Delivery",E336)),ISNUMBER(SEARCH("Pre-Delivery",E336)),ISNUMBER(SEARCH("Predelivery",E336)),ISNUMBER(SEARCH("PD -",E336)),ISNUMBER(SEARCH("PD Lubes",E336))),"Pre-Delivery","")</f>
        <v/>
      </c>
      <c r="E336" s="141" t="inlineStr">
        <is>
          <t>Manuals for all equipment- priority for BWTS, STP, OWS, EMGCY AC, EMCY GEN</t>
        </is>
      </c>
      <c r="F336" s="141" t="inlineStr">
        <is>
          <t>Breathing Air Compressor</t>
        </is>
      </c>
      <c r="H336" s="141" t="inlineStr">
        <is>
          <t>Spares</t>
        </is>
      </c>
      <c r="L336" s="141" t="inlineStr">
        <is>
          <t>PCTC</t>
        </is>
      </c>
      <c r="M336" s="108" t="inlineStr">
        <is>
          <t xml:space="preserve">#N/A </t>
        </is>
      </c>
      <c r="N336" s="108" t="inlineStr">
        <is>
          <t xml:space="preserve">#N/A </t>
        </is>
      </c>
      <c r="O336" s="108" t="inlineStr">
        <is>
          <t xml:space="preserve">#N/A </t>
        </is>
      </c>
      <c r="P336" s="123" t="inlineStr">
        <is>
          <t xml:space="preserve">#N/A </t>
        </is>
      </c>
    </row>
    <row r="337" ht="37.5" customHeight="1">
      <c r="A337" s="95" t="inlineStr">
        <is>
          <t>Glovis Link</t>
        </is>
      </c>
      <c r="D337" s="95">
        <f>IF(OR(ISNUMBER(SEARCH("Pre Delivery",E337)),ISNUMBER(SEARCH("Pre-Delivery",E337)),ISNUMBER(SEARCH("Predelivery",E337)),ISNUMBER(SEARCH("PD -",E337)),ISNUMBER(SEARCH("PD Lubes",E337))),"Pre-Delivery","")</f>
        <v/>
      </c>
      <c r="E337" s="141" t="inlineStr">
        <is>
          <t>Domestic refrigerators 200 litres for rec rooms to be added to stores supplies</t>
        </is>
      </c>
      <c r="F337" s="141" t="inlineStr">
        <is>
          <t>Ozone Steriliser</t>
        </is>
      </c>
      <c r="H337" s="141" t="inlineStr">
        <is>
          <t>Spares</t>
        </is>
      </c>
      <c r="L337" s="141" t="inlineStr">
        <is>
          <t>PCTC</t>
        </is>
      </c>
      <c r="M337" s="108" t="inlineStr">
        <is>
          <t xml:space="preserve">#N/A </t>
        </is>
      </c>
      <c r="N337" s="108" t="inlineStr">
        <is>
          <t xml:space="preserve">#N/A </t>
        </is>
      </c>
      <c r="O337" s="108" t="inlineStr">
        <is>
          <t xml:space="preserve">#N/A </t>
        </is>
      </c>
      <c r="P337" s="123" t="inlineStr">
        <is>
          <t xml:space="preserve">#N/A </t>
        </is>
      </c>
    </row>
    <row r="338">
      <c r="A338" s="95" t="inlineStr">
        <is>
          <t>Glovis Link</t>
        </is>
      </c>
      <c r="D338" s="95">
        <f>IF(OR(ISNUMBER(SEARCH("Pre Delivery",E338)),ISNUMBER(SEARCH("Pre-Delivery",E338)),ISNUMBER(SEARCH("Predelivery",E338)),ISNUMBER(SEARCH("PD -",E338)),ISNUMBER(SEARCH("PD Lubes",E338))),"Pre-Delivery","")</f>
        <v/>
      </c>
      <c r="E338" s="141" t="inlineStr">
        <is>
          <t>Breathing air compressor</t>
        </is>
      </c>
      <c r="F338" s="141" t="inlineStr">
        <is>
          <t>Suez Light</t>
        </is>
      </c>
      <c r="H338" s="141" t="inlineStr">
        <is>
          <t>Spares</t>
        </is>
      </c>
      <c r="L338" s="141" t="inlineStr">
        <is>
          <t>PCTC</t>
        </is>
      </c>
      <c r="M338" s="108" t="inlineStr">
        <is>
          <t xml:space="preserve">#N/A </t>
        </is>
      </c>
      <c r="N338" s="108" t="inlineStr">
        <is>
          <t xml:space="preserve">#N/A </t>
        </is>
      </c>
      <c r="O338" s="108" t="inlineStr">
        <is>
          <t xml:space="preserve">#N/A </t>
        </is>
      </c>
      <c r="P338" s="123" t="inlineStr">
        <is>
          <t xml:space="preserve">#N/A </t>
        </is>
      </c>
    </row>
    <row r="339">
      <c r="A339" s="95" t="inlineStr">
        <is>
          <t>Glovis Link</t>
        </is>
      </c>
      <c r="D339" s="95">
        <f>IF(OR(ISNUMBER(SEARCH("Pre Delivery",E339)),ISNUMBER(SEARCH("Pre-Delivery",E339)),ISNUMBER(SEARCH("Predelivery",E339)),ISNUMBER(SEARCH("PD -",E339)),ISNUMBER(SEARCH("PD Lubes",E339))),"Pre-Delivery","")</f>
        <v/>
      </c>
      <c r="E339" s="141" t="inlineStr">
        <is>
          <t>ozone sterliser</t>
        </is>
      </c>
      <c r="F339" s="141" t="inlineStr">
        <is>
          <t>RO-RO Equipment - Ramp Spares</t>
        </is>
      </c>
      <c r="H339" s="141" t="inlineStr">
        <is>
          <t>Spares</t>
        </is>
      </c>
      <c r="L339" s="141" t="inlineStr">
        <is>
          <t>PCTC</t>
        </is>
      </c>
      <c r="M339" s="108" t="inlineStr">
        <is>
          <t xml:space="preserve">#N/A </t>
        </is>
      </c>
      <c r="N339" s="108" t="inlineStr">
        <is>
          <t xml:space="preserve">#N/A </t>
        </is>
      </c>
      <c r="O339" s="108" t="inlineStr">
        <is>
          <t xml:space="preserve">#N/A </t>
        </is>
      </c>
      <c r="P339" s="123" t="inlineStr">
        <is>
          <t xml:space="preserve">#N/A </t>
        </is>
      </c>
    </row>
    <row r="340">
      <c r="A340" s="95" t="inlineStr">
        <is>
          <t>Glovis Link</t>
        </is>
      </c>
      <c r="D340" s="95">
        <f>IF(OR(ISNUMBER(SEARCH("Pre Delivery",E340)),ISNUMBER(SEARCH("Pre-Delivery",E340)),ISNUMBER(SEARCH("Predelivery",E340)),ISNUMBER(SEARCH("PD -",E340)),ISNUMBER(SEARCH("PD Lubes",E340))),"Pre-Delivery","")</f>
        <v/>
      </c>
      <c r="E340" s="141" t="inlineStr">
        <is>
          <t>suez light</t>
        </is>
      </c>
      <c r="F340" s="141" t="inlineStr">
        <is>
          <t>Reefer Cables &amp; Plugs</t>
        </is>
      </c>
      <c r="H340" s="141" t="inlineStr">
        <is>
          <t>Spares</t>
        </is>
      </c>
      <c r="L340" s="141" t="inlineStr">
        <is>
          <t>PCTC</t>
        </is>
      </c>
      <c r="M340" s="108" t="inlineStr">
        <is>
          <t xml:space="preserve">#N/A </t>
        </is>
      </c>
      <c r="N340" s="108" t="inlineStr">
        <is>
          <t xml:space="preserve">#N/A </t>
        </is>
      </c>
      <c r="O340" s="108" t="inlineStr">
        <is>
          <t xml:space="preserve">#N/A </t>
        </is>
      </c>
      <c r="P340" s="123" t="inlineStr">
        <is>
          <t xml:space="preserve">#N/A </t>
        </is>
      </c>
    </row>
    <row r="341" ht="37.5" customHeight="1">
      <c r="A341" s="95" t="inlineStr">
        <is>
          <t>Glovis Link</t>
        </is>
      </c>
      <c r="D341" s="95">
        <f>IF(OR(ISNUMBER(SEARCH("Pre Delivery",E341)),ISNUMBER(SEARCH("Pre-Delivery",E341)),ISNUMBER(SEARCH("Predelivery",E341)),ISNUMBER(SEARCH("PD -",E341)),ISNUMBER(SEARCH("PD Lubes",E341))),"Pre-Delivery","")</f>
        <v/>
      </c>
      <c r="E341" s="141" t="inlineStr">
        <is>
          <t>Item no 11, loose equipment for emergency operation of roro equipment</t>
        </is>
      </c>
      <c r="F341" s="141" t="inlineStr">
        <is>
          <t>Chain Blocks</t>
        </is>
      </c>
      <c r="H341" s="141" t="inlineStr">
        <is>
          <t>Spares</t>
        </is>
      </c>
      <c r="L341" s="141" t="inlineStr">
        <is>
          <t>PCTC</t>
        </is>
      </c>
      <c r="M341" s="108" t="inlineStr">
        <is>
          <t xml:space="preserve">#N/A </t>
        </is>
      </c>
      <c r="N341" s="108" t="inlineStr">
        <is>
          <t xml:space="preserve">#N/A </t>
        </is>
      </c>
      <c r="O341" s="108" t="inlineStr">
        <is>
          <t xml:space="preserve">#N/A </t>
        </is>
      </c>
      <c r="P341" s="123" t="inlineStr">
        <is>
          <t xml:space="preserve">#N/A </t>
        </is>
      </c>
    </row>
    <row r="342">
      <c r="A342" s="95" t="inlineStr">
        <is>
          <t>Glovis Link</t>
        </is>
      </c>
      <c r="D342" s="95">
        <f>IF(OR(ISNUMBER(SEARCH("Pre Delivery",E342)),ISNUMBER(SEARCH("Pre-Delivery",E342)),ISNUMBER(SEARCH("Predelivery",E342)),ISNUMBER(SEARCH("PD -",E342)),ISNUMBER(SEARCH("PD Lubes",E342))),"Pre-Delivery","")</f>
        <v/>
      </c>
      <c r="E342" s="141" t="inlineStr">
        <is>
          <t>Reefer cable and plugs extensions</t>
        </is>
      </c>
      <c r="F342" s="141" t="inlineStr">
        <is>
          <t>Glycol</t>
        </is>
      </c>
      <c r="H342" s="141" t="inlineStr">
        <is>
          <t>Spares</t>
        </is>
      </c>
      <c r="L342" s="141" t="inlineStr">
        <is>
          <t>PCTC</t>
        </is>
      </c>
      <c r="M342" s="108" t="inlineStr">
        <is>
          <t xml:space="preserve">#N/A </t>
        </is>
      </c>
      <c r="N342" s="108" t="inlineStr">
        <is>
          <t xml:space="preserve">#N/A </t>
        </is>
      </c>
      <c r="O342" s="108" t="inlineStr">
        <is>
          <t xml:space="preserve">#N/A </t>
        </is>
      </c>
      <c r="P342" s="123" t="inlineStr">
        <is>
          <t xml:space="preserve">#N/A </t>
        </is>
      </c>
    </row>
    <row r="343">
      <c r="A343" s="95" t="inlineStr">
        <is>
          <t>Glovis Link</t>
        </is>
      </c>
      <c r="D343" s="95">
        <f>IF(OR(ISNUMBER(SEARCH("Pre Delivery",E343)),ISNUMBER(SEARCH("Pre-Delivery",E343)),ISNUMBER(SEARCH("Predelivery",E343)),ISNUMBER(SEARCH("PD -",E343)),ISNUMBER(SEARCH("PD Lubes",E343))),"Pre-Delivery","")</f>
        <v/>
      </c>
      <c r="E343" s="141" t="inlineStr">
        <is>
          <t xml:space="preserve">Manual chain blocks </t>
        </is>
      </c>
      <c r="F343" s="141" t="inlineStr">
        <is>
          <t>Gas Meters</t>
        </is>
      </c>
      <c r="H343" s="141" t="inlineStr">
        <is>
          <t>Spares</t>
        </is>
      </c>
      <c r="L343" s="141" t="inlineStr">
        <is>
          <t>PCTC</t>
        </is>
      </c>
      <c r="M343" s="108" t="inlineStr">
        <is>
          <t xml:space="preserve">#N/A </t>
        </is>
      </c>
      <c r="N343" s="108" t="inlineStr">
        <is>
          <t xml:space="preserve">#N/A </t>
        </is>
      </c>
      <c r="O343" s="108" t="inlineStr">
        <is>
          <t xml:space="preserve">#N/A </t>
        </is>
      </c>
      <c r="P343" s="123" t="inlineStr">
        <is>
          <t xml:space="preserve">#N/A </t>
        </is>
      </c>
    </row>
    <row r="344">
      <c r="A344" s="95" t="inlineStr">
        <is>
          <t>Glovis Link</t>
        </is>
      </c>
      <c r="D344" s="95">
        <f>IF(OR(ISNUMBER(SEARCH("Pre Delivery",E344)),ISNUMBER(SEARCH("Pre-Delivery",E344)),ISNUMBER(SEARCH("Predelivery",E344)),ISNUMBER(SEARCH("PD -",E344)),ISNUMBER(SEARCH("PD Lubes",E344))),"Pre-Delivery","")</f>
        <v/>
      </c>
      <c r="E344" s="141" t="inlineStr">
        <is>
          <t>Glycol</t>
        </is>
      </c>
      <c r="F344" s="141" t="inlineStr">
        <is>
          <t>Welding Equipment</t>
        </is>
      </c>
      <c r="H344" s="141" t="inlineStr">
        <is>
          <t>Spares</t>
        </is>
      </c>
      <c r="L344" s="141" t="inlineStr">
        <is>
          <t>PCTC</t>
        </is>
      </c>
      <c r="M344" s="108" t="inlineStr">
        <is>
          <t xml:space="preserve">#N/A </t>
        </is>
      </c>
      <c r="N344" s="108" t="inlineStr">
        <is>
          <t xml:space="preserve">#N/A </t>
        </is>
      </c>
      <c r="O344" s="108" t="inlineStr">
        <is>
          <t xml:space="preserve">#N/A </t>
        </is>
      </c>
      <c r="P344" s="123" t="inlineStr">
        <is>
          <t xml:space="preserve">#N/A </t>
        </is>
      </c>
    </row>
    <row r="345">
      <c r="A345" s="95" t="inlineStr">
        <is>
          <t>Glovis Link</t>
        </is>
      </c>
      <c r="C345" s="141" t="inlineStr">
        <is>
          <t>GLIN-60042/26</t>
        </is>
      </c>
      <c r="D345" s="95">
        <f>IF(OR(ISNUMBER(SEARCH("Pre Delivery",E345)),ISNUMBER(SEARCH("Pre-Delivery",E345)),ISNUMBER(SEARCH("Predelivery",E345)),ISNUMBER(SEARCH("PD -",E345)),ISNUMBER(SEARCH("PD Lubes",E345))),"Pre-Delivery","")</f>
        <v/>
      </c>
      <c r="E345" s="141" t="inlineStr">
        <is>
          <t>Gas meters</t>
        </is>
      </c>
      <c r="F345" s="141" t="inlineStr">
        <is>
          <t>Service Car &amp; Forklift</t>
        </is>
      </c>
      <c r="H345" s="141" t="inlineStr">
        <is>
          <t>Spares</t>
        </is>
      </c>
      <c r="I345" s="95" t="inlineStr">
        <is>
          <t>Pending Approval</t>
        </is>
      </c>
      <c r="L345" s="141" t="inlineStr">
        <is>
          <t>PCTC</t>
        </is>
      </c>
      <c r="M345" s="108" t="inlineStr">
        <is>
          <t xml:space="preserve">#N/A </t>
        </is>
      </c>
      <c r="N345" s="108" t="inlineStr">
        <is>
          <t xml:space="preserve">#N/A </t>
        </is>
      </c>
      <c r="O345" s="108" t="inlineStr">
        <is>
          <t xml:space="preserve">#N/A </t>
        </is>
      </c>
      <c r="P345" s="123" t="inlineStr">
        <is>
          <t xml:space="preserve">#N/A </t>
        </is>
      </c>
    </row>
    <row r="346">
      <c r="A346" s="95" t="inlineStr">
        <is>
          <t>Glovis Link</t>
        </is>
      </c>
      <c r="D346" s="95">
        <f>IF(OR(ISNUMBER(SEARCH("Pre Delivery",E346)),ISNUMBER(SEARCH("Pre-Delivery",E346)),ISNUMBER(SEARCH("Predelivery",E346)),ISNUMBER(SEARCH("PD -",E346)),ISNUMBER(SEARCH("PD Lubes",E346))),"Pre-Delivery","")</f>
        <v/>
      </c>
      <c r="E346" s="141" t="inlineStr">
        <is>
          <t>Welding machine in Workshop 440 v</t>
        </is>
      </c>
      <c r="F346" s="141" t="inlineStr">
        <is>
          <t>Dual Fuel Tools</t>
        </is>
      </c>
      <c r="H346" s="141" t="inlineStr">
        <is>
          <t>Spares</t>
        </is>
      </c>
      <c r="L346" s="141" t="inlineStr">
        <is>
          <t>PCTC</t>
        </is>
      </c>
      <c r="M346" s="108" t="inlineStr">
        <is>
          <t xml:space="preserve">#N/A </t>
        </is>
      </c>
      <c r="N346" s="108" t="inlineStr">
        <is>
          <t xml:space="preserve">#N/A </t>
        </is>
      </c>
      <c r="O346" s="108" t="inlineStr">
        <is>
          <t xml:space="preserve">#N/A </t>
        </is>
      </c>
      <c r="P346" s="123" t="inlineStr">
        <is>
          <t xml:space="preserve">#N/A </t>
        </is>
      </c>
    </row>
    <row r="347">
      <c r="A347" s="95" t="inlineStr">
        <is>
          <t>Glovis Link</t>
        </is>
      </c>
      <c r="D347" s="95">
        <f>IF(OR(ISNUMBER(SEARCH("Pre Delivery",E347)),ISNUMBER(SEARCH("Pre-Delivery",E347)),ISNUMBER(SEARCH("Predelivery",E347)),ISNUMBER(SEARCH("PD -",E347)),ISNUMBER(SEARCH("PD Lubes",E347))),"Pre-Delivery","")</f>
        <v/>
      </c>
      <c r="E347" s="141" t="inlineStr">
        <is>
          <t>Service Car and Forlift</t>
        </is>
      </c>
      <c r="F347" s="141" t="inlineStr">
        <is>
          <t>Dual Fuel Tools - Methanol</t>
        </is>
      </c>
      <c r="H347" s="141" t="inlineStr">
        <is>
          <t>Spares</t>
        </is>
      </c>
      <c r="L347" s="141" t="inlineStr">
        <is>
          <t>PCTC</t>
        </is>
      </c>
      <c r="M347" s="108" t="inlineStr">
        <is>
          <t xml:space="preserve">#N/A </t>
        </is>
      </c>
      <c r="N347" s="108" t="inlineStr">
        <is>
          <t xml:space="preserve">#N/A </t>
        </is>
      </c>
      <c r="O347" s="108" t="inlineStr">
        <is>
          <t xml:space="preserve">#N/A </t>
        </is>
      </c>
      <c r="P347" s="123" t="inlineStr">
        <is>
          <t xml:space="preserve">#N/A </t>
        </is>
      </c>
    </row>
    <row r="348">
      <c r="A348" s="95" t="inlineStr">
        <is>
          <t>Glovis Link</t>
        </is>
      </c>
      <c r="D348" s="95">
        <f>IF(OR(ISNUMBER(SEARCH("Pre Delivery",E348)),ISNUMBER(SEARCH("Pre-Delivery",E348)),ISNUMBER(SEARCH("Predelivery",E348)),ISNUMBER(SEARCH("PD -",E348)),ISNUMBER(SEARCH("PD Lubes",E348))),"Pre-Delivery","")</f>
        <v/>
      </c>
      <c r="E348" s="141" t="inlineStr">
        <is>
          <t>DF Tools</t>
        </is>
      </c>
      <c r="F348" s="141" t="inlineStr">
        <is>
          <t>Publications &amp; Manuals</t>
        </is>
      </c>
      <c r="H348" s="141" t="inlineStr">
        <is>
          <t>Spares</t>
        </is>
      </c>
      <c r="L348" s="141" t="inlineStr">
        <is>
          <t>PCTC</t>
        </is>
      </c>
      <c r="M348" s="108" t="inlineStr">
        <is>
          <t xml:space="preserve">#N/A </t>
        </is>
      </c>
      <c r="N348" s="108" t="inlineStr">
        <is>
          <t xml:space="preserve">#N/A </t>
        </is>
      </c>
      <c r="O348" s="108" t="inlineStr">
        <is>
          <t xml:space="preserve">#N/A </t>
        </is>
      </c>
      <c r="P348" s="123" t="inlineStr">
        <is>
          <t xml:space="preserve">#N/A </t>
        </is>
      </c>
    </row>
    <row r="349">
      <c r="A349" s="95" t="inlineStr">
        <is>
          <t>Glovis Link</t>
        </is>
      </c>
      <c r="D349" s="95">
        <f>IF(OR(ISNUMBER(SEARCH("Pre Delivery",E349)),ISNUMBER(SEARCH("Pre-Delivery",E349)),ISNUMBER(SEARCH("Predelivery",E349)),ISNUMBER(SEARCH("PD -",E349)),ISNUMBER(SEARCH("PD Lubes",E349))),"Pre-Delivery","")</f>
        <v/>
      </c>
      <c r="E349" s="141" t="inlineStr">
        <is>
          <t>DF Tools for Methanol Project</t>
        </is>
      </c>
      <c r="F349" s="141" t="inlineStr">
        <is>
          <t>Thermal Stop</t>
        </is>
      </c>
      <c r="H349" s="141" t="inlineStr">
        <is>
          <t>Spares</t>
        </is>
      </c>
      <c r="L349" s="141" t="inlineStr">
        <is>
          <t>PCTC</t>
        </is>
      </c>
      <c r="M349" s="108" t="inlineStr">
        <is>
          <t xml:space="preserve">#N/A </t>
        </is>
      </c>
      <c r="N349" s="108" t="inlineStr">
        <is>
          <t xml:space="preserve">#N/A </t>
        </is>
      </c>
      <c r="O349" s="108" t="inlineStr">
        <is>
          <t xml:space="preserve">#N/A </t>
        </is>
      </c>
      <c r="P349" s="123" t="inlineStr">
        <is>
          <t xml:space="preserve">#N/A </t>
        </is>
      </c>
    </row>
    <row r="350">
      <c r="A350" s="95" t="inlineStr">
        <is>
          <t>Glovis Link</t>
        </is>
      </c>
      <c r="D350" s="95">
        <f>IF(OR(ISNUMBER(SEARCH("Pre Delivery",E350)),ISNUMBER(SEARCH("Pre-Delivery",E350)),ISNUMBER(SEARCH("Predelivery",E350)),ISNUMBER(SEARCH("PD -",E350)),ISNUMBER(SEARCH("PD Lubes",E350))),"Pre-Delivery","")</f>
        <v/>
      </c>
      <c r="E350" s="141" t="inlineStr">
        <is>
          <t>Publications</t>
        </is>
      </c>
      <c r="F350" s="141" t="inlineStr">
        <is>
          <t>Alcometer</t>
        </is>
      </c>
      <c r="H350" s="141" t="inlineStr">
        <is>
          <t>Spares</t>
        </is>
      </c>
      <c r="L350" s="141" t="inlineStr">
        <is>
          <t>PCTC</t>
        </is>
      </c>
      <c r="M350" s="108" t="inlineStr">
        <is>
          <t xml:space="preserve">#N/A </t>
        </is>
      </c>
      <c r="N350" s="108" t="inlineStr">
        <is>
          <t xml:space="preserve">#N/A </t>
        </is>
      </c>
      <c r="O350" s="108" t="inlineStr">
        <is>
          <t xml:space="preserve">#N/A </t>
        </is>
      </c>
      <c r="P350" s="123" t="inlineStr">
        <is>
          <t xml:space="preserve">#N/A </t>
        </is>
      </c>
    </row>
    <row r="351">
      <c r="A351" s="95" t="inlineStr">
        <is>
          <t>Glovis Link</t>
        </is>
      </c>
      <c r="D351" s="95">
        <f>IF(OR(ISNUMBER(SEARCH("Pre Delivery",E351)),ISNUMBER(SEARCH("Pre-Delivery",E351)),ISNUMBER(SEARCH("Predelivery",E351)),ISNUMBER(SEARCH("PD -",E351)),ISNUMBER(SEARCH("PD Lubes",E351))),"Pre-Delivery","")</f>
        <v/>
      </c>
      <c r="E351" s="141" t="inlineStr">
        <is>
          <t>Thermal Stop PO</t>
        </is>
      </c>
      <c r="F351" s="141" t="inlineStr">
        <is>
          <t>Laser Distance Measurer</t>
        </is>
      </c>
      <c r="H351" s="141" t="inlineStr">
        <is>
          <t>Spares</t>
        </is>
      </c>
      <c r="L351" s="141" t="inlineStr">
        <is>
          <t>PCTC</t>
        </is>
      </c>
      <c r="M351" s="108" t="inlineStr">
        <is>
          <t xml:space="preserve">#N/A </t>
        </is>
      </c>
      <c r="N351" s="108" t="inlineStr">
        <is>
          <t xml:space="preserve">#N/A </t>
        </is>
      </c>
      <c r="O351" s="108" t="inlineStr">
        <is>
          <t xml:space="preserve">#N/A </t>
        </is>
      </c>
      <c r="P351" s="123" t="inlineStr">
        <is>
          <t xml:space="preserve">#N/A </t>
        </is>
      </c>
    </row>
    <row r="352">
      <c r="A352" s="95" t="inlineStr">
        <is>
          <t>Glovis Link</t>
        </is>
      </c>
      <c r="D352" s="95">
        <f>IF(OR(ISNUMBER(SEARCH("Pre Delivery",E352)),ISNUMBER(SEARCH("Pre-Delivery",E352)),ISNUMBER(SEARCH("Predelivery",E352)),ISNUMBER(SEARCH("PD -",E352)),ISNUMBER(SEARCH("PD Lubes",E352))),"Pre-Delivery","")</f>
        <v/>
      </c>
      <c r="E352" s="141" t="inlineStr">
        <is>
          <t>Alcometer</t>
        </is>
      </c>
      <c r="F352" s="141" t="inlineStr">
        <is>
          <t>EV Lance</t>
        </is>
      </c>
      <c r="H352" s="141" t="inlineStr">
        <is>
          <t>Spares</t>
        </is>
      </c>
      <c r="L352" s="141" t="inlineStr">
        <is>
          <t>PCTC</t>
        </is>
      </c>
      <c r="M352" s="108" t="inlineStr">
        <is>
          <t xml:space="preserve">#N/A </t>
        </is>
      </c>
      <c r="N352" s="108" t="inlineStr">
        <is>
          <t xml:space="preserve">#N/A </t>
        </is>
      </c>
      <c r="O352" s="108" t="inlineStr">
        <is>
          <t xml:space="preserve">#N/A </t>
        </is>
      </c>
      <c r="P352" s="123" t="inlineStr">
        <is>
          <t xml:space="preserve">#N/A </t>
        </is>
      </c>
    </row>
    <row r="353">
      <c r="A353" s="95" t="inlineStr">
        <is>
          <t>Glovis Link</t>
        </is>
      </c>
      <c r="D353" s="95">
        <f>IF(OR(ISNUMBER(SEARCH("Pre Delivery",E353)),ISNUMBER(SEARCH("Pre-Delivery",E353)),ISNUMBER(SEARCH("Predelivery",E353)),ISNUMBER(SEARCH("PD -",E353)),ISNUMBER(SEARCH("PD Lubes",E353))),"Pre-Delivery","")</f>
        <v/>
      </c>
      <c r="E353" s="141" t="inlineStr">
        <is>
          <t>Bosch GLM-50 or Laser Distance Measuring Tool</t>
        </is>
      </c>
      <c r="F353" s="141" t="inlineStr">
        <is>
          <t>Receptacles</t>
        </is>
      </c>
      <c r="H353" s="141" t="inlineStr">
        <is>
          <t>Spares</t>
        </is>
      </c>
      <c r="L353" s="141" t="inlineStr">
        <is>
          <t>PCTC</t>
        </is>
      </c>
      <c r="M353" s="108" t="inlineStr">
        <is>
          <t xml:space="preserve">#N/A </t>
        </is>
      </c>
      <c r="N353" s="108" t="inlineStr">
        <is>
          <t xml:space="preserve">#N/A </t>
        </is>
      </c>
      <c r="O353" s="108" t="inlineStr">
        <is>
          <t xml:space="preserve">#N/A </t>
        </is>
      </c>
      <c r="P353" s="123" t="inlineStr">
        <is>
          <t xml:space="preserve">#N/A </t>
        </is>
      </c>
    </row>
    <row r="354">
      <c r="A354" s="95" t="inlineStr">
        <is>
          <t>Glovis Link</t>
        </is>
      </c>
      <c r="D354" s="95">
        <f>IF(OR(ISNUMBER(SEARCH("Pre Delivery",E354)),ISNUMBER(SEARCH("Pre-Delivery",E354)),ISNUMBER(SEARCH("Predelivery",E354)),ISNUMBER(SEARCH("PD -",E354)),ISNUMBER(SEARCH("PD Lubes",E354))),"Pre-Delivery","")</f>
        <v/>
      </c>
      <c r="E354" s="141" t="inlineStr">
        <is>
          <t>EV Lance</t>
        </is>
      </c>
      <c r="F354" s="141" t="inlineStr">
        <is>
          <t>Navigation - Captains Eye</t>
        </is>
      </c>
      <c r="H354" s="141" t="inlineStr">
        <is>
          <t>Spares</t>
        </is>
      </c>
      <c r="L354" s="141" t="inlineStr">
        <is>
          <t>PCTC</t>
        </is>
      </c>
      <c r="M354" s="108" t="inlineStr">
        <is>
          <t xml:space="preserve">#N/A </t>
        </is>
      </c>
      <c r="N354" s="108" t="inlineStr">
        <is>
          <t xml:space="preserve">#N/A </t>
        </is>
      </c>
      <c r="O354" s="108" t="inlineStr">
        <is>
          <t xml:space="preserve">#N/A </t>
        </is>
      </c>
      <c r="P354" s="123" t="inlineStr">
        <is>
          <t xml:space="preserve">#N/A </t>
        </is>
      </c>
    </row>
    <row r="355" ht="19.5" customFormat="1" customHeight="1" s="100" thickBot="1">
      <c r="A355" s="98" t="inlineStr">
        <is>
          <t>Glovis Link</t>
        </is>
      </c>
      <c r="B355" s="142" t="n"/>
      <c r="C355" s="142" t="n"/>
      <c r="D355" s="98">
        <f>IF(OR(ISNUMBER(SEARCH("Pre Delivery",E355)),ISNUMBER(SEARCH("Pre-Delivery",E355)),ISNUMBER(SEARCH("Predelivery",E355)),ISNUMBER(SEARCH("PD -",E355)),ISNUMBER(SEARCH("PD Lubes",E355))),"Pre-Delivery","")</f>
        <v/>
      </c>
      <c r="E355" s="142" t="inlineStr">
        <is>
          <t>Receptacles</t>
        </is>
      </c>
      <c r="F355" s="142" t="inlineStr">
        <is>
          <t>Communications - VSAT (KVH)</t>
        </is>
      </c>
      <c r="G355" s="142" t="n"/>
      <c r="H355" s="142" t="inlineStr">
        <is>
          <t>Spares</t>
        </is>
      </c>
      <c r="I355" s="98" t="n"/>
      <c r="J355" s="142" t="n"/>
      <c r="K355" s="142" t="n"/>
      <c r="L355" s="142" t="inlineStr">
        <is>
          <t>PCTC</t>
        </is>
      </c>
      <c r="M355" s="110" t="inlineStr">
        <is>
          <t xml:space="preserve">#N/A </t>
        </is>
      </c>
      <c r="N355" s="110" t="inlineStr">
        <is>
          <t xml:space="preserve">#N/A </t>
        </is>
      </c>
      <c r="O355" s="110" t="inlineStr">
        <is>
          <t xml:space="preserve">#N/A </t>
        </is>
      </c>
      <c r="P355" s="123" t="inlineStr">
        <is>
          <t xml:space="preserve">#N/A </t>
        </is>
      </c>
    </row>
    <row r="356">
      <c r="A356" s="95" t="inlineStr">
        <is>
          <t>Glovis Logos</t>
        </is>
      </c>
      <c r="C356" s="141" t="inlineStr">
        <is>
          <t>GLOG-60001/26-1</t>
        </is>
      </c>
      <c r="D356" s="95">
        <f>IF(OR(ISNUMBER(SEARCH("Pre Delivery",E356)),ISNUMBER(SEARCH("Pre-Delivery",E356)),ISNUMBER(SEARCH("Predelivery",E356)),ISNUMBER(SEARCH("PD -",E356)),ISNUMBER(SEARCH("PD Lubes",E356))),"Pre-Delivery","")</f>
        <v/>
      </c>
      <c r="E356" s="141" t="inlineStr">
        <is>
          <t>Shipyard Extra Owner supply - Captains Eye</t>
        </is>
      </c>
      <c r="F356" s="141" t="inlineStr">
        <is>
          <t>IT Equipment - AST</t>
        </is>
      </c>
      <c r="H356" s="141" t="inlineStr">
        <is>
          <t>Spares</t>
        </is>
      </c>
      <c r="I356" s="95" t="inlineStr">
        <is>
          <t>Pending Delivery</t>
        </is>
      </c>
      <c r="J356" s="105" t="n">
        <v>46037</v>
      </c>
      <c r="L356" s="141" t="inlineStr">
        <is>
          <t>PCTC</t>
        </is>
      </c>
      <c r="M356" s="108" t="inlineStr">
        <is>
          <t xml:space="preserve">#N/A </t>
        </is>
      </c>
      <c r="N356" s="108" t="inlineStr">
        <is>
          <t xml:space="preserve">#N/A </t>
        </is>
      </c>
      <c r="O356" s="108" t="inlineStr">
        <is>
          <t xml:space="preserve">#N/A </t>
        </is>
      </c>
      <c r="P356" s="123" t="inlineStr">
        <is>
          <t xml:space="preserve">#N/A </t>
        </is>
      </c>
    </row>
    <row r="357">
      <c r="A357" s="95" t="inlineStr">
        <is>
          <t>Glovis Logos</t>
        </is>
      </c>
      <c r="C357" s="141" t="inlineStr">
        <is>
          <t>GLOG-60002/26-1</t>
        </is>
      </c>
      <c r="D357" s="95">
        <f>IF(OR(ISNUMBER(SEARCH("Pre Delivery",E357)),ISNUMBER(SEARCH("Pre-Delivery",E357)),ISNUMBER(SEARCH("Predelivery",E357)),ISNUMBER(SEARCH("PD -",E357)),ISNUMBER(SEARCH("PD Lubes",E357))),"Pre-Delivery","")</f>
        <v/>
      </c>
      <c r="E357" s="141" t="inlineStr">
        <is>
          <t>FS-KVH-SWS-LOGOS</t>
        </is>
      </c>
      <c r="F357" s="141" t="inlineStr">
        <is>
          <t>IT Equipment - AST</t>
        </is>
      </c>
      <c r="H357" s="141" t="inlineStr">
        <is>
          <t>Others</t>
        </is>
      </c>
      <c r="I357" s="95" t="inlineStr">
        <is>
          <t>Pending Delivery</t>
        </is>
      </c>
      <c r="J357" s="105" t="n">
        <v>46048</v>
      </c>
      <c r="L357" s="141" t="inlineStr">
        <is>
          <t>PCTC</t>
        </is>
      </c>
      <c r="M357" s="108" t="inlineStr">
        <is>
          <t xml:space="preserve">#N/A </t>
        </is>
      </c>
      <c r="N357" s="108" t="inlineStr">
        <is>
          <t xml:space="preserve">#N/A </t>
        </is>
      </c>
      <c r="O357" s="108" t="inlineStr">
        <is>
          <t xml:space="preserve">#N/A </t>
        </is>
      </c>
      <c r="P357" s="123" t="inlineStr">
        <is>
          <t xml:space="preserve">#N/A </t>
        </is>
      </c>
    </row>
    <row r="358">
      <c r="A358" s="95" t="inlineStr">
        <is>
          <t>Glovis Logos</t>
        </is>
      </c>
      <c r="C358" s="141" t="inlineStr">
        <is>
          <t>GLOG-60003/26</t>
        </is>
      </c>
      <c r="D358" s="95">
        <f>IF(OR(ISNUMBER(SEARCH("Pre Delivery",E358)),ISNUMBER(SEARCH("Pre-Delivery",E358)),ISNUMBER(SEARCH("Predelivery",E358)),ISNUMBER(SEARCH("PD -",E358)),ISNUMBER(SEARCH("PD Lubes",E358))),"Pre-Delivery","")</f>
        <v/>
      </c>
      <c r="E358" s="141" t="inlineStr">
        <is>
          <t>FS-AST-SAMPLE</t>
        </is>
      </c>
      <c r="F358" s="141" t="inlineStr">
        <is>
          <t>IT Equipment - ITBP</t>
        </is>
      </c>
      <c r="H358" s="141" t="inlineStr">
        <is>
          <t>Others</t>
        </is>
      </c>
      <c r="I358" s="95" t="inlineStr">
        <is>
          <t>Pending Delivery</t>
        </is>
      </c>
      <c r="J358" s="105" t="n">
        <v>46048</v>
      </c>
      <c r="L358" s="141" t="inlineStr">
        <is>
          <t>PCTC</t>
        </is>
      </c>
      <c r="M358" s="108" t="inlineStr">
        <is>
          <t xml:space="preserve">#N/A </t>
        </is>
      </c>
      <c r="N358" s="108" t="inlineStr">
        <is>
          <t xml:space="preserve">#N/A </t>
        </is>
      </c>
      <c r="O358" s="108" t="inlineStr">
        <is>
          <t xml:space="preserve">#N/A </t>
        </is>
      </c>
      <c r="P358" s="123" t="inlineStr">
        <is>
          <t xml:space="preserve">#N/A </t>
        </is>
      </c>
    </row>
    <row r="359">
      <c r="A359" s="95" t="inlineStr">
        <is>
          <t>Glovis Logos</t>
        </is>
      </c>
      <c r="C359" s="141" t="inlineStr">
        <is>
          <t>GLOG-60005/26-1</t>
        </is>
      </c>
      <c r="D359" s="95">
        <f>IF(OR(ISNUMBER(SEARCH("Pre Delivery",E359)),ISNUMBER(SEARCH("Pre-Delivery",E359)),ISNUMBER(SEARCH("Predelivery",E359)),ISNUMBER(SEARCH("PD -",E359)),ISNUMBER(SEARCH("PD Lubes",E359))),"Pre-Delivery","")</f>
        <v/>
      </c>
      <c r="E359" s="141" t="inlineStr">
        <is>
          <t>FS-AST-LOGOS</t>
        </is>
      </c>
      <c r="F359" s="141" t="inlineStr">
        <is>
          <t>Safety Integration - SMiG</t>
        </is>
      </c>
      <c r="H359" s="141" t="inlineStr">
        <is>
          <t>Others</t>
        </is>
      </c>
      <c r="I359" s="95" t="inlineStr">
        <is>
          <t>Pending Delivery</t>
        </is>
      </c>
      <c r="J359" s="105" t="n">
        <v>46049</v>
      </c>
      <c r="K359" s="97" t="n">
        <v>46079</v>
      </c>
      <c r="L359" s="141" t="inlineStr">
        <is>
          <t>PCTC</t>
        </is>
      </c>
      <c r="M359" s="108" t="inlineStr">
        <is>
          <t xml:space="preserve">#N/A </t>
        </is>
      </c>
      <c r="N359" s="108" t="inlineStr">
        <is>
          <t xml:space="preserve">#N/A </t>
        </is>
      </c>
      <c r="O359" s="108" t="inlineStr">
        <is>
          <t xml:space="preserve">#N/A </t>
        </is>
      </c>
      <c r="P359" s="123" t="inlineStr">
        <is>
          <t xml:space="preserve">#N/A </t>
        </is>
      </c>
    </row>
    <row r="360">
      <c r="A360" s="95" t="inlineStr">
        <is>
          <t>Glovis Logos</t>
        </is>
      </c>
      <c r="C360" s="141" t="inlineStr">
        <is>
          <t>GLOG-60006/26-1</t>
        </is>
      </c>
      <c r="D360" s="95">
        <f>IF(OR(ISNUMBER(SEARCH("Pre Delivery",E360)),ISNUMBER(SEARCH("Pre-Delivery",E360)),ISNUMBER(SEARCH("Predelivery",E360)),ISNUMBER(SEARCH("PD -",E360)),ISNUMBER(SEARCH("PD Lubes",E360))),"Pre-Delivery","")</f>
        <v/>
      </c>
      <c r="E360" s="141" t="inlineStr">
        <is>
          <t>FS-ITBP  -LOGOS</t>
        </is>
      </c>
      <c r="F360" s="141" t="inlineStr">
        <is>
          <t>IT Equipment - Computers (Lenovo)</t>
        </is>
      </c>
      <c r="H360" s="141" t="inlineStr">
        <is>
          <t>Others</t>
        </is>
      </c>
      <c r="I360" s="95" t="inlineStr">
        <is>
          <t>Pending Delivery</t>
        </is>
      </c>
      <c r="J360" s="105" t="n">
        <v>46049</v>
      </c>
      <c r="L360" s="141" t="inlineStr">
        <is>
          <t>PCTC</t>
        </is>
      </c>
      <c r="M360" s="108" t="inlineStr">
        <is>
          <t xml:space="preserve">#N/A </t>
        </is>
      </c>
      <c r="N360" s="108" t="inlineStr">
        <is>
          <t xml:space="preserve">#N/A </t>
        </is>
      </c>
      <c r="O360" s="108" t="inlineStr">
        <is>
          <t xml:space="preserve">#N/A </t>
        </is>
      </c>
      <c r="P360" s="123" t="inlineStr">
        <is>
          <t xml:space="preserve">#N/A </t>
        </is>
      </c>
    </row>
    <row r="361" ht="37.5" customHeight="1">
      <c r="A361" s="95" t="inlineStr">
        <is>
          <t>Glovis Logos</t>
        </is>
      </c>
      <c r="C361" s="141" t="inlineStr">
        <is>
          <t>GLOG-60007/26-1</t>
        </is>
      </c>
      <c r="D361" s="95">
        <f>IF(OR(ISNUMBER(SEARCH("Pre Delivery",E361)),ISNUMBER(SEARCH("Pre-Delivery",E361)),ISNUMBER(SEARCH("Predelivery",E361)),ISNUMBER(SEARCH("PD -",E361)),ISNUMBER(SEARCH("PD Lubes",E361))),"Pre-Delivery","")</f>
        <v/>
      </c>
      <c r="E361" s="141" t="inlineStr">
        <is>
          <t>Shipyard Extra (owner supply) 10800 CEU LNG PCTC _x0013_ Consilium SMiG Integration</t>
        </is>
      </c>
      <c r="F361" s="141" t="inlineStr">
        <is>
          <t>GVT Electronics</t>
        </is>
      </c>
      <c r="H361" s="141" t="inlineStr">
        <is>
          <t>Spares</t>
        </is>
      </c>
      <c r="I361" s="95" t="inlineStr">
        <is>
          <t>Pending Delivery</t>
        </is>
      </c>
      <c r="J361" s="105" t="n">
        <v>46065</v>
      </c>
      <c r="L361" s="141" t="inlineStr">
        <is>
          <t>PCTC</t>
        </is>
      </c>
      <c r="M361" s="108" t="inlineStr">
        <is>
          <t xml:space="preserve">#N/A </t>
        </is>
      </c>
      <c r="N361" s="108" t="inlineStr">
        <is>
          <t xml:space="preserve">#N/A </t>
        </is>
      </c>
      <c r="O361" s="108" t="inlineStr">
        <is>
          <t xml:space="preserve">#N/A </t>
        </is>
      </c>
      <c r="P361" s="123" t="inlineStr">
        <is>
          <t xml:space="preserve">#N/A </t>
        </is>
      </c>
    </row>
    <row r="362">
      <c r="A362" s="95" t="inlineStr">
        <is>
          <t>Glovis Logos</t>
        </is>
      </c>
      <c r="C362" s="141" t="inlineStr">
        <is>
          <t>GLOG-60008/26-1</t>
        </is>
      </c>
      <c r="D362" s="95">
        <f>IF(OR(ISNUMBER(SEARCH("Pre Delivery",E362)),ISNUMBER(SEARCH("Pre-Delivery",E362)),ISNUMBER(SEARCH("Predelivery",E362)),ISNUMBER(SEARCH("PD -",E362)),ISNUMBER(SEARCH("PD Lubes",E362))),"Pre-Delivery","")</f>
        <v/>
      </c>
      <c r="E362" s="141" t="inlineStr">
        <is>
          <t>FS-LENOVO-Logos</t>
        </is>
      </c>
      <c r="F362" s="141" t="inlineStr">
        <is>
          <t>Navigation - HiNAS SVM</t>
        </is>
      </c>
      <c r="H362" s="141" t="inlineStr">
        <is>
          <t>Others</t>
        </is>
      </c>
      <c r="I362" s="95" t="inlineStr">
        <is>
          <t>Pending Delivery</t>
        </is>
      </c>
      <c r="J362" s="105" t="n">
        <v>46064</v>
      </c>
      <c r="K362" s="97" t="n">
        <v>46079</v>
      </c>
      <c r="L362" s="141" t="inlineStr">
        <is>
          <t>PCTC</t>
        </is>
      </c>
      <c r="M362" s="108" t="inlineStr">
        <is>
          <t xml:space="preserve">#N/A </t>
        </is>
      </c>
      <c r="N362" s="108" t="inlineStr">
        <is>
          <t xml:space="preserve">#N/A </t>
        </is>
      </c>
      <c r="O362" s="108" t="inlineStr">
        <is>
          <t xml:space="preserve">#N/A </t>
        </is>
      </c>
      <c r="P362" s="123" t="inlineStr">
        <is>
          <t xml:space="preserve">#N/A </t>
        </is>
      </c>
    </row>
    <row r="363">
      <c r="A363" s="95" t="inlineStr">
        <is>
          <t>Glovis Logos</t>
        </is>
      </c>
      <c r="C363" s="141" t="inlineStr">
        <is>
          <t>GLOG-60009/26-1</t>
        </is>
      </c>
      <c r="D363" s="95">
        <f>IF(OR(ISNUMBER(SEARCH("Pre Delivery",E363)),ISNUMBER(SEARCH("Pre-Delivery",E363)),ISNUMBER(SEARCH("Predelivery",E363)),ISNUMBER(SEARCH("PD -",E363)),ISNUMBER(SEARCH("PD Lubes",E363))),"Pre-Delivery","")</f>
        <v/>
      </c>
      <c r="E363" s="141" t="inlineStr">
        <is>
          <t>Reliability Spares - 10,8K CEU SWS - GVT- Eltronic</t>
        </is>
      </c>
      <c r="F363" s="141" t="inlineStr">
        <is>
          <t>Communications - VLINK Cable</t>
        </is>
      </c>
      <c r="H363" s="141" t="inlineStr">
        <is>
          <t>Spares</t>
        </is>
      </c>
      <c r="I363" s="95" t="inlineStr">
        <is>
          <t>Pending Delivery</t>
        </is>
      </c>
      <c r="J363" s="105" t="n">
        <v>46084</v>
      </c>
      <c r="L363" s="141" t="inlineStr">
        <is>
          <t>PCTC</t>
        </is>
      </c>
      <c r="M363" s="108" t="inlineStr">
        <is>
          <t xml:space="preserve">#N/A </t>
        </is>
      </c>
      <c r="N363" s="108" t="inlineStr">
        <is>
          <t xml:space="preserve">#N/A </t>
        </is>
      </c>
      <c r="O363" s="108" t="inlineStr">
        <is>
          <t xml:space="preserve">#N/A </t>
        </is>
      </c>
      <c r="P363" s="123" t="inlineStr">
        <is>
          <t xml:space="preserve">#N/A </t>
        </is>
      </c>
    </row>
    <row r="364">
      <c r="A364" s="95" t="inlineStr">
        <is>
          <t>Glovis Logos</t>
        </is>
      </c>
      <c r="C364" s="141" t="inlineStr">
        <is>
          <t>GLOG-60010/26-1</t>
        </is>
      </c>
      <c r="D364" s="95">
        <f>IF(OR(ISNUMBER(SEARCH("Pre Delivery",E364)),ISNUMBER(SEARCH("Pre-Delivery",E364)),ISNUMBER(SEARCH("Predelivery",E364)),ISNUMBER(SEARCH("PD -",E364)),ISNUMBER(SEARCH("PD Lubes",E364))),"Pre-Delivery","")</f>
        <v/>
      </c>
      <c r="E364" s="141" t="inlineStr">
        <is>
          <t>Shipyard Extra Buyers Supply - Hinas SVM SEASPAN 10.8K PCTC</t>
        </is>
      </c>
      <c r="F364" s="141" t="inlineStr">
        <is>
          <t>IT Equipment - ITBP Cables</t>
        </is>
      </c>
      <c r="H364" s="141" t="inlineStr">
        <is>
          <t>Spares</t>
        </is>
      </c>
      <c r="I364" s="95" t="inlineStr">
        <is>
          <t>Pending Delivery</t>
        </is>
      </c>
      <c r="J364" s="105" t="n">
        <v>46070</v>
      </c>
      <c r="L364" s="141" t="inlineStr">
        <is>
          <t>PCTC</t>
        </is>
      </c>
      <c r="M364" s="108" t="inlineStr">
        <is>
          <t xml:space="preserve">#N/A </t>
        </is>
      </c>
      <c r="N364" s="108" t="inlineStr">
        <is>
          <t xml:space="preserve">#N/A </t>
        </is>
      </c>
      <c r="O364" s="108" t="inlineStr">
        <is>
          <t xml:space="preserve">#N/A </t>
        </is>
      </c>
      <c r="P364" s="123" t="inlineStr">
        <is>
          <t xml:space="preserve">#N/A </t>
        </is>
      </c>
    </row>
    <row r="365">
      <c r="A365" s="95" t="inlineStr">
        <is>
          <t>Glovis Logos</t>
        </is>
      </c>
      <c r="C365" s="141" t="inlineStr">
        <is>
          <t>GLOG-60011/26-1</t>
        </is>
      </c>
      <c r="D365" s="95">
        <f>IF(OR(ISNUMBER(SEARCH("Pre Delivery",E365)),ISNUMBER(SEARCH("Pre-Delivery",E365)),ISNUMBER(SEARCH("Predelivery",E365)),ISNUMBER(SEARCH("PD -",E365)),ISNUMBER(SEARCH("PD Lubes",E365))),"Pre-Delivery","")</f>
        <v/>
      </c>
      <c r="E365" s="141" t="inlineStr">
        <is>
          <t>FS-VLINK CABLE</t>
        </is>
      </c>
      <c r="F365" s="141" t="inlineStr">
        <is>
          <t>IT Equipment - ITBP Additional Items</t>
        </is>
      </c>
      <c r="H365" s="141" t="inlineStr">
        <is>
          <t>Others</t>
        </is>
      </c>
      <c r="I365" s="95" t="inlineStr">
        <is>
          <t>Pending Delivery</t>
        </is>
      </c>
      <c r="J365" s="105" t="n">
        <v>46064</v>
      </c>
      <c r="K365" s="97" t="n">
        <v>46079</v>
      </c>
      <c r="L365" s="141" t="inlineStr">
        <is>
          <t>PCTC</t>
        </is>
      </c>
      <c r="M365" s="108" t="inlineStr">
        <is>
          <t xml:space="preserve">#N/A </t>
        </is>
      </c>
      <c r="N365" s="108" t="inlineStr">
        <is>
          <t xml:space="preserve">#N/A </t>
        </is>
      </c>
      <c r="O365" s="108" t="inlineStr">
        <is>
          <t xml:space="preserve">#N/A </t>
        </is>
      </c>
      <c r="P365" s="123" t="inlineStr">
        <is>
          <t xml:space="preserve">#N/A </t>
        </is>
      </c>
    </row>
    <row r="366">
      <c r="A366" s="95" t="inlineStr">
        <is>
          <t>Glovis Logos</t>
        </is>
      </c>
      <c r="C366" s="141" t="inlineStr">
        <is>
          <t>GLOG-60012/26-1</t>
        </is>
      </c>
      <c r="D366" s="95">
        <f>IF(OR(ISNUMBER(SEARCH("Pre Delivery",E366)),ISNUMBER(SEARCH("Pre-Delivery",E366)),ISNUMBER(SEARCH("Predelivery",E366)),ISNUMBER(SEARCH("PD -",E366)),ISNUMBER(SEARCH("PD Lubes",E366))),"Pre-Delivery","")</f>
        <v/>
      </c>
      <c r="E366" s="141" t="inlineStr">
        <is>
          <t>FS-ITBP CABLES</t>
        </is>
      </c>
      <c r="F366" s="141" t="inlineStr">
        <is>
          <t>IT Equipment - ITBP Lab Kit</t>
        </is>
      </c>
      <c r="H366" s="141" t="inlineStr">
        <is>
          <t>Others</t>
        </is>
      </c>
      <c r="I366" s="95" t="inlineStr">
        <is>
          <t>Pending Delivery</t>
        </is>
      </c>
      <c r="J366" s="105" t="n">
        <v>46071</v>
      </c>
      <c r="L366" s="141" t="inlineStr">
        <is>
          <t>PCTC</t>
        </is>
      </c>
      <c r="M366" s="108" t="inlineStr">
        <is>
          <t xml:space="preserve">#N/A </t>
        </is>
      </c>
      <c r="N366" s="108" t="inlineStr">
        <is>
          <t xml:space="preserve">#N/A </t>
        </is>
      </c>
      <c r="O366" s="108" t="inlineStr">
        <is>
          <t xml:space="preserve">#N/A </t>
        </is>
      </c>
      <c r="P366" s="123" t="inlineStr">
        <is>
          <t xml:space="preserve">#N/A </t>
        </is>
      </c>
    </row>
    <row r="367">
      <c r="A367" s="95" t="inlineStr">
        <is>
          <t>Glovis Logos</t>
        </is>
      </c>
      <c r="C367" s="141" t="inlineStr">
        <is>
          <t>GLOG-60013/26-1</t>
        </is>
      </c>
      <c r="D367" s="95">
        <f>IF(OR(ISNUMBER(SEARCH("Pre Delivery",E367)),ISNUMBER(SEARCH("Pre-Delivery",E367)),ISNUMBER(SEARCH("Predelivery",E367)),ISNUMBER(SEARCH("PD -",E367)),ISNUMBER(SEARCH("PD Lubes",E367))),"Pre-Delivery","")</f>
        <v/>
      </c>
      <c r="E367" s="141" t="inlineStr">
        <is>
          <t>FS-ITBP Additional Item</t>
        </is>
      </c>
      <c r="F367" s="141" t="inlineStr">
        <is>
          <t>IT Equipment - ITBP Additional Items</t>
        </is>
      </c>
      <c r="H367" s="141" t="inlineStr">
        <is>
          <t>Others</t>
        </is>
      </c>
      <c r="I367" s="95" t="inlineStr">
        <is>
          <t>Pending Delivery</t>
        </is>
      </c>
      <c r="J367" s="105" t="n">
        <v>46072</v>
      </c>
      <c r="L367" s="141" t="inlineStr">
        <is>
          <t>PCTC</t>
        </is>
      </c>
      <c r="M367" s="108" t="inlineStr">
        <is>
          <t xml:space="preserve">#N/A </t>
        </is>
      </c>
      <c r="N367" s="108" t="inlineStr">
        <is>
          <t xml:space="preserve">#N/A </t>
        </is>
      </c>
      <c r="O367" s="108" t="inlineStr">
        <is>
          <t xml:space="preserve">#N/A </t>
        </is>
      </c>
      <c r="P367" s="123" t="inlineStr">
        <is>
          <t xml:space="preserve">#N/A </t>
        </is>
      </c>
    </row>
    <row r="368">
      <c r="A368" s="95" t="inlineStr">
        <is>
          <t>Glovis Logos</t>
        </is>
      </c>
      <c r="C368" s="141" t="inlineStr">
        <is>
          <t>GLOG-60014/26-1</t>
        </is>
      </c>
      <c r="D368" s="95">
        <f>IF(OR(ISNUMBER(SEARCH("Pre Delivery",E368)),ISNUMBER(SEARCH("Pre-Delivery",E368)),ISNUMBER(SEARCH("Predelivery",E368)),ISNUMBER(SEARCH("PD -",E368)),ISNUMBER(SEARCH("PD Lubes",E368))),"Pre-Delivery","")</f>
        <v/>
      </c>
      <c r="E368" s="141" t="inlineStr">
        <is>
          <t>FS-ITBP MISC LAB KIT</t>
        </is>
      </c>
      <c r="F368" s="141" t="inlineStr">
        <is>
          <t>Lubricants</t>
        </is>
      </c>
      <c r="H368" s="141" t="inlineStr">
        <is>
          <t>Others</t>
        </is>
      </c>
      <c r="I368" s="95" t="inlineStr">
        <is>
          <t>Pending Delivery</t>
        </is>
      </c>
      <c r="J368" s="105" t="n">
        <v>46077</v>
      </c>
      <c r="L368" s="141" t="inlineStr">
        <is>
          <t>PCTC</t>
        </is>
      </c>
      <c r="M368" s="108" t="inlineStr">
        <is>
          <t xml:space="preserve">#N/A </t>
        </is>
      </c>
      <c r="N368" s="108" t="inlineStr">
        <is>
          <t xml:space="preserve">#N/A </t>
        </is>
      </c>
      <c r="O368" s="108" t="inlineStr">
        <is>
          <t xml:space="preserve">#N/A </t>
        </is>
      </c>
      <c r="P368" s="123" t="inlineStr">
        <is>
          <t xml:space="preserve">#N/A </t>
        </is>
      </c>
    </row>
    <row r="369">
      <c r="A369" s="95" t="inlineStr">
        <is>
          <t>Glovis Logos</t>
        </is>
      </c>
      <c r="C369" s="141" t="inlineStr">
        <is>
          <t>GLOG-60016/26</t>
        </is>
      </c>
      <c r="D369" s="95">
        <f>IF(OR(ISNUMBER(SEARCH("Pre Delivery",E369)),ISNUMBER(SEARCH("Pre-Delivery",E369)),ISNUMBER(SEARCH("Predelivery",E369)),ISNUMBER(SEARCH("PD -",E369)),ISNUMBER(SEARCH("PD Lubes",E369))),"Pre-Delivery","")</f>
        <v/>
      </c>
      <c r="E369" s="141" t="inlineStr">
        <is>
          <t>Reliability Spares - PCTC-Seaspan - Boilers QUOT26012103</t>
        </is>
      </c>
      <c r="F369" s="141" t="inlineStr">
        <is>
          <t>Gas Detection System</t>
        </is>
      </c>
      <c r="H369" s="141" t="inlineStr">
        <is>
          <t>Spares</t>
        </is>
      </c>
      <c r="I369" s="95" t="inlineStr">
        <is>
          <t>Pending Approval</t>
        </is>
      </c>
      <c r="J369" s="105" t="n">
        <v>46078</v>
      </c>
      <c r="L369" s="141" t="inlineStr">
        <is>
          <t>PCTC</t>
        </is>
      </c>
      <c r="M369" s="108" t="inlineStr">
        <is>
          <t xml:space="preserve">#N/A </t>
        </is>
      </c>
      <c r="N369" s="108" t="inlineStr">
        <is>
          <t xml:space="preserve">#N/A </t>
        </is>
      </c>
      <c r="O369" s="108" t="inlineStr">
        <is>
          <t xml:space="preserve">#N/A </t>
        </is>
      </c>
      <c r="P369" s="123" t="inlineStr">
        <is>
          <t xml:space="preserve">#N/A </t>
        </is>
      </c>
    </row>
    <row r="370">
      <c r="A370" s="95" t="inlineStr">
        <is>
          <t>Glovis Logos</t>
        </is>
      </c>
      <c r="C370" s="141" t="inlineStr">
        <is>
          <t>GLOG-60017/26-1</t>
        </is>
      </c>
      <c r="D370" s="95">
        <f>IF(OR(ISNUMBER(SEARCH("Pre Delivery",E370)),ISNUMBER(SEARCH("Pre-Delivery",E370)),ISNUMBER(SEARCH("Predelivery",E370)),ISNUMBER(SEARCH("PD -",E370)),ISNUMBER(SEARCH("PD Lubes",E370))),"Pre-Delivery","")</f>
        <v/>
      </c>
      <c r="E370" s="141" t="inlineStr">
        <is>
          <t>PD - RSC Envirologic</t>
        </is>
      </c>
      <c r="F370" s="141" t="inlineStr">
        <is>
          <t>Fire Detection System</t>
        </is>
      </c>
      <c r="H370" s="141" t="inlineStr">
        <is>
          <t>Spares</t>
        </is>
      </c>
      <c r="I370" s="95" t="inlineStr">
        <is>
          <t>Pending Delivery</t>
        </is>
      </c>
      <c r="L370" s="141" t="inlineStr">
        <is>
          <t>PCTC</t>
        </is>
      </c>
      <c r="M370" s="108" t="inlineStr">
        <is>
          <t xml:space="preserve">#N/A </t>
        </is>
      </c>
      <c r="N370" s="108" t="inlineStr">
        <is>
          <t xml:space="preserve">#N/A </t>
        </is>
      </c>
      <c r="O370" s="108" t="inlineStr">
        <is>
          <t xml:space="preserve">#N/A </t>
        </is>
      </c>
      <c r="P370" s="123" t="inlineStr">
        <is>
          <t xml:space="preserve">#N/A </t>
        </is>
      </c>
    </row>
    <row r="371">
      <c r="A371" s="95" t="inlineStr">
        <is>
          <t>Glovis Logos</t>
        </is>
      </c>
      <c r="C371" s="141" t="inlineStr">
        <is>
          <t>GLOG-60018/26-1</t>
        </is>
      </c>
      <c r="D371" s="95">
        <f>IF(OR(ISNUMBER(SEARCH("Pre Delivery",E371)),ISNUMBER(SEARCH("Pre-Delivery",E371)),ISNUMBER(SEARCH("Predelivery",E371)),ISNUMBER(SEARCH("PD -",E371)),ISNUMBER(SEARCH("PD Lubes",E371))),"Pre-Delivery","")</f>
        <v/>
      </c>
      <c r="E371" s="141" t="inlineStr">
        <is>
          <t>Reliabiltiy Spares - Gas Detection System</t>
        </is>
      </c>
      <c r="F371" s="141" t="inlineStr">
        <is>
          <t>Oil Skimmers - Abanaki</t>
        </is>
      </c>
      <c r="H371" s="141" t="inlineStr">
        <is>
          <t>Spares</t>
        </is>
      </c>
      <c r="I371" s="95" t="inlineStr">
        <is>
          <t>Pending Delivery</t>
        </is>
      </c>
      <c r="J371" s="105" t="n">
        <v>46087</v>
      </c>
      <c r="L371" s="141" t="inlineStr">
        <is>
          <t>PCTC</t>
        </is>
      </c>
      <c r="M371" s="108" t="inlineStr">
        <is>
          <t xml:space="preserve">#N/A </t>
        </is>
      </c>
      <c r="N371" s="108" t="inlineStr">
        <is>
          <t xml:space="preserve">#N/A </t>
        </is>
      </c>
      <c r="O371" s="108" t="inlineStr">
        <is>
          <t xml:space="preserve">#N/A </t>
        </is>
      </c>
      <c r="P371" s="123" t="inlineStr">
        <is>
          <t xml:space="preserve">#N/A </t>
        </is>
      </c>
    </row>
    <row r="372">
      <c r="A372" s="95" t="inlineStr">
        <is>
          <t>Glovis Logos</t>
        </is>
      </c>
      <c r="C372" s="141" t="inlineStr">
        <is>
          <t>GLOG-60019/26-1</t>
        </is>
      </c>
      <c r="D372" s="95">
        <f>IF(OR(ISNUMBER(SEARCH("Pre Delivery",E372)),ISNUMBER(SEARCH("Pre-Delivery",E372)),ISNUMBER(SEARCH("Predelivery",E372)),ISNUMBER(SEARCH("PD -",E372)),ISNUMBER(SEARCH("PD Lubes",E372))),"Pre-Delivery","")</f>
        <v/>
      </c>
      <c r="E372" s="141" t="inlineStr">
        <is>
          <t>Reliability Spares - Fire detection system</t>
        </is>
      </c>
      <c r="F372" s="141" t="inlineStr">
        <is>
          <t>Oil Skimmers - Abanaki</t>
        </is>
      </c>
      <c r="H372" s="141" t="inlineStr">
        <is>
          <t>Spares</t>
        </is>
      </c>
      <c r="I372" s="95" t="inlineStr">
        <is>
          <t>Pending Delivery</t>
        </is>
      </c>
      <c r="J372" s="105" t="n">
        <v>46087</v>
      </c>
      <c r="L372" s="141" t="inlineStr">
        <is>
          <t>PCTC</t>
        </is>
      </c>
      <c r="M372" s="108" t="inlineStr">
        <is>
          <t xml:space="preserve">#N/A </t>
        </is>
      </c>
      <c r="N372" s="108" t="inlineStr">
        <is>
          <t xml:space="preserve">#N/A </t>
        </is>
      </c>
      <c r="O372" s="108" t="inlineStr">
        <is>
          <t xml:space="preserve">#N/A </t>
        </is>
      </c>
      <c r="P372" s="123" t="inlineStr">
        <is>
          <t xml:space="preserve">#N/A </t>
        </is>
      </c>
    </row>
    <row r="373">
      <c r="A373" s="95" t="inlineStr">
        <is>
          <t>Glovis Logos</t>
        </is>
      </c>
      <c r="C373" s="141" t="inlineStr">
        <is>
          <t>GLOG-60020/26-1</t>
        </is>
      </c>
      <c r="D373" s="95">
        <f>IF(OR(ISNUMBER(SEARCH("Pre Delivery",E373)),ISNUMBER(SEARCH("Pre-Delivery",E373)),ISNUMBER(SEARCH("Predelivery",E373)),ISNUMBER(SEARCH("PD -",E373)),ISNUMBER(SEARCH("PD Lubes",E373))),"Pre-Delivery","")</f>
        <v/>
      </c>
      <c r="E373" s="141" t="inlineStr">
        <is>
          <t>SHIPYARD EXTRA OWNER SUPPLY- Abanaki Skimmers</t>
        </is>
      </c>
      <c r="F373" s="141" t="inlineStr">
        <is>
          <t>Garbage Compactor</t>
        </is>
      </c>
      <c r="H373" s="141" t="inlineStr">
        <is>
          <t>Spares</t>
        </is>
      </c>
      <c r="I373" s="95" t="inlineStr">
        <is>
          <t>Pending Delivery</t>
        </is>
      </c>
      <c r="J373" s="97" t="n">
        <v>46091</v>
      </c>
      <c r="L373" s="141" t="inlineStr">
        <is>
          <t>PCTC</t>
        </is>
      </c>
      <c r="M373" s="108" t="inlineStr">
        <is>
          <t xml:space="preserve">#N/A </t>
        </is>
      </c>
      <c r="N373" s="108" t="inlineStr">
        <is>
          <t xml:space="preserve">#N/A </t>
        </is>
      </c>
      <c r="O373" s="108" t="inlineStr">
        <is>
          <t xml:space="preserve">#N/A </t>
        </is>
      </c>
      <c r="P373" s="123" t="inlineStr">
        <is>
          <t xml:space="preserve">#N/A </t>
        </is>
      </c>
    </row>
    <row r="374">
      <c r="A374" s="95" t="inlineStr">
        <is>
          <t>Glovis Logos</t>
        </is>
      </c>
      <c r="C374" s="141" t="inlineStr">
        <is>
          <t>GLOG-60020/26-1</t>
        </is>
      </c>
      <c r="D374" s="95">
        <f>IF(OR(ISNUMBER(SEARCH("Pre Delivery",E374)),ISNUMBER(SEARCH("Pre-Delivery",E374)),ISNUMBER(SEARCH("Predelivery",E374)),ISNUMBER(SEARCH("PD -",E374)),ISNUMBER(SEARCH("PD Lubes",E374))),"Pre-Delivery","")</f>
        <v/>
      </c>
      <c r="E374" s="141" t="inlineStr">
        <is>
          <t>SHIPYARD EXTRA OWNER SUPPLY- Abanaki Skimmers</t>
        </is>
      </c>
      <c r="F374" s="141" t="inlineStr">
        <is>
          <t>Cryogenic PPE</t>
        </is>
      </c>
      <c r="H374" s="141" t="inlineStr">
        <is>
          <t>Spares</t>
        </is>
      </c>
      <c r="I374" s="95" t="inlineStr">
        <is>
          <t>Pending Supplier Confirmation</t>
        </is>
      </c>
      <c r="J374" s="97" t="n">
        <v>46091</v>
      </c>
      <c r="L374" s="141" t="inlineStr">
        <is>
          <t>PCTC</t>
        </is>
      </c>
      <c r="M374" s="108" t="inlineStr">
        <is>
          <t xml:space="preserve">#N/A </t>
        </is>
      </c>
      <c r="N374" s="108" t="inlineStr">
        <is>
          <t xml:space="preserve">#N/A </t>
        </is>
      </c>
      <c r="O374" s="108" t="inlineStr">
        <is>
          <t xml:space="preserve">#N/A </t>
        </is>
      </c>
      <c r="P374" s="123" t="inlineStr">
        <is>
          <t xml:space="preserve">#N/A </t>
        </is>
      </c>
    </row>
    <row r="375">
      <c r="A375" s="95" t="inlineStr">
        <is>
          <t>Glovis Logos</t>
        </is>
      </c>
      <c r="C375" s="141" t="inlineStr">
        <is>
          <t>GLOG-60021/26-1</t>
        </is>
      </c>
      <c r="D375" s="95">
        <f>IF(OR(ISNUMBER(SEARCH("Pre Delivery",E375)),ISNUMBER(SEARCH("Pre-Delivery",E375)),ISNUMBER(SEARCH("Predelivery",E375)),ISNUMBER(SEARCH("PD -",E375)),ISNUMBER(SEARCH("PD Lubes",E375))),"Pre-Delivery","")</f>
        <v/>
      </c>
      <c r="E375" s="141" t="inlineStr">
        <is>
          <t>Pre Delivery - Garbage Compactor</t>
        </is>
      </c>
      <c r="F375" s="141" t="inlineStr">
        <is>
          <t>Sample Cooler</t>
        </is>
      </c>
      <c r="H375" s="141" t="inlineStr">
        <is>
          <t>Spares</t>
        </is>
      </c>
      <c r="I375" s="95" t="inlineStr">
        <is>
          <t>Pending Delivery</t>
        </is>
      </c>
      <c r="J375" s="97" t="n">
        <v>46094</v>
      </c>
      <c r="L375" s="141" t="inlineStr">
        <is>
          <t>PCTC</t>
        </is>
      </c>
      <c r="M375" s="108" t="inlineStr">
        <is>
          <t xml:space="preserve">#N/A </t>
        </is>
      </c>
      <c r="N375" s="108" t="inlineStr">
        <is>
          <t xml:space="preserve">#N/A </t>
        </is>
      </c>
      <c r="O375" s="108" t="inlineStr">
        <is>
          <t xml:space="preserve">#N/A </t>
        </is>
      </c>
      <c r="P375" s="123" t="inlineStr">
        <is>
          <t xml:space="preserve">#N/A </t>
        </is>
      </c>
    </row>
    <row r="376">
      <c r="A376" s="95" t="inlineStr">
        <is>
          <t>Glovis Logos</t>
        </is>
      </c>
      <c r="C376" s="141" t="inlineStr">
        <is>
          <t>GLOG-60022/26-1</t>
        </is>
      </c>
      <c r="D376" s="95">
        <f>IF(OR(ISNUMBER(SEARCH("Pre Delivery",E376)),ISNUMBER(SEARCH("Pre-Delivery",E376)),ISNUMBER(SEARCH("Predelivery",E376)),ISNUMBER(SEARCH("PD -",E376)),ISNUMBER(SEARCH("PD Lubes",E376))),"Pre-Delivery","")</f>
        <v/>
      </c>
      <c r="E376" s="141" t="inlineStr">
        <is>
          <t>Pre Delivery - Cryogenic PPE</t>
        </is>
      </c>
      <c r="F376" s="141" t="inlineStr">
        <is>
          <t>BOG Compressor Spares</t>
        </is>
      </c>
      <c r="H376" s="141" t="inlineStr">
        <is>
          <t>Stores</t>
        </is>
      </c>
      <c r="I376" s="95" t="inlineStr">
        <is>
          <t>Pending Supplier Confirmation</t>
        </is>
      </c>
      <c r="J376" s="97" t="n">
        <v>46101</v>
      </c>
      <c r="L376" s="141" t="inlineStr">
        <is>
          <t>PCTC</t>
        </is>
      </c>
      <c r="M376" s="108" t="inlineStr">
        <is>
          <t xml:space="preserve">#N/A </t>
        </is>
      </c>
      <c r="N376" s="108" t="inlineStr">
        <is>
          <t xml:space="preserve">#N/A </t>
        </is>
      </c>
      <c r="O376" s="108" t="inlineStr">
        <is>
          <t xml:space="preserve">#N/A </t>
        </is>
      </c>
      <c r="P376" s="123" t="inlineStr">
        <is>
          <t xml:space="preserve">#N/A </t>
        </is>
      </c>
    </row>
    <row r="377">
      <c r="A377" s="95" t="inlineStr">
        <is>
          <t>Glovis Logos</t>
        </is>
      </c>
      <c r="C377" s="141" t="inlineStr">
        <is>
          <t>GLOG-60024/26-1</t>
        </is>
      </c>
      <c r="D377" s="95">
        <f>IF(OR(ISNUMBER(SEARCH("Pre Delivery",E377)),ISNUMBER(SEARCH("Pre-Delivery",E377)),ISNUMBER(SEARCH("Predelivery",E377)),ISNUMBER(SEARCH("PD -",E377)),ISNUMBER(SEARCH("PD Lubes",E377))),"Pre-Delivery","")</f>
        <v/>
      </c>
      <c r="E377" s="141" t="inlineStr">
        <is>
          <t>Pre Delivery - Sample Cooler</t>
        </is>
      </c>
      <c r="F377" s="141" t="inlineStr">
        <is>
          <t>Thermal Camera (FLIR)</t>
        </is>
      </c>
      <c r="H377" s="141" t="inlineStr">
        <is>
          <t>Spares</t>
        </is>
      </c>
      <c r="I377" s="95" t="inlineStr">
        <is>
          <t>Pending Approval</t>
        </is>
      </c>
      <c r="J377" s="97" t="n">
        <v>46101</v>
      </c>
      <c r="L377" s="141" t="inlineStr">
        <is>
          <t>PCTC</t>
        </is>
      </c>
      <c r="M377" s="108" t="inlineStr">
        <is>
          <t xml:space="preserve">#N/A </t>
        </is>
      </c>
      <c r="N377" s="108" t="inlineStr">
        <is>
          <t xml:space="preserve">#N/A </t>
        </is>
      </c>
      <c r="O377" s="108" t="inlineStr">
        <is>
          <t xml:space="preserve">#N/A </t>
        </is>
      </c>
      <c r="P377" s="123" t="inlineStr">
        <is>
          <t xml:space="preserve">#N/A </t>
        </is>
      </c>
    </row>
    <row r="378">
      <c r="A378" s="95" t="inlineStr">
        <is>
          <t>Glovis Logos</t>
        </is>
      </c>
      <c r="C378" s="141" t="inlineStr">
        <is>
          <t>GLOG-60025/26-1</t>
        </is>
      </c>
      <c r="D378" s="95">
        <f>IF(OR(ISNUMBER(SEARCH("Pre Delivery",E378)),ISNUMBER(SEARCH("Pre-Delivery",E378)),ISNUMBER(SEARCH("Predelivery",E378)),ISNUMBER(SEARCH("PD -",E378)),ISNUMBER(SEARCH("PD Lubes",E378))),"Pre-Delivery","")</f>
        <v/>
      </c>
      <c r="E378" s="141" t="inlineStr">
        <is>
          <t>Reliability - Donghwa Spares for BOG Compressor</t>
        </is>
      </c>
      <c r="F378" s="141" t="inlineStr">
        <is>
          <t>LNG Operation Manual</t>
        </is>
      </c>
      <c r="H378" s="141" t="inlineStr">
        <is>
          <t>Spares</t>
        </is>
      </c>
      <c r="I378" s="95" t="inlineStr">
        <is>
          <t>Pending Supplier Confirmation</t>
        </is>
      </c>
      <c r="J378" s="97" t="n">
        <v>46111</v>
      </c>
      <c r="L378" s="141" t="inlineStr">
        <is>
          <t>PCTC</t>
        </is>
      </c>
      <c r="M378" s="108" t="inlineStr">
        <is>
          <t xml:space="preserve">#N/A </t>
        </is>
      </c>
      <c r="N378" s="108" t="inlineStr">
        <is>
          <t xml:space="preserve">#N/A </t>
        </is>
      </c>
      <c r="O378" s="108" t="inlineStr">
        <is>
          <t xml:space="preserve">#N/A </t>
        </is>
      </c>
      <c r="P378" s="123" t="inlineStr">
        <is>
          <t xml:space="preserve">#N/A </t>
        </is>
      </c>
    </row>
    <row r="379">
      <c r="A379" s="95" t="inlineStr">
        <is>
          <t>Glovis Logos</t>
        </is>
      </c>
      <c r="C379" s="141" t="inlineStr">
        <is>
          <t>GLOG-60026/26-1</t>
        </is>
      </c>
      <c r="D379" s="95">
        <f>IF(OR(ISNUMBER(SEARCH("Pre Delivery",E379)),ISNUMBER(SEARCH("Pre-Delivery",E379)),ISNUMBER(SEARCH("Predelivery",E379)),ISNUMBER(SEARCH("PD -",E379)),ISNUMBER(SEARCH("PD Lubes",E379))),"Pre-Delivery","")</f>
        <v/>
      </c>
      <c r="E379" s="141" t="inlineStr">
        <is>
          <t>FLIR ESPro and E6 Pro</t>
        </is>
      </c>
      <c r="F379" s="141" t="inlineStr">
        <is>
          <t>Citadel VHF/GPS/UHF System</t>
        </is>
      </c>
      <c r="H379" s="141" t="inlineStr">
        <is>
          <t>Stores</t>
        </is>
      </c>
      <c r="I379" s="95" t="inlineStr">
        <is>
          <t>Pending Delivery</t>
        </is>
      </c>
      <c r="L379" s="141" t="inlineStr">
        <is>
          <t>PCTC</t>
        </is>
      </c>
      <c r="M379" s="108" t="inlineStr">
        <is>
          <t xml:space="preserve">#N/A </t>
        </is>
      </c>
      <c r="N379" s="108" t="inlineStr">
        <is>
          <t xml:space="preserve">#N/A </t>
        </is>
      </c>
      <c r="O379" s="108" t="inlineStr">
        <is>
          <t xml:space="preserve">#N/A </t>
        </is>
      </c>
      <c r="P379" s="123" t="inlineStr">
        <is>
          <t xml:space="preserve">#N/A </t>
        </is>
      </c>
    </row>
    <row r="380">
      <c r="A380" s="95" t="inlineStr">
        <is>
          <t>Glovis Logos</t>
        </is>
      </c>
      <c r="C380" s="141" t="inlineStr">
        <is>
          <t>GLOG-60027/26-1</t>
        </is>
      </c>
      <c r="D380" s="95">
        <f>IF(OR(ISNUMBER(SEARCH("Pre Delivery",E380)),ISNUMBER(SEARCH("Pre-Delivery",E380)),ISNUMBER(SEARCH("Predelivery",E380)),ISNUMBER(SEARCH("PD -",E380)),ISNUMBER(SEARCH("PD Lubes",E380))),"Pre-Delivery","")</f>
        <v/>
      </c>
      <c r="E380" s="141" t="inlineStr">
        <is>
          <t>Service: LNG OPERATION MANUAL Development</t>
        </is>
      </c>
      <c r="F380" s="141" t="inlineStr">
        <is>
          <t>RO-RO Equipment - Loose Fittings</t>
        </is>
      </c>
      <c r="H380" s="141" t="inlineStr">
        <is>
          <t>Stores</t>
        </is>
      </c>
      <c r="L380" s="141" t="inlineStr">
        <is>
          <t>PCTC</t>
        </is>
      </c>
      <c r="M380" s="108" t="inlineStr">
        <is>
          <t xml:space="preserve">#N/A </t>
        </is>
      </c>
      <c r="N380" s="108" t="inlineStr">
        <is>
          <t xml:space="preserve">#N/A </t>
        </is>
      </c>
      <c r="O380" s="108" t="inlineStr">
        <is>
          <t xml:space="preserve">#N/A </t>
        </is>
      </c>
      <c r="P380" s="123" t="inlineStr">
        <is>
          <t xml:space="preserve">#N/A </t>
        </is>
      </c>
    </row>
    <row r="381">
      <c r="A381" s="95" t="inlineStr">
        <is>
          <t>Glovis Logos</t>
        </is>
      </c>
      <c r="D381" s="95">
        <f>IF(OR(ISNUMBER(SEARCH("Pre Delivery",E381)),ISNUMBER(SEARCH("Pre-Delivery",E381)),ISNUMBER(SEARCH("Predelivery",E381)),ISNUMBER(SEARCH("PD -",E381)),ISNUMBER(SEARCH("PD Lubes",E381))),"Pre-Delivery","")</f>
        <v/>
      </c>
      <c r="E381" s="141" t="inlineStr">
        <is>
          <t>Citadel VHF/GPS and UHF ANTENNA system</t>
        </is>
      </c>
      <c r="F381" s="141" t="inlineStr">
        <is>
          <t>Citadel VHF/GPS/UHF System</t>
        </is>
      </c>
      <c r="H381" s="141" t="inlineStr">
        <is>
          <t>Stores</t>
        </is>
      </c>
      <c r="L381" s="141" t="inlineStr">
        <is>
          <t>PCTC</t>
        </is>
      </c>
      <c r="M381" s="108" t="inlineStr">
        <is>
          <t xml:space="preserve">#N/A </t>
        </is>
      </c>
      <c r="N381" s="108" t="inlineStr">
        <is>
          <t xml:space="preserve">#N/A </t>
        </is>
      </c>
      <c r="O381" s="108" t="inlineStr">
        <is>
          <t xml:space="preserve">#N/A </t>
        </is>
      </c>
      <c r="P381" s="123" t="inlineStr">
        <is>
          <t xml:space="preserve">#N/A </t>
        </is>
      </c>
    </row>
    <row r="382">
      <c r="A382" s="95" t="inlineStr">
        <is>
          <t>Glovis Logos</t>
        </is>
      </c>
      <c r="D382" s="95">
        <f>IF(OR(ISNUMBER(SEARCH("Pre Delivery",E382)),ISNUMBER(SEARCH("Pre-Delivery",E382)),ISNUMBER(SEARCH("Predelivery",E382)),ISNUMBER(SEARCH("PD -",E382)),ISNUMBER(SEARCH("PD Lubes",E382))),"Pre-Delivery","")</f>
        <v/>
      </c>
      <c r="E382" s="141" t="inlineStr">
        <is>
          <t>PCTC Loose Fittings Procurement</t>
        </is>
      </c>
      <c r="F382" s="141" t="inlineStr">
        <is>
          <t>IMPA Stores - Stationery</t>
        </is>
      </c>
      <c r="H382" s="141" t="inlineStr">
        <is>
          <t>Stores</t>
        </is>
      </c>
      <c r="L382" s="141" t="inlineStr">
        <is>
          <t>PCTC</t>
        </is>
      </c>
      <c r="M382" s="108" t="inlineStr">
        <is>
          <t xml:space="preserve">#N/A </t>
        </is>
      </c>
      <c r="N382" s="108" t="inlineStr">
        <is>
          <t xml:space="preserve">#N/A </t>
        </is>
      </c>
      <c r="O382" s="108" t="inlineStr">
        <is>
          <t xml:space="preserve">#N/A </t>
        </is>
      </c>
      <c r="P382" s="123" t="inlineStr">
        <is>
          <t xml:space="preserve">#N/A </t>
        </is>
      </c>
    </row>
    <row r="383" ht="37.5" customHeight="1">
      <c r="A383" s="95" t="inlineStr">
        <is>
          <t>Glovis Logos</t>
        </is>
      </c>
      <c r="D383" s="95">
        <f>IF(OR(ISNUMBER(SEARCH("Pre Delivery",E383)),ISNUMBER(SEARCH("Pre-Delivery",E383)),ISNUMBER(SEARCH("Predelivery",E383)),ISNUMBER(SEARCH("PD -",E383)),ISNUMBER(SEARCH("PD Lubes",E383))),"Pre-Delivery","")</f>
        <v/>
      </c>
      <c r="E383" s="141" t="inlineStr">
        <is>
          <t>Buyer Supply - 10,800 PCTC Citadel VHF/GPS and UHF ANTENNA system</t>
        </is>
      </c>
      <c r="F383" s="141" t="inlineStr">
        <is>
          <t>IMPA Stores - SOPEP</t>
        </is>
      </c>
      <c r="H383" s="141" t="inlineStr">
        <is>
          <t>Stores</t>
        </is>
      </c>
      <c r="L383" s="141" t="inlineStr">
        <is>
          <t>PCTC</t>
        </is>
      </c>
      <c r="M383" s="108" t="inlineStr">
        <is>
          <t xml:space="preserve">#N/A </t>
        </is>
      </c>
      <c r="N383" s="108" t="inlineStr">
        <is>
          <t xml:space="preserve">#N/A </t>
        </is>
      </c>
      <c r="O383" s="108" t="inlineStr">
        <is>
          <t xml:space="preserve">#N/A </t>
        </is>
      </c>
      <c r="P383" s="123" t="inlineStr">
        <is>
          <t xml:space="preserve">#N/A </t>
        </is>
      </c>
    </row>
    <row r="384">
      <c r="A384" s="95" t="inlineStr">
        <is>
          <t>Glovis Logos</t>
        </is>
      </c>
      <c r="D384" s="95">
        <f>IF(OR(ISNUMBER(SEARCH("Pre Delivery",E384)),ISNUMBER(SEARCH("Pre-Delivery",E384)),ISNUMBER(SEARCH("Predelivery",E384)),ISNUMBER(SEARCH("PD -",E384)),ISNUMBER(SEARCH("PD Lubes",E384))),"Pre-Delivery","")</f>
        <v/>
      </c>
      <c r="E384" s="141" t="inlineStr">
        <is>
          <t>Impa Stores Stationery</t>
        </is>
      </c>
      <c r="F384" s="141" t="inlineStr">
        <is>
          <t>IMPA Stores - Deck</t>
        </is>
      </c>
      <c r="H384" s="141" t="inlineStr">
        <is>
          <t>Stores</t>
        </is>
      </c>
      <c r="L384" s="141" t="inlineStr">
        <is>
          <t>PCTC</t>
        </is>
      </c>
      <c r="M384" s="108" t="inlineStr">
        <is>
          <t xml:space="preserve">#N/A </t>
        </is>
      </c>
      <c r="N384" s="108" t="inlineStr">
        <is>
          <t xml:space="preserve">#N/A </t>
        </is>
      </c>
      <c r="O384" s="108" t="inlineStr">
        <is>
          <t xml:space="preserve">#N/A </t>
        </is>
      </c>
      <c r="P384" s="123" t="inlineStr">
        <is>
          <t xml:space="preserve">#N/A </t>
        </is>
      </c>
    </row>
    <row r="385">
      <c r="A385" s="95" t="inlineStr">
        <is>
          <t>Glovis Logos</t>
        </is>
      </c>
      <c r="D385" s="95">
        <f>IF(OR(ISNUMBER(SEARCH("Pre Delivery",E385)),ISNUMBER(SEARCH("Pre-Delivery",E385)),ISNUMBER(SEARCH("Predelivery",E385)),ISNUMBER(SEARCH("PD -",E385)),ISNUMBER(SEARCH("PD Lubes",E385))),"Pre-Delivery","")</f>
        <v/>
      </c>
      <c r="E385" s="141" t="inlineStr">
        <is>
          <t>Impa Stores - SOPEP</t>
        </is>
      </c>
      <c r="F385" s="141" t="inlineStr">
        <is>
          <t>IMPA Stores - Bridge</t>
        </is>
      </c>
      <c r="H385" s="141" t="inlineStr">
        <is>
          <t>Stores</t>
        </is>
      </c>
      <c r="L385" s="141" t="inlineStr">
        <is>
          <t>PCTC</t>
        </is>
      </c>
      <c r="M385" s="108" t="inlineStr">
        <is>
          <t xml:space="preserve">#N/A </t>
        </is>
      </c>
      <c r="N385" s="108" t="inlineStr">
        <is>
          <t xml:space="preserve">#N/A </t>
        </is>
      </c>
      <c r="O385" s="108" t="inlineStr">
        <is>
          <t xml:space="preserve">#N/A </t>
        </is>
      </c>
      <c r="P385" s="123" t="inlineStr">
        <is>
          <t xml:space="preserve">#N/A </t>
        </is>
      </c>
    </row>
    <row r="386">
      <c r="A386" s="95" t="inlineStr">
        <is>
          <t>Glovis Logos</t>
        </is>
      </c>
      <c r="D386" s="95">
        <f>IF(OR(ISNUMBER(SEARCH("Pre Delivery",E386)),ISNUMBER(SEARCH("Pre-Delivery",E386)),ISNUMBER(SEARCH("Predelivery",E386)),ISNUMBER(SEARCH("PD -",E386)),ISNUMBER(SEARCH("PD Lubes",E386))),"Pre-Delivery","")</f>
        <v/>
      </c>
      <c r="E386" s="141" t="inlineStr">
        <is>
          <t>Impa Stores - Deck</t>
        </is>
      </c>
      <c r="F386" s="141" t="inlineStr">
        <is>
          <t>IMPA Stores - Gym</t>
        </is>
      </c>
      <c r="H386" s="141" t="inlineStr">
        <is>
          <t>Stores</t>
        </is>
      </c>
      <c r="L386" s="141" t="inlineStr">
        <is>
          <t>PCTC</t>
        </is>
      </c>
      <c r="M386" s="108" t="inlineStr">
        <is>
          <t xml:space="preserve">#N/A </t>
        </is>
      </c>
      <c r="N386" s="108" t="inlineStr">
        <is>
          <t xml:space="preserve">#N/A </t>
        </is>
      </c>
      <c r="O386" s="108" t="inlineStr">
        <is>
          <t xml:space="preserve">#N/A </t>
        </is>
      </c>
      <c r="P386" s="123" t="inlineStr">
        <is>
          <t xml:space="preserve">#N/A </t>
        </is>
      </c>
    </row>
    <row r="387">
      <c r="A387" s="95" t="inlineStr">
        <is>
          <t>Glovis Logos</t>
        </is>
      </c>
      <c r="D387" s="95">
        <f>IF(OR(ISNUMBER(SEARCH("Pre Delivery",E387)),ISNUMBER(SEARCH("Pre-Delivery",E387)),ISNUMBER(SEARCH("Predelivery",E387)),ISNUMBER(SEARCH("PD -",E387)),ISNUMBER(SEARCH("PD Lubes",E387))),"Pre-Delivery","")</f>
        <v/>
      </c>
      <c r="E387" s="141" t="inlineStr">
        <is>
          <t>Impa Stores - Bridge</t>
        </is>
      </c>
      <c r="F387" s="141" t="inlineStr">
        <is>
          <t>IMPA Stores - Crew</t>
        </is>
      </c>
      <c r="H387" s="141" t="inlineStr">
        <is>
          <t>Stores</t>
        </is>
      </c>
      <c r="L387" s="141" t="inlineStr">
        <is>
          <t>PCTC</t>
        </is>
      </c>
      <c r="M387" s="108" t="inlineStr">
        <is>
          <t xml:space="preserve">#N/A </t>
        </is>
      </c>
      <c r="N387" s="108" t="inlineStr">
        <is>
          <t xml:space="preserve">#N/A </t>
        </is>
      </c>
      <c r="O387" s="108" t="inlineStr">
        <is>
          <t xml:space="preserve">#N/A </t>
        </is>
      </c>
      <c r="P387" s="123" t="inlineStr">
        <is>
          <t xml:space="preserve">#N/A </t>
        </is>
      </c>
    </row>
    <row r="388">
      <c r="A388" s="95" t="inlineStr">
        <is>
          <t>Glovis Logos</t>
        </is>
      </c>
      <c r="D388" s="95">
        <f>IF(OR(ISNUMBER(SEARCH("Pre Delivery",E388)),ISNUMBER(SEARCH("Pre-Delivery",E388)),ISNUMBER(SEARCH("Predelivery",E388)),ISNUMBER(SEARCH("PD -",E388)),ISNUMBER(SEARCH("PD Lubes",E388))),"Pre-Delivery","")</f>
        <v/>
      </c>
      <c r="E388" s="141" t="inlineStr">
        <is>
          <t>Impa Stores - Gym</t>
        </is>
      </c>
      <c r="F388" s="141" t="inlineStr">
        <is>
          <t>IMPA Stores - Firefighting Equipment</t>
        </is>
      </c>
      <c r="H388" s="141" t="inlineStr">
        <is>
          <t>Stores</t>
        </is>
      </c>
      <c r="L388" s="141" t="inlineStr">
        <is>
          <t>PCTC</t>
        </is>
      </c>
      <c r="M388" s="108" t="inlineStr">
        <is>
          <t xml:space="preserve">#N/A </t>
        </is>
      </c>
      <c r="N388" s="108" t="inlineStr">
        <is>
          <t xml:space="preserve">#N/A </t>
        </is>
      </c>
      <c r="O388" s="108" t="inlineStr">
        <is>
          <t xml:space="preserve">#N/A </t>
        </is>
      </c>
      <c r="P388" s="123" t="inlineStr">
        <is>
          <t xml:space="preserve">#N/A </t>
        </is>
      </c>
    </row>
    <row r="389">
      <c r="A389" s="95" t="inlineStr">
        <is>
          <t>Glovis Logos</t>
        </is>
      </c>
      <c r="D389" s="95">
        <f>IF(OR(ISNUMBER(SEARCH("Pre Delivery",E389)),ISNUMBER(SEARCH("Pre-Delivery",E389)),ISNUMBER(SEARCH("Predelivery",E389)),ISNUMBER(SEARCH("PD -",E389)),ISNUMBER(SEARCH("PD Lubes",E389))),"Pre-Delivery","")</f>
        <v/>
      </c>
      <c r="E389" s="141" t="inlineStr">
        <is>
          <t>Impa Stores - Crew</t>
        </is>
      </c>
      <c r="F389" s="141" t="inlineStr">
        <is>
          <t>IMPA Stores - Company Stationery</t>
        </is>
      </c>
      <c r="H389" s="141" t="inlineStr">
        <is>
          <t>Stores</t>
        </is>
      </c>
      <c r="L389" s="141" t="inlineStr">
        <is>
          <t>PCTC</t>
        </is>
      </c>
      <c r="M389" s="108" t="inlineStr">
        <is>
          <t xml:space="preserve">#N/A </t>
        </is>
      </c>
      <c r="N389" s="108" t="inlineStr">
        <is>
          <t xml:space="preserve">#N/A </t>
        </is>
      </c>
      <c r="O389" s="108" t="inlineStr">
        <is>
          <t xml:space="preserve">#N/A </t>
        </is>
      </c>
      <c r="P389" s="123" t="inlineStr">
        <is>
          <t xml:space="preserve">#N/A </t>
        </is>
      </c>
    </row>
    <row r="390">
      <c r="A390" s="95" t="inlineStr">
        <is>
          <t>Glovis Logos</t>
        </is>
      </c>
      <c r="D390" s="95">
        <f>IF(OR(ISNUMBER(SEARCH("Pre Delivery",E390)),ISNUMBER(SEARCH("Pre-Delivery",E390)),ISNUMBER(SEARCH("Predelivery",E390)),ISNUMBER(SEARCH("PD -",E390)),ISNUMBER(SEARCH("PD Lubes",E390))),"Pre-Delivery","")</f>
        <v/>
      </c>
      <c r="E390" s="141" t="inlineStr">
        <is>
          <t>Impa Stores - FFE</t>
        </is>
      </c>
      <c r="F390" s="141" t="inlineStr">
        <is>
          <t>IMPA Stores - BA Compressor</t>
        </is>
      </c>
      <c r="H390" s="141" t="inlineStr">
        <is>
          <t>Stores</t>
        </is>
      </c>
      <c r="L390" s="141" t="inlineStr">
        <is>
          <t>PCTC</t>
        </is>
      </c>
      <c r="M390" s="108" t="inlineStr">
        <is>
          <t xml:space="preserve">#N/A </t>
        </is>
      </c>
      <c r="N390" s="108" t="inlineStr">
        <is>
          <t xml:space="preserve">#N/A </t>
        </is>
      </c>
      <c r="O390" s="108" t="inlineStr">
        <is>
          <t xml:space="preserve">#N/A </t>
        </is>
      </c>
      <c r="P390" s="123" t="inlineStr">
        <is>
          <t xml:space="preserve">#N/A </t>
        </is>
      </c>
    </row>
    <row r="391">
      <c r="A391" s="95" t="inlineStr">
        <is>
          <t>Glovis Logos</t>
        </is>
      </c>
      <c r="D391" s="95">
        <f>IF(OR(ISNUMBER(SEARCH("Pre Delivery",E391)),ISNUMBER(SEARCH("Pre-Delivery",E391)),ISNUMBER(SEARCH("Predelivery",E391)),ISNUMBER(SEARCH("PD -",E391)),ISNUMBER(SEARCH("PD Lubes",E391))),"Pre-Delivery","")</f>
        <v/>
      </c>
      <c r="E391" s="141" t="inlineStr">
        <is>
          <t>Impa Stores - Company Stationery</t>
        </is>
      </c>
      <c r="F391" s="141" t="inlineStr">
        <is>
          <t>IMPA Stores - Accommodation</t>
        </is>
      </c>
      <c r="H391" s="141" t="inlineStr">
        <is>
          <t>Stores</t>
        </is>
      </c>
      <c r="L391" s="141" t="inlineStr">
        <is>
          <t>PCTC</t>
        </is>
      </c>
      <c r="M391" s="108" t="inlineStr">
        <is>
          <t xml:space="preserve">#N/A </t>
        </is>
      </c>
      <c r="N391" s="108" t="inlineStr">
        <is>
          <t xml:space="preserve">#N/A </t>
        </is>
      </c>
      <c r="O391" s="108" t="inlineStr">
        <is>
          <t xml:space="preserve">#N/A </t>
        </is>
      </c>
      <c r="P391" s="123" t="inlineStr">
        <is>
          <t xml:space="preserve">#N/A </t>
        </is>
      </c>
    </row>
    <row r="392">
      <c r="A392" s="95" t="inlineStr">
        <is>
          <t>Glovis Logos</t>
        </is>
      </c>
      <c r="D392" s="95">
        <f>IF(OR(ISNUMBER(SEARCH("Pre Delivery",E392)),ISNUMBER(SEARCH("Pre-Delivery",E392)),ISNUMBER(SEARCH("Predelivery",E392)),ISNUMBER(SEARCH("PD -",E392)),ISNUMBER(SEARCH("PD Lubes",E392))),"Pre-Delivery","")</f>
        <v/>
      </c>
      <c r="E392" s="141" t="inlineStr">
        <is>
          <t>Impa Stores - BA Compressor</t>
        </is>
      </c>
      <c r="F392" s="141" t="inlineStr">
        <is>
          <t>IMPA Stores - Galley</t>
        </is>
      </c>
      <c r="H392" s="141" t="inlineStr">
        <is>
          <t>Stores</t>
        </is>
      </c>
      <c r="L392" s="141" t="inlineStr">
        <is>
          <t>PCTC</t>
        </is>
      </c>
      <c r="M392" s="108" t="inlineStr">
        <is>
          <t xml:space="preserve">#N/A </t>
        </is>
      </c>
      <c r="N392" s="108" t="inlineStr">
        <is>
          <t xml:space="preserve">#N/A </t>
        </is>
      </c>
      <c r="O392" s="108" t="inlineStr">
        <is>
          <t xml:space="preserve">#N/A </t>
        </is>
      </c>
      <c r="P392" s="123" t="inlineStr">
        <is>
          <t xml:space="preserve">#N/A </t>
        </is>
      </c>
    </row>
    <row r="393">
      <c r="A393" s="95" t="inlineStr">
        <is>
          <t>Glovis Logos</t>
        </is>
      </c>
      <c r="D393" s="95">
        <f>IF(OR(ISNUMBER(SEARCH("Pre Delivery",E393)),ISNUMBER(SEARCH("Pre-Delivery",E393)),ISNUMBER(SEARCH("Predelivery",E393)),ISNUMBER(SEARCH("PD -",E393)),ISNUMBER(SEARCH("PD Lubes",E393))),"Pre-Delivery","")</f>
        <v/>
      </c>
      <c r="E393" s="141" t="inlineStr">
        <is>
          <t>Impa Stores - ACC</t>
        </is>
      </c>
      <c r="F393" s="141" t="inlineStr">
        <is>
          <t>IMPA Stores - Engine</t>
        </is>
      </c>
      <c r="H393" s="141" t="inlineStr">
        <is>
          <t>Stores</t>
        </is>
      </c>
      <c r="L393" s="141" t="inlineStr">
        <is>
          <t>PCTC</t>
        </is>
      </c>
      <c r="M393" s="108" t="inlineStr">
        <is>
          <t xml:space="preserve">#N/A </t>
        </is>
      </c>
      <c r="N393" s="108" t="inlineStr">
        <is>
          <t xml:space="preserve">#N/A </t>
        </is>
      </c>
      <c r="O393" s="108" t="inlineStr">
        <is>
          <t xml:space="preserve">#N/A </t>
        </is>
      </c>
      <c r="P393" s="123" t="inlineStr">
        <is>
          <t xml:space="preserve">#N/A </t>
        </is>
      </c>
    </row>
    <row r="394">
      <c r="A394" s="95" t="inlineStr">
        <is>
          <t>Glovis Logos</t>
        </is>
      </c>
      <c r="D394" s="95">
        <f>IF(OR(ISNUMBER(SEARCH("Pre Delivery",E394)),ISNUMBER(SEARCH("Pre-Delivery",E394)),ISNUMBER(SEARCH("Predelivery",E394)),ISNUMBER(SEARCH("PD -",E394)),ISNUMBER(SEARCH("PD Lubes",E394))),"Pre-Delivery","")</f>
        <v/>
      </c>
      <c r="E394" s="141" t="inlineStr">
        <is>
          <t>Impa Stores - Galley</t>
        </is>
      </c>
      <c r="F394" s="141" t="inlineStr">
        <is>
          <t>IMPA Stores - Engine</t>
        </is>
      </c>
      <c r="H394" s="141" t="inlineStr">
        <is>
          <t>Stores</t>
        </is>
      </c>
      <c r="L394" s="141" t="inlineStr">
        <is>
          <t>PCTC</t>
        </is>
      </c>
      <c r="M394" s="108" t="inlineStr">
        <is>
          <t xml:space="preserve">#N/A </t>
        </is>
      </c>
      <c r="N394" s="108" t="inlineStr">
        <is>
          <t xml:space="preserve">#N/A </t>
        </is>
      </c>
      <c r="O394" s="108" t="inlineStr">
        <is>
          <t xml:space="preserve">#N/A </t>
        </is>
      </c>
      <c r="P394" s="123" t="inlineStr">
        <is>
          <t xml:space="preserve">#N/A </t>
        </is>
      </c>
    </row>
    <row r="395">
      <c r="A395" s="95" t="inlineStr">
        <is>
          <t>Glovis Logos</t>
        </is>
      </c>
      <c r="D395" s="95">
        <f>IF(OR(ISNUMBER(SEARCH("Pre Delivery",E395)),ISNUMBER(SEARCH("Pre-Delivery",E395)),ISNUMBER(SEARCH("Predelivery",E395)),ISNUMBER(SEARCH("PD -",E395)),ISNUMBER(SEARCH("PD Lubes",E395))),"Pre-Delivery","")</f>
        <v/>
      </c>
      <c r="E395" s="141" t="inlineStr">
        <is>
          <t>Impa Stores - Engine</t>
        </is>
      </c>
      <c r="F395" s="141" t="inlineStr">
        <is>
          <t>IMPA Stores - Engine</t>
        </is>
      </c>
      <c r="H395" s="141" t="inlineStr">
        <is>
          <t>Stores</t>
        </is>
      </c>
      <c r="L395" s="141" t="inlineStr">
        <is>
          <t>PCTC</t>
        </is>
      </c>
      <c r="M395" s="108" t="inlineStr">
        <is>
          <t xml:space="preserve">#N/A </t>
        </is>
      </c>
      <c r="N395" s="108" t="inlineStr">
        <is>
          <t xml:space="preserve">#N/A </t>
        </is>
      </c>
      <c r="O395" s="108" t="inlineStr">
        <is>
          <t xml:space="preserve">#N/A </t>
        </is>
      </c>
      <c r="P395" s="123" t="inlineStr">
        <is>
          <t xml:space="preserve">#N/A </t>
        </is>
      </c>
    </row>
    <row r="396">
      <c r="A396" s="95" t="inlineStr">
        <is>
          <t>Glovis Logos</t>
        </is>
      </c>
      <c r="D396" s="95">
        <f>IF(OR(ISNUMBER(SEARCH("Pre Delivery",E396)),ISNUMBER(SEARCH("Pre-Delivery",E396)),ISNUMBER(SEARCH("Predelivery",E396)),ISNUMBER(SEARCH("PD -",E396)),ISNUMBER(SEARCH("PD Lubes",E396))),"Pre-Delivery","")</f>
        <v/>
      </c>
      <c r="E396" s="141" t="inlineStr">
        <is>
          <t>Impa Stores - Engine</t>
        </is>
      </c>
      <c r="F396" s="141" t="inlineStr">
        <is>
          <t>IMPA Stores - Engine</t>
        </is>
      </c>
      <c r="H396" s="141" t="inlineStr">
        <is>
          <t>Stores</t>
        </is>
      </c>
      <c r="L396" s="141" t="inlineStr">
        <is>
          <t>PCTC</t>
        </is>
      </c>
      <c r="M396" s="108" t="inlineStr">
        <is>
          <t xml:space="preserve">#N/A </t>
        </is>
      </c>
      <c r="N396" s="108" t="inlineStr">
        <is>
          <t xml:space="preserve">#N/A </t>
        </is>
      </c>
      <c r="O396" s="108" t="inlineStr">
        <is>
          <t xml:space="preserve">#N/A </t>
        </is>
      </c>
      <c r="P396" s="123" t="inlineStr">
        <is>
          <t xml:space="preserve">#N/A </t>
        </is>
      </c>
    </row>
    <row r="397">
      <c r="A397" s="95" t="inlineStr">
        <is>
          <t>Glovis Logos</t>
        </is>
      </c>
      <c r="D397" s="95">
        <f>IF(OR(ISNUMBER(SEARCH("Pre Delivery",E397)),ISNUMBER(SEARCH("Pre-Delivery",E397)),ISNUMBER(SEARCH("Predelivery",E397)),ISNUMBER(SEARCH("PD -",E397)),ISNUMBER(SEARCH("PD Lubes",E397))),"Pre-Delivery","")</f>
        <v/>
      </c>
      <c r="E397" s="141" t="inlineStr">
        <is>
          <t>Impa Stores - Engine</t>
        </is>
      </c>
      <c r="F397" s="141" t="inlineStr">
        <is>
          <t>IMPA Stores - Electrical</t>
        </is>
      </c>
      <c r="H397" s="141" t="inlineStr">
        <is>
          <t>Stores</t>
        </is>
      </c>
      <c r="L397" s="141" t="inlineStr">
        <is>
          <t>PCTC</t>
        </is>
      </c>
      <c r="M397" s="108" t="inlineStr">
        <is>
          <t xml:space="preserve">#N/A </t>
        </is>
      </c>
      <c r="N397" s="108" t="inlineStr">
        <is>
          <t xml:space="preserve">#N/A </t>
        </is>
      </c>
      <c r="O397" s="108" t="inlineStr">
        <is>
          <t xml:space="preserve">#N/A </t>
        </is>
      </c>
      <c r="P397" s="123" t="inlineStr">
        <is>
          <t xml:space="preserve">#N/A </t>
        </is>
      </c>
    </row>
    <row r="398">
      <c r="A398" s="95" t="inlineStr">
        <is>
          <t>Glovis Logos</t>
        </is>
      </c>
      <c r="D398" s="95">
        <f>IF(OR(ISNUMBER(SEARCH("Pre Delivery",E398)),ISNUMBER(SEARCH("Pre-Delivery",E398)),ISNUMBER(SEARCH("Predelivery",E398)),ISNUMBER(SEARCH("PD -",E398)),ISNUMBER(SEARCH("PD Lubes",E398))),"Pre-Delivery","")</f>
        <v/>
      </c>
      <c r="E398" s="141" t="inlineStr">
        <is>
          <t>Impa Stores - Engine</t>
        </is>
      </c>
      <c r="F398" s="141" t="inlineStr">
        <is>
          <t>IMPA Stores - General</t>
        </is>
      </c>
      <c r="H398" s="141" t="inlineStr">
        <is>
          <t>Stores</t>
        </is>
      </c>
      <c r="L398" s="141" t="inlineStr">
        <is>
          <t>PCTC</t>
        </is>
      </c>
      <c r="M398" s="108" t="inlineStr">
        <is>
          <t xml:space="preserve">#N/A </t>
        </is>
      </c>
      <c r="N398" s="108" t="inlineStr">
        <is>
          <t xml:space="preserve">#N/A </t>
        </is>
      </c>
      <c r="O398" s="108" t="inlineStr">
        <is>
          <t xml:space="preserve">#N/A </t>
        </is>
      </c>
      <c r="P398" s="123" t="inlineStr">
        <is>
          <t xml:space="preserve">#N/A </t>
        </is>
      </c>
    </row>
    <row r="399">
      <c r="A399" s="95" t="inlineStr">
        <is>
          <t>Glovis Logos</t>
        </is>
      </c>
      <c r="D399" s="95">
        <f>IF(OR(ISNUMBER(SEARCH("Pre Delivery",E399)),ISNUMBER(SEARCH("Pre-Delivery",E399)),ISNUMBER(SEARCH("Predelivery",E399)),ISNUMBER(SEARCH("PD -",E399)),ISNUMBER(SEARCH("PD Lubes",E399))),"Pre-Delivery","")</f>
        <v/>
      </c>
      <c r="E399" s="141" t="inlineStr">
        <is>
          <t>Impa Stores - Electric</t>
        </is>
      </c>
      <c r="F399" s="141" t="inlineStr">
        <is>
          <t>Ultrasonic Cleaner</t>
        </is>
      </c>
      <c r="H399" s="141" t="inlineStr">
        <is>
          <t>Stores</t>
        </is>
      </c>
      <c r="L399" s="141" t="inlineStr">
        <is>
          <t>PCTC</t>
        </is>
      </c>
      <c r="M399" s="108" t="inlineStr">
        <is>
          <t xml:space="preserve">#N/A </t>
        </is>
      </c>
      <c r="N399" s="108" t="inlineStr">
        <is>
          <t xml:space="preserve">#N/A </t>
        </is>
      </c>
      <c r="O399" s="108" t="inlineStr">
        <is>
          <t xml:space="preserve">#N/A </t>
        </is>
      </c>
      <c r="P399" s="123" t="inlineStr">
        <is>
          <t xml:space="preserve">#N/A </t>
        </is>
      </c>
    </row>
    <row r="400">
      <c r="A400" s="95" t="inlineStr">
        <is>
          <t>Glovis Logos</t>
        </is>
      </c>
      <c r="D400" s="95">
        <f>IF(OR(ISNUMBER(SEARCH("Pre Delivery",E400)),ISNUMBER(SEARCH("Pre-Delivery",E400)),ISNUMBER(SEARCH("Predelivery",E400)),ISNUMBER(SEARCH("PD -",E400)),ISNUMBER(SEARCH("PD Lubes",E400))),"Pre-Delivery","")</f>
        <v/>
      </c>
      <c r="E400" s="141" t="inlineStr">
        <is>
          <t>Impa Stores - Instrumenation</t>
        </is>
      </c>
      <c r="F400" s="141" t="inlineStr">
        <is>
          <t>OPA 90 Kit</t>
        </is>
      </c>
      <c r="H400" s="141" t="inlineStr">
        <is>
          <t>Stores</t>
        </is>
      </c>
      <c r="L400" s="141" t="inlineStr">
        <is>
          <t>PCTC</t>
        </is>
      </c>
      <c r="M400" s="108" t="inlineStr">
        <is>
          <t xml:space="preserve">#N/A </t>
        </is>
      </c>
      <c r="N400" s="108" t="inlineStr">
        <is>
          <t xml:space="preserve">#N/A </t>
        </is>
      </c>
      <c r="O400" s="108" t="inlineStr">
        <is>
          <t xml:space="preserve">#N/A </t>
        </is>
      </c>
      <c r="P400" s="123" t="inlineStr">
        <is>
          <t xml:space="preserve">#N/A </t>
        </is>
      </c>
    </row>
    <row r="401">
      <c r="A401" s="95" t="inlineStr">
        <is>
          <t>Glovis Logos</t>
        </is>
      </c>
      <c r="C401" s="141" t="inlineStr">
        <is>
          <t>GLOG-60028/26</t>
        </is>
      </c>
      <c r="D401" s="95">
        <f>IF(OR(ISNUMBER(SEARCH("Pre Delivery",E401)),ISNUMBER(SEARCH("Pre-Delivery",E401)),ISNUMBER(SEARCH("Predelivery",E401)),ISNUMBER(SEARCH("PD -",E401)),ISNUMBER(SEARCH("PD Lubes",E401))),"Pre-Delivery","")</f>
        <v/>
      </c>
      <c r="E401" s="141" t="inlineStr">
        <is>
          <t>Ultrasonic Cleaning system - 230V</t>
        </is>
      </c>
      <c r="F401" s="141" t="inlineStr">
        <is>
          <t>High Pressure Washer</t>
        </is>
      </c>
      <c r="H401" s="141" t="inlineStr">
        <is>
          <t>Stores</t>
        </is>
      </c>
      <c r="I401" s="95" t="inlineStr">
        <is>
          <t>Pending Approval</t>
        </is>
      </c>
      <c r="L401" s="141" t="inlineStr">
        <is>
          <t>PCTC</t>
        </is>
      </c>
      <c r="M401" s="108" t="inlineStr">
        <is>
          <t xml:space="preserve">#N/A </t>
        </is>
      </c>
      <c r="N401" s="108" t="inlineStr">
        <is>
          <t xml:space="preserve">#N/A </t>
        </is>
      </c>
      <c r="O401" s="108" t="inlineStr">
        <is>
          <t xml:space="preserve">#N/A </t>
        </is>
      </c>
      <c r="P401" s="123" t="inlineStr">
        <is>
          <t xml:space="preserve">#N/A </t>
        </is>
      </c>
    </row>
    <row r="402">
      <c r="A402" s="95" t="inlineStr">
        <is>
          <t>Glovis Logos</t>
        </is>
      </c>
      <c r="C402" s="141" t="inlineStr">
        <is>
          <t>GLOG-60029/26</t>
        </is>
      </c>
      <c r="D402" s="95">
        <f>IF(OR(ISNUMBER(SEARCH("Pre Delivery",E402)),ISNUMBER(SEARCH("Pre-Delivery",E402)),ISNUMBER(SEARCH("Predelivery",E402)),ISNUMBER(SEARCH("PD -",E402)),ISNUMBER(SEARCH("PD Lubes",E402))),"Pre-Delivery","")</f>
        <v/>
      </c>
      <c r="E402" s="141" t="inlineStr">
        <is>
          <t>OPA 90 KIT - 12-barrel kit</t>
        </is>
      </c>
      <c r="F402" s="141" t="inlineStr">
        <is>
          <t>LOTO Stickers</t>
        </is>
      </c>
      <c r="H402" s="141" t="inlineStr">
        <is>
          <t>Stores</t>
        </is>
      </c>
      <c r="I402" s="95" t="inlineStr">
        <is>
          <t>Pending Approval</t>
        </is>
      </c>
      <c r="L402" s="141" t="inlineStr">
        <is>
          <t>PCTC</t>
        </is>
      </c>
      <c r="M402" s="108" t="inlineStr">
        <is>
          <t xml:space="preserve">#N/A </t>
        </is>
      </c>
      <c r="N402" s="108" t="inlineStr">
        <is>
          <t xml:space="preserve">#N/A </t>
        </is>
      </c>
      <c r="O402" s="108" t="inlineStr">
        <is>
          <t xml:space="preserve">#N/A </t>
        </is>
      </c>
      <c r="P402" s="123" t="inlineStr">
        <is>
          <t xml:space="preserve">#N/A </t>
        </is>
      </c>
    </row>
    <row r="403">
      <c r="A403" s="95" t="inlineStr">
        <is>
          <t>Glovis Logos</t>
        </is>
      </c>
      <c r="C403" s="141" t="inlineStr">
        <is>
          <t>GLOG-60030/26</t>
        </is>
      </c>
      <c r="D403" s="95">
        <f>IF(OR(ISNUMBER(SEARCH("Pre Delivery",E403)),ISNUMBER(SEARCH("Pre-Delivery",E403)),ISNUMBER(SEARCH("Predelivery",E403)),ISNUMBER(SEARCH("PD -",E403)),ISNUMBER(SEARCH("PD Lubes",E403))),"Pre-Delivery","")</f>
        <v/>
      </c>
      <c r="E403" s="141" t="inlineStr">
        <is>
          <t>H.P machine - 2pcs (prefer Branded - Karcher/ KEW)</t>
        </is>
      </c>
      <c r="F403" s="141" t="inlineStr">
        <is>
          <t>Steam Splash Suit</t>
        </is>
      </c>
      <c r="H403" s="141" t="inlineStr">
        <is>
          <t>Stores</t>
        </is>
      </c>
      <c r="I403" s="95" t="inlineStr">
        <is>
          <t>Pending Approval</t>
        </is>
      </c>
      <c r="L403" s="141" t="inlineStr">
        <is>
          <t>PCTC</t>
        </is>
      </c>
      <c r="M403" s="108" t="inlineStr">
        <is>
          <t xml:space="preserve">#N/A </t>
        </is>
      </c>
      <c r="N403" s="108" t="inlineStr">
        <is>
          <t xml:space="preserve">#N/A </t>
        </is>
      </c>
      <c r="O403" s="108" t="inlineStr">
        <is>
          <t xml:space="preserve">#N/A </t>
        </is>
      </c>
      <c r="P403" s="123" t="inlineStr">
        <is>
          <t xml:space="preserve">#N/A </t>
        </is>
      </c>
    </row>
    <row r="404">
      <c r="A404" s="95" t="inlineStr">
        <is>
          <t>Glovis Logos</t>
        </is>
      </c>
      <c r="D404" s="95">
        <f>IF(OR(ISNUMBER(SEARCH("Pre Delivery",E404)),ISNUMBER(SEARCH("Pre-Delivery",E404)),ISNUMBER(SEARCH("Predelivery",E404)),ISNUMBER(SEARCH("PD -",E404)),ISNUMBER(SEARCH("PD Lubes",E404))),"Pre-Delivery","")</f>
        <v/>
      </c>
      <c r="E404" s="141" t="inlineStr">
        <is>
          <t>2. LOTO Stickers</t>
        </is>
      </c>
      <c r="F404" s="141" t="inlineStr">
        <is>
          <t>Chemical Tags</t>
        </is>
      </c>
      <c r="H404" s="141" t="inlineStr">
        <is>
          <t>Stores</t>
        </is>
      </c>
      <c r="L404" s="141" t="inlineStr">
        <is>
          <t>PCTC</t>
        </is>
      </c>
      <c r="M404" s="108" t="inlineStr">
        <is>
          <t xml:space="preserve">#N/A </t>
        </is>
      </c>
      <c r="N404" s="108" t="inlineStr">
        <is>
          <t xml:space="preserve">#N/A </t>
        </is>
      </c>
      <c r="O404" s="108" t="inlineStr">
        <is>
          <t xml:space="preserve">#N/A </t>
        </is>
      </c>
      <c r="P404" s="123" t="inlineStr">
        <is>
          <t xml:space="preserve">#N/A </t>
        </is>
      </c>
    </row>
    <row r="405">
      <c r="A405" s="95" t="inlineStr">
        <is>
          <t>Glovis Logos</t>
        </is>
      </c>
      <c r="C405" s="141" t="inlineStr">
        <is>
          <t>GLOG-60031/26</t>
        </is>
      </c>
      <c r="D405" s="95">
        <f>IF(OR(ISNUMBER(SEARCH("Pre Delivery",E405)),ISNUMBER(SEARCH("Pre-Delivery",E405)),ISNUMBER(SEARCH("Predelivery",E405)),ISNUMBER(SEARCH("PD -",E405)),ISNUMBER(SEARCH("PD Lubes",E405))),"Pre-Delivery","")</f>
        <v/>
      </c>
      <c r="E405" s="141" t="inlineStr">
        <is>
          <t>3. Steam Splash Suit</t>
        </is>
      </c>
      <c r="F405" s="141" t="inlineStr">
        <is>
          <t>Safe Lanes (Trelleborg)</t>
        </is>
      </c>
      <c r="H405" s="141" t="inlineStr">
        <is>
          <t>Stores</t>
        </is>
      </c>
      <c r="I405" s="95" t="inlineStr">
        <is>
          <t>Pending Approval</t>
        </is>
      </c>
      <c r="L405" s="141" t="inlineStr">
        <is>
          <t>PCTC</t>
        </is>
      </c>
      <c r="M405" s="108" t="inlineStr">
        <is>
          <t xml:space="preserve">#N/A </t>
        </is>
      </c>
      <c r="N405" s="108" t="inlineStr">
        <is>
          <t xml:space="preserve">#N/A </t>
        </is>
      </c>
      <c r="O405" s="108" t="inlineStr">
        <is>
          <t xml:space="preserve">#N/A </t>
        </is>
      </c>
      <c r="P405" s="123" t="inlineStr">
        <is>
          <t xml:space="preserve">#N/A </t>
        </is>
      </c>
    </row>
    <row r="406">
      <c r="A406" s="95" t="inlineStr">
        <is>
          <t>Glovis Logos</t>
        </is>
      </c>
      <c r="D406" s="95">
        <f>IF(OR(ISNUMBER(SEARCH("Pre Delivery",E406)),ISNUMBER(SEARCH("Pre-Delivery",E406)),ISNUMBER(SEARCH("Predelivery",E406)),ISNUMBER(SEARCH("PD -",E406)),ISNUMBER(SEARCH("PD Lubes",E406))),"Pre-Delivery","")</f>
        <v/>
      </c>
      <c r="E406" s="141" t="inlineStr">
        <is>
          <t>4. Chemical tags</t>
        </is>
      </c>
      <c r="F406" s="141" t="inlineStr">
        <is>
          <t>Seatab</t>
        </is>
      </c>
      <c r="H406" s="141" t="inlineStr">
        <is>
          <t>Stores</t>
        </is>
      </c>
      <c r="L406" s="141" t="inlineStr">
        <is>
          <t>PCTC</t>
        </is>
      </c>
      <c r="M406" s="108" t="inlineStr">
        <is>
          <t xml:space="preserve">#N/A </t>
        </is>
      </c>
      <c r="N406" s="108" t="inlineStr">
        <is>
          <t xml:space="preserve">#N/A </t>
        </is>
      </c>
      <c r="O406" s="108" t="inlineStr">
        <is>
          <t xml:space="preserve">#N/A </t>
        </is>
      </c>
      <c r="P406" s="123" t="inlineStr">
        <is>
          <t xml:space="preserve">#N/A </t>
        </is>
      </c>
    </row>
    <row r="407">
      <c r="A407" s="95" t="inlineStr">
        <is>
          <t>Glovis Logos</t>
        </is>
      </c>
      <c r="D407" s="95">
        <f>IF(OR(ISNUMBER(SEARCH("Pre Delivery",E407)),ISNUMBER(SEARCH("Pre-Delivery",E407)),ISNUMBER(SEARCH("Predelivery",E407)),ISNUMBER(SEARCH("PD -",E407)),ISNUMBER(SEARCH("PD Lubes",E407))),"Pre-Delivery","")</f>
        <v/>
      </c>
      <c r="E407" s="141" t="inlineStr">
        <is>
          <t>5. Trelleborg Safe lanes</t>
        </is>
      </c>
      <c r="F407" s="141" t="inlineStr">
        <is>
          <t>Explosion Proof Camera</t>
        </is>
      </c>
      <c r="H407" s="141" t="inlineStr">
        <is>
          <t>Stores</t>
        </is>
      </c>
      <c r="L407" s="141" t="inlineStr">
        <is>
          <t>PCTC</t>
        </is>
      </c>
      <c r="M407" s="108" t="inlineStr">
        <is>
          <t xml:space="preserve">#N/A </t>
        </is>
      </c>
      <c r="N407" s="108" t="inlineStr">
        <is>
          <t xml:space="preserve">#N/A </t>
        </is>
      </c>
      <c r="O407" s="108" t="inlineStr">
        <is>
          <t xml:space="preserve">#N/A </t>
        </is>
      </c>
      <c r="P407" s="123" t="inlineStr">
        <is>
          <t xml:space="preserve">#N/A </t>
        </is>
      </c>
    </row>
    <row r="408">
      <c r="A408" s="95" t="inlineStr">
        <is>
          <t>Glovis Logos</t>
        </is>
      </c>
      <c r="C408" s="141" t="inlineStr">
        <is>
          <t>GLOG-60023/26-1</t>
        </is>
      </c>
      <c r="D408" s="95">
        <f>IF(OR(ISNUMBER(SEARCH("Pre Delivery",E408)),ISNUMBER(SEARCH("Pre-Delivery",E408)),ISNUMBER(SEARCH("Predelivery",E408)),ISNUMBER(SEARCH("PD -",E408)),ISNUMBER(SEARCH("PD Lubes",E408))),"Pre-Delivery","")</f>
        <v/>
      </c>
      <c r="E408" s="141" t="inlineStr">
        <is>
          <t>Pre Delivery - Seatab</t>
        </is>
      </c>
      <c r="F408" s="141" t="inlineStr">
        <is>
          <t>Temperature &amp; Pressure Calibrators</t>
        </is>
      </c>
      <c r="H408" s="141" t="inlineStr">
        <is>
          <t>Stores</t>
        </is>
      </c>
      <c r="J408" s="141" t="inlineStr">
        <is>
          <t>3/17/2026</t>
        </is>
      </c>
      <c r="L408" s="141" t="inlineStr">
        <is>
          <t>PCTC</t>
        </is>
      </c>
      <c r="M408" s="108" t="inlineStr">
        <is>
          <t xml:space="preserve">#N/A </t>
        </is>
      </c>
      <c r="N408" s="108" t="inlineStr">
        <is>
          <t xml:space="preserve">#N/A </t>
        </is>
      </c>
      <c r="O408" s="108" t="inlineStr">
        <is>
          <t xml:space="preserve">#N/A </t>
        </is>
      </c>
      <c r="P408" s="123" t="inlineStr">
        <is>
          <t xml:space="preserve">#N/A </t>
        </is>
      </c>
    </row>
    <row r="409">
      <c r="A409" s="95" t="inlineStr">
        <is>
          <t>Glovis Logos</t>
        </is>
      </c>
      <c r="D409" s="95">
        <f>IF(OR(ISNUMBER(SEARCH("Pre Delivery",E409)),ISNUMBER(SEARCH("Pre-Delivery",E409)),ISNUMBER(SEARCH("Predelivery",E409)),ISNUMBER(SEARCH("PD -",E409)),ISNUMBER(SEARCH("PD Lubes",E409))),"Pre-Delivery","")</f>
        <v/>
      </c>
      <c r="E409" s="141" t="inlineStr">
        <is>
          <t>8. Explosion Proof Camera</t>
        </is>
      </c>
      <c r="F409" s="141" t="inlineStr">
        <is>
          <t>VISWA Line Samplers</t>
        </is>
      </c>
      <c r="H409" s="141" t="inlineStr">
        <is>
          <t>Stores</t>
        </is>
      </c>
      <c r="L409" s="141" t="inlineStr">
        <is>
          <t>PCTC</t>
        </is>
      </c>
      <c r="M409" s="108" t="inlineStr">
        <is>
          <t xml:space="preserve">#N/A </t>
        </is>
      </c>
      <c r="N409" s="108" t="inlineStr">
        <is>
          <t xml:space="preserve">#N/A </t>
        </is>
      </c>
      <c r="O409" s="108" t="inlineStr">
        <is>
          <t xml:space="preserve">#N/A </t>
        </is>
      </c>
      <c r="P409" s="123" t="inlineStr">
        <is>
          <t xml:space="preserve">#N/A </t>
        </is>
      </c>
    </row>
    <row r="410">
      <c r="A410" s="95" t="inlineStr">
        <is>
          <t>Glovis Logos</t>
        </is>
      </c>
      <c r="D410" s="95">
        <f>IF(OR(ISNUMBER(SEARCH("Pre Delivery",E410)),ISNUMBER(SEARCH("Pre-Delivery",E410)),ISNUMBER(SEARCH("Predelivery",E410)),ISNUMBER(SEARCH("PD -",E410)),ISNUMBER(SEARCH("PD Lubes",E410))),"Pre-Delivery","")</f>
        <v/>
      </c>
      <c r="E410" s="141" t="inlineStr">
        <is>
          <t>10. Temperature &amp; Pressure Calibrators</t>
        </is>
      </c>
      <c r="F410" s="141" t="inlineStr">
        <is>
          <t>IMPA Stores - Stationery</t>
        </is>
      </c>
      <c r="H410" s="141" t="inlineStr">
        <is>
          <t>Stores</t>
        </is>
      </c>
      <c r="L410" s="141" t="inlineStr">
        <is>
          <t>PCTC</t>
        </is>
      </c>
      <c r="M410" s="108" t="inlineStr">
        <is>
          <t xml:space="preserve">#N/A </t>
        </is>
      </c>
      <c r="N410" s="108" t="inlineStr">
        <is>
          <t xml:space="preserve">#N/A </t>
        </is>
      </c>
      <c r="O410" s="108" t="inlineStr">
        <is>
          <t xml:space="preserve">#N/A </t>
        </is>
      </c>
      <c r="P410" s="123" t="inlineStr">
        <is>
          <t xml:space="preserve">#N/A </t>
        </is>
      </c>
    </row>
    <row r="411">
      <c r="A411" s="95" t="inlineStr">
        <is>
          <t>Glovis Logos</t>
        </is>
      </c>
      <c r="D411" s="95">
        <f>IF(OR(ISNUMBER(SEARCH("Pre Delivery",E411)),ISNUMBER(SEARCH("Pre-Delivery",E411)),ISNUMBER(SEARCH("Predelivery",E411)),ISNUMBER(SEARCH("PD -",E411)),ISNUMBER(SEARCH("PD Lubes",E411))),"Pre-Delivery","")</f>
        <v/>
      </c>
      <c r="E411" s="141" t="inlineStr">
        <is>
          <t>11. VISWA Line Samplers</t>
        </is>
      </c>
      <c r="F411" s="141" t="inlineStr">
        <is>
          <t>HP Pump (Hydraulic Nuts)</t>
        </is>
      </c>
      <c r="H411" s="141" t="inlineStr">
        <is>
          <t>Stores</t>
        </is>
      </c>
      <c r="L411" s="141" t="inlineStr">
        <is>
          <t>PCTC</t>
        </is>
      </c>
      <c r="M411" s="108" t="inlineStr">
        <is>
          <t xml:space="preserve">#N/A </t>
        </is>
      </c>
      <c r="N411" s="108" t="inlineStr">
        <is>
          <t xml:space="preserve">#N/A </t>
        </is>
      </c>
      <c r="O411" s="108" t="inlineStr">
        <is>
          <t xml:space="preserve">#N/A </t>
        </is>
      </c>
      <c r="P411" s="123" t="inlineStr">
        <is>
          <t xml:space="preserve">#N/A </t>
        </is>
      </c>
    </row>
    <row r="412">
      <c r="A412" s="95" t="inlineStr">
        <is>
          <t>Glovis Logos</t>
        </is>
      </c>
      <c r="D412" s="95">
        <f>IF(OR(ISNUMBER(SEARCH("Pre Delivery",E412)),ISNUMBER(SEARCH("Pre-Delivery",E412)),ISNUMBER(SEARCH("Predelivery",E412)),ISNUMBER(SEARCH("PD -",E412)),ISNUMBER(SEARCH("PD Lubes",E412))),"Pre-Delivery","")</f>
        <v/>
      </c>
      <c r="E412" s="141" t="inlineStr">
        <is>
          <t xml:space="preserve">12. Standard Chinese stationery </t>
        </is>
      </c>
      <c r="F412" s="141" t="inlineStr">
        <is>
          <t>Chemicals - General</t>
        </is>
      </c>
      <c r="H412" s="141" t="inlineStr">
        <is>
          <t>Stores</t>
        </is>
      </c>
      <c r="L412" s="141" t="inlineStr">
        <is>
          <t>PCTC</t>
        </is>
      </c>
      <c r="M412" s="108" t="inlineStr">
        <is>
          <t xml:space="preserve">#N/A </t>
        </is>
      </c>
      <c r="N412" s="108" t="inlineStr">
        <is>
          <t xml:space="preserve">#N/A </t>
        </is>
      </c>
      <c r="O412" s="108" t="inlineStr">
        <is>
          <t xml:space="preserve">#N/A </t>
        </is>
      </c>
      <c r="P412" s="123" t="inlineStr">
        <is>
          <t xml:space="preserve">#N/A </t>
        </is>
      </c>
    </row>
    <row r="413" ht="37.5" customHeight="1">
      <c r="A413" s="95" t="inlineStr">
        <is>
          <t>Glovis Logos</t>
        </is>
      </c>
      <c r="D413" s="95">
        <f>IF(OR(ISNUMBER(SEARCH("Pre Delivery",E413)),ISNUMBER(SEARCH("Pre-Delivery",E413)),ISNUMBER(SEARCH("Predelivery",E413)),ISNUMBER(SEARCH("PD -",E413)),ISNUMBER(SEARCH("PD Lubes",E413))),"Pre-Delivery","")</f>
        <v/>
      </c>
      <c r="E413" s="141" t="inlineStr">
        <is>
          <t>13. Air driven HP Pump - For hydraulic nuts for M/E - From Dan Marine or VLINK</t>
        </is>
      </c>
      <c r="F413" s="141" t="inlineStr">
        <is>
          <t>Mooring Ropes</t>
        </is>
      </c>
      <c r="H413" s="141" t="inlineStr">
        <is>
          <t>Stores</t>
        </is>
      </c>
      <c r="L413" s="141" t="inlineStr">
        <is>
          <t>PCTC</t>
        </is>
      </c>
      <c r="M413" s="108" t="inlineStr">
        <is>
          <t xml:space="preserve">#N/A </t>
        </is>
      </c>
      <c r="N413" s="108" t="inlineStr">
        <is>
          <t xml:space="preserve">#N/A </t>
        </is>
      </c>
      <c r="O413" s="108" t="inlineStr">
        <is>
          <t xml:space="preserve">#N/A </t>
        </is>
      </c>
      <c r="P413" s="123" t="inlineStr">
        <is>
          <t xml:space="preserve">#N/A </t>
        </is>
      </c>
    </row>
    <row r="414">
      <c r="A414" s="95" t="inlineStr">
        <is>
          <t>Glovis Logos</t>
        </is>
      </c>
      <c r="D414" s="95">
        <f>IF(OR(ISNUMBER(SEARCH("Pre Delivery",E414)),ISNUMBER(SEARCH("Pre-Delivery",E414)),ISNUMBER(SEARCH("Predelivery",E414)),ISNUMBER(SEARCH("PD -",E414)),ISNUMBER(SEARCH("PD Lubes",E414))),"Pre-Delivery","")</f>
        <v/>
      </c>
      <c r="E414" s="141" t="inlineStr">
        <is>
          <t>Chemical</t>
        </is>
      </c>
      <c r="F414" s="141" t="inlineStr">
        <is>
          <t>UHF Radio</t>
        </is>
      </c>
      <c r="H414" s="141" t="inlineStr">
        <is>
          <t>Stores</t>
        </is>
      </c>
      <c r="L414" s="141" t="inlineStr">
        <is>
          <t>PCTC</t>
        </is>
      </c>
      <c r="M414" s="108" t="inlineStr">
        <is>
          <t xml:space="preserve">#N/A </t>
        </is>
      </c>
      <c r="N414" s="108" t="inlineStr">
        <is>
          <t xml:space="preserve">#N/A </t>
        </is>
      </c>
      <c r="O414" s="108" t="inlineStr">
        <is>
          <t xml:space="preserve">#N/A </t>
        </is>
      </c>
      <c r="P414" s="123" t="inlineStr">
        <is>
          <t xml:space="preserve">#N/A </t>
        </is>
      </c>
    </row>
    <row r="415">
      <c r="A415" s="95" t="inlineStr">
        <is>
          <t>Glovis Logos</t>
        </is>
      </c>
      <c r="D415" s="95">
        <f>IF(OR(ISNUMBER(SEARCH("Pre Delivery",E415)),ISNUMBER(SEARCH("Pre-Delivery",E415)),ISNUMBER(SEARCH("Predelivery",E415)),ISNUMBER(SEARCH("PD -",E415)),ISNUMBER(SEARCH("PD Lubes",E415))),"Pre-Delivery","")</f>
        <v/>
      </c>
      <c r="E415" s="141" t="inlineStr">
        <is>
          <t>Mooring Rope</t>
        </is>
      </c>
      <c r="F415" s="141" t="inlineStr">
        <is>
          <t>Soot Treatment</t>
        </is>
      </c>
      <c r="H415" s="141" t="inlineStr">
        <is>
          <t>Stores</t>
        </is>
      </c>
      <c r="L415" s="141" t="inlineStr">
        <is>
          <t>PCTC</t>
        </is>
      </c>
      <c r="M415" s="108" t="inlineStr">
        <is>
          <t xml:space="preserve">#N/A </t>
        </is>
      </c>
      <c r="N415" s="108" t="inlineStr">
        <is>
          <t xml:space="preserve">#N/A </t>
        </is>
      </c>
      <c r="O415" s="108" t="inlineStr">
        <is>
          <t xml:space="preserve">#N/A </t>
        </is>
      </c>
      <c r="P415" s="123" t="inlineStr">
        <is>
          <t xml:space="preserve">#N/A </t>
        </is>
      </c>
    </row>
    <row r="416">
      <c r="A416" s="95" t="inlineStr">
        <is>
          <t>Glovis Logos</t>
        </is>
      </c>
      <c r="D416" s="95">
        <f>IF(OR(ISNUMBER(SEARCH("Pre Delivery",E416)),ISNUMBER(SEARCH("Pre-Delivery",E416)),ISNUMBER(SEARCH("Predelivery",E416)),ISNUMBER(SEARCH("PD -",E416)),ISNUMBER(SEARCH("PD Lubes",E416))),"Pre-Delivery","")</f>
        <v/>
      </c>
      <c r="E416" s="141" t="inlineStr">
        <is>
          <t>UHF Radio</t>
        </is>
      </c>
      <c r="F416" s="141" t="inlineStr">
        <is>
          <t>Garbage Refrigerator</t>
        </is>
      </c>
      <c r="H416" s="141" t="inlineStr">
        <is>
          <t>Stores</t>
        </is>
      </c>
      <c r="L416" s="141" t="inlineStr">
        <is>
          <t>PCTC</t>
        </is>
      </c>
      <c r="M416" s="108" t="inlineStr">
        <is>
          <t xml:space="preserve">#N/A </t>
        </is>
      </c>
      <c r="N416" s="108" t="inlineStr">
        <is>
          <t xml:space="preserve">#N/A </t>
        </is>
      </c>
      <c r="O416" s="108" t="inlineStr">
        <is>
          <t xml:space="preserve">#N/A </t>
        </is>
      </c>
      <c r="P416" s="123" t="inlineStr">
        <is>
          <t xml:space="preserve">#N/A </t>
        </is>
      </c>
    </row>
    <row r="417">
      <c r="A417" s="95" t="inlineStr">
        <is>
          <t>Glovis Logos</t>
        </is>
      </c>
      <c r="D417" s="95">
        <f>IF(OR(ISNUMBER(SEARCH("Pre Delivery",E417)),ISNUMBER(SEARCH("Pre-Delivery",E417)),ISNUMBER(SEARCH("Predelivery",E417)),ISNUMBER(SEARCH("PD -",E417)),ISNUMBER(SEARCH("PD Lubes",E417))),"Pre-Delivery","")</f>
        <v/>
      </c>
      <c r="E417" s="141" t="inlineStr">
        <is>
          <t xml:space="preserve">Soot </t>
        </is>
      </c>
      <c r="F417" s="141" t="inlineStr">
        <is>
          <t>Dual Fuel Tools</t>
        </is>
      </c>
      <c r="H417" s="141" t="inlineStr">
        <is>
          <t>Stores</t>
        </is>
      </c>
      <c r="L417" s="141" t="inlineStr">
        <is>
          <t>PCTC</t>
        </is>
      </c>
      <c r="M417" s="108" t="inlineStr">
        <is>
          <t xml:space="preserve">#N/A </t>
        </is>
      </c>
      <c r="N417" s="108" t="inlineStr">
        <is>
          <t xml:space="preserve">#N/A </t>
        </is>
      </c>
      <c r="O417" s="108" t="inlineStr">
        <is>
          <t xml:space="preserve">#N/A </t>
        </is>
      </c>
      <c r="P417" s="123" t="inlineStr">
        <is>
          <t xml:space="preserve">#N/A </t>
        </is>
      </c>
    </row>
    <row r="418">
      <c r="A418" s="95" t="inlineStr">
        <is>
          <t>Glovis Logos</t>
        </is>
      </c>
      <c r="D418" s="95">
        <f>IF(OR(ISNUMBER(SEARCH("Pre Delivery",E418)),ISNUMBER(SEARCH("Pre-Delivery",E418)),ISNUMBER(SEARCH("Predelivery",E418)),ISNUMBER(SEARCH("PD -",E418)),ISNUMBER(SEARCH("PD Lubes",E418))),"Pre-Delivery","")</f>
        <v/>
      </c>
      <c r="E418" s="141" t="inlineStr">
        <is>
          <t>Garbage Refrigerator</t>
        </is>
      </c>
      <c r="F418" s="141" t="inlineStr">
        <is>
          <t>UHF Antenna</t>
        </is>
      </c>
      <c r="H418" s="141" t="inlineStr">
        <is>
          <t>Stores</t>
        </is>
      </c>
      <c r="L418" s="141" t="inlineStr">
        <is>
          <t>PCTC</t>
        </is>
      </c>
      <c r="M418" s="108" t="inlineStr">
        <is>
          <t xml:space="preserve">#N/A </t>
        </is>
      </c>
      <c r="N418" s="108" t="inlineStr">
        <is>
          <t xml:space="preserve">#N/A </t>
        </is>
      </c>
      <c r="O418" s="108" t="inlineStr">
        <is>
          <t xml:space="preserve">#N/A </t>
        </is>
      </c>
      <c r="P418" s="123" t="inlineStr">
        <is>
          <t xml:space="preserve">#N/A </t>
        </is>
      </c>
    </row>
    <row r="419">
      <c r="A419" s="95" t="inlineStr">
        <is>
          <t>Glovis Logos</t>
        </is>
      </c>
      <c r="D419" s="95">
        <f>IF(OR(ISNUMBER(SEARCH("Pre Delivery",E419)),ISNUMBER(SEARCH("Pre-Delivery",E419)),ISNUMBER(SEARCH("Predelivery",E419)),ISNUMBER(SEARCH("PD -",E419)),ISNUMBER(SEARCH("PD Lubes",E419))),"Pre-Delivery","")</f>
        <v/>
      </c>
      <c r="E419" s="141" t="inlineStr">
        <is>
          <t>DF Tools</t>
        </is>
      </c>
      <c r="F419" s="141" t="inlineStr">
        <is>
          <t>Citadel VHF/GPS/UHF System</t>
        </is>
      </c>
      <c r="H419" s="141" t="inlineStr">
        <is>
          <t>Stores</t>
        </is>
      </c>
      <c r="L419" s="141" t="inlineStr">
        <is>
          <t>PCTC</t>
        </is>
      </c>
      <c r="M419" s="108" t="inlineStr">
        <is>
          <t xml:space="preserve">#N/A </t>
        </is>
      </c>
      <c r="N419" s="108" t="inlineStr">
        <is>
          <t xml:space="preserve">#N/A </t>
        </is>
      </c>
      <c r="O419" s="108" t="inlineStr">
        <is>
          <t xml:space="preserve">#N/A </t>
        </is>
      </c>
      <c r="P419" s="123" t="inlineStr">
        <is>
          <t xml:space="preserve">#N/A </t>
        </is>
      </c>
    </row>
    <row r="420">
      <c r="A420" s="95" t="inlineStr">
        <is>
          <t>Glovis Logos</t>
        </is>
      </c>
      <c r="D420" s="95">
        <f>IF(OR(ISNUMBER(SEARCH("Pre Delivery",E420)),ISNUMBER(SEARCH("Pre-Delivery",E420)),ISNUMBER(SEARCH("Predelivery",E420)),ISNUMBER(SEARCH("PD -",E420)),ISNUMBER(SEARCH("PD Lubes",E420))),"Pre-Delivery","")</f>
        <v/>
      </c>
      <c r="E420" s="141" t="inlineStr">
        <is>
          <t>UHF Antenna</t>
        </is>
      </c>
      <c r="F420" s="141" t="inlineStr">
        <is>
          <t>Stanchions</t>
        </is>
      </c>
      <c r="H420" s="141" t="inlineStr">
        <is>
          <t>Stores</t>
        </is>
      </c>
      <c r="L420" s="141" t="inlineStr">
        <is>
          <t>PCTC</t>
        </is>
      </c>
      <c r="M420" s="108" t="inlineStr">
        <is>
          <t xml:space="preserve">#N/A </t>
        </is>
      </c>
      <c r="N420" s="108" t="inlineStr">
        <is>
          <t xml:space="preserve">#N/A </t>
        </is>
      </c>
      <c r="O420" s="108" t="inlineStr">
        <is>
          <t xml:space="preserve">#N/A </t>
        </is>
      </c>
      <c r="P420" s="123" t="inlineStr">
        <is>
          <t xml:space="preserve">#N/A </t>
        </is>
      </c>
    </row>
    <row r="421">
      <c r="A421" s="95" t="inlineStr">
        <is>
          <t>Glovis Logos</t>
        </is>
      </c>
      <c r="D421" s="95">
        <f>IF(OR(ISNUMBER(SEARCH("Pre Delivery",E421)),ISNUMBER(SEARCH("Pre-Delivery",E421)),ISNUMBER(SEARCH("Predelivery",E421)),ISNUMBER(SEARCH("PD -",E421)),ISNUMBER(SEARCH("PD Lubes",E421))),"Pre-Delivery","")</f>
        <v/>
      </c>
      <c r="E421" s="141" t="inlineStr">
        <is>
          <t>Citadel Items</t>
        </is>
      </c>
      <c r="F421" s="141" t="inlineStr">
        <is>
          <t>Engine Spares - Main Engine</t>
        </is>
      </c>
      <c r="H421" s="141" t="inlineStr">
        <is>
          <t>Stores</t>
        </is>
      </c>
      <c r="L421" s="141" t="inlineStr">
        <is>
          <t>PCTC</t>
        </is>
      </c>
      <c r="M421" s="108" t="inlineStr">
        <is>
          <t xml:space="preserve">#N/A </t>
        </is>
      </c>
      <c r="N421" s="108" t="inlineStr">
        <is>
          <t xml:space="preserve">#N/A </t>
        </is>
      </c>
      <c r="O421" s="108" t="inlineStr">
        <is>
          <t xml:space="preserve">#N/A </t>
        </is>
      </c>
      <c r="P421" s="123" t="inlineStr">
        <is>
          <t xml:space="preserve">#N/A </t>
        </is>
      </c>
    </row>
    <row r="422">
      <c r="A422" s="95" t="inlineStr">
        <is>
          <t>Glovis Logos</t>
        </is>
      </c>
      <c r="D422" s="95">
        <f>IF(OR(ISNUMBER(SEARCH("Pre Delivery",E422)),ISNUMBER(SEARCH("Pre-Delivery",E422)),ISNUMBER(SEARCH("Predelivery",E422)),ISNUMBER(SEARCH("PD -",E422)),ISNUMBER(SEARCH("PD Lubes",E422))),"Pre-Delivery","")</f>
        <v/>
      </c>
      <c r="E422" s="141" t="inlineStr">
        <is>
          <t>Stanchions</t>
        </is>
      </c>
      <c r="F422" s="141" t="inlineStr">
        <is>
          <t>Engine Spares - Auxiliary Engine</t>
        </is>
      </c>
      <c r="H422" s="141" t="inlineStr">
        <is>
          <t>Stores</t>
        </is>
      </c>
      <c r="L422" s="141" t="inlineStr">
        <is>
          <t>PCTC</t>
        </is>
      </c>
      <c r="M422" s="108" t="inlineStr">
        <is>
          <t xml:space="preserve">#N/A </t>
        </is>
      </c>
      <c r="N422" s="108" t="inlineStr">
        <is>
          <t xml:space="preserve">#N/A </t>
        </is>
      </c>
      <c r="O422" s="108" t="inlineStr">
        <is>
          <t xml:space="preserve">#N/A </t>
        </is>
      </c>
      <c r="P422" s="123" t="inlineStr">
        <is>
          <t xml:space="preserve">#N/A </t>
        </is>
      </c>
    </row>
    <row r="423">
      <c r="A423" s="95" t="inlineStr">
        <is>
          <t>Glovis Logos</t>
        </is>
      </c>
      <c r="D423" s="95">
        <f>IF(OR(ISNUMBER(SEARCH("Pre Delivery",E423)),ISNUMBER(SEARCH("Pre-Delivery",E423)),ISNUMBER(SEARCH("Predelivery",E423)),ISNUMBER(SEARCH("PD -",E423)),ISNUMBER(SEARCH("PD Lubes",E423))),"Pre-Delivery","")</f>
        <v/>
      </c>
      <c r="E423" s="141" t="inlineStr">
        <is>
          <t xml:space="preserve">Main Engine  </t>
        </is>
      </c>
      <c r="F423" s="141" t="inlineStr">
        <is>
          <t>RO-RO Equipment - Ramp Spares</t>
        </is>
      </c>
      <c r="H423" s="141" t="inlineStr">
        <is>
          <t>Stores</t>
        </is>
      </c>
      <c r="L423" s="141" t="inlineStr">
        <is>
          <t>PCTC</t>
        </is>
      </c>
      <c r="M423" s="108" t="inlineStr">
        <is>
          <t xml:space="preserve">#N/A </t>
        </is>
      </c>
      <c r="N423" s="108" t="inlineStr">
        <is>
          <t xml:space="preserve">#N/A </t>
        </is>
      </c>
      <c r="O423" s="108" t="inlineStr">
        <is>
          <t xml:space="preserve">#N/A </t>
        </is>
      </c>
      <c r="P423" s="123" t="inlineStr">
        <is>
          <t xml:space="preserve">#N/A </t>
        </is>
      </c>
    </row>
    <row r="424">
      <c r="A424" s="95" t="inlineStr">
        <is>
          <t>Glovis Logos</t>
        </is>
      </c>
      <c r="D424" s="95">
        <f>IF(OR(ISNUMBER(SEARCH("Pre Delivery",E424)),ISNUMBER(SEARCH("Pre-Delivery",E424)),ISNUMBER(SEARCH("Predelivery",E424)),ISNUMBER(SEARCH("PD -",E424)),ISNUMBER(SEARCH("PD Lubes",E424))),"Pre-Delivery","")</f>
        <v/>
      </c>
      <c r="E424" s="141" t="inlineStr">
        <is>
          <t>Aux. Engine</t>
        </is>
      </c>
      <c r="F424" s="141" t="inlineStr">
        <is>
          <t>Engine Spares - Auxiliary Engine</t>
        </is>
      </c>
      <c r="H424" s="141" t="inlineStr">
        <is>
          <t>Stores</t>
        </is>
      </c>
      <c r="L424" s="141" t="inlineStr">
        <is>
          <t>PCTC</t>
        </is>
      </c>
      <c r="M424" s="108" t="inlineStr">
        <is>
          <t xml:space="preserve">#N/A </t>
        </is>
      </c>
      <c r="N424" s="108" t="inlineStr">
        <is>
          <t xml:space="preserve">#N/A </t>
        </is>
      </c>
      <c r="O424" s="108" t="inlineStr">
        <is>
          <t xml:space="preserve">#N/A </t>
        </is>
      </c>
      <c r="P424" s="123" t="inlineStr">
        <is>
          <t xml:space="preserve">#N/A </t>
        </is>
      </c>
    </row>
    <row r="425" ht="37.5" customHeight="1">
      <c r="A425" s="95" t="inlineStr">
        <is>
          <t>Glovis Logos</t>
        </is>
      </c>
      <c r="D425" s="95">
        <f>IF(OR(ISNUMBER(SEARCH("Pre Delivery",E425)),ISNUMBER(SEARCH("Pre-Delivery",E425)),ISNUMBER(SEARCH("Predelivery",E425)),ISNUMBER(SEARCH("PD -",E425)),ISNUMBER(SEARCH("PD Lubes",E425))),"Pre-Delivery","")</f>
        <v/>
      </c>
      <c r="E425" s="141" t="inlineStr">
        <is>
          <t>RO-RO Equipment (Main &amp; Centre Ramp spares + inner Ramp spares)</t>
        </is>
      </c>
      <c r="F425" s="141" t="inlineStr">
        <is>
          <t>Nitrogen Generator</t>
        </is>
      </c>
      <c r="H425" s="141" t="inlineStr">
        <is>
          <t>Stores</t>
        </is>
      </c>
      <c r="L425" s="141" t="inlineStr">
        <is>
          <t>PCTC</t>
        </is>
      </c>
      <c r="M425" s="108" t="inlineStr">
        <is>
          <t xml:space="preserve">#N/A </t>
        </is>
      </c>
      <c r="N425" s="108" t="inlineStr">
        <is>
          <t xml:space="preserve">#N/A </t>
        </is>
      </c>
      <c r="O425" s="108" t="inlineStr">
        <is>
          <t xml:space="preserve">#N/A </t>
        </is>
      </c>
      <c r="P425" s="123" t="inlineStr">
        <is>
          <t xml:space="preserve">#N/A </t>
        </is>
      </c>
    </row>
    <row r="426">
      <c r="A426" s="95" t="inlineStr">
        <is>
          <t>Glovis Logos</t>
        </is>
      </c>
      <c r="D426" s="95">
        <f>IF(OR(ISNUMBER(SEARCH("Pre Delivery",E426)),ISNUMBER(SEARCH("Pre-Delivery",E426)),ISNUMBER(SEARCH("Predelivery",E426)),ISNUMBER(SEARCH("PD -",E426)),ISNUMBER(SEARCH("PD Lubes",E426))),"Pre-Delivery","")</f>
        <v/>
      </c>
      <c r="E426" s="141" t="inlineStr">
        <is>
          <t>HP Pump Skid</t>
        </is>
      </c>
      <c r="F426" s="141" t="inlineStr">
        <is>
          <t>HP Pump Skid</t>
        </is>
      </c>
      <c r="H426" s="141" t="inlineStr">
        <is>
          <t>Stores</t>
        </is>
      </c>
      <c r="L426" s="141" t="inlineStr">
        <is>
          <t>PCTC</t>
        </is>
      </c>
      <c r="M426" s="108" t="inlineStr">
        <is>
          <t xml:space="preserve">#N/A </t>
        </is>
      </c>
      <c r="N426" s="108" t="inlineStr">
        <is>
          <t xml:space="preserve">#N/A </t>
        </is>
      </c>
      <c r="O426" s="108" t="inlineStr">
        <is>
          <t xml:space="preserve">#N/A </t>
        </is>
      </c>
      <c r="P426" s="123" t="inlineStr">
        <is>
          <t xml:space="preserve">#N/A </t>
        </is>
      </c>
    </row>
    <row r="427">
      <c r="A427" s="95" t="inlineStr">
        <is>
          <t>Glovis Logos</t>
        </is>
      </c>
      <c r="D427" s="95">
        <f>IF(OR(ISNUMBER(SEARCH("Pre Delivery",E427)),ISNUMBER(SEARCH("Pre-Delivery",E427)),ISNUMBER(SEARCH("Predelivery",E427)),ISNUMBER(SEARCH("PD -",E427)),ISNUMBER(SEARCH("PD Lubes",E427))),"Pre-Delivery","")</f>
        <v/>
      </c>
      <c r="E427" s="141" t="inlineStr">
        <is>
          <t>Nitrogen Generator</t>
        </is>
      </c>
      <c r="F427" s="141" t="inlineStr">
        <is>
          <t>Lubricants</t>
        </is>
      </c>
      <c r="H427" s="141" t="inlineStr">
        <is>
          <t>Stores</t>
        </is>
      </c>
      <c r="L427" s="141" t="inlineStr">
        <is>
          <t>PCTC</t>
        </is>
      </c>
      <c r="M427" s="108" t="inlineStr">
        <is>
          <t xml:space="preserve">#N/A </t>
        </is>
      </c>
      <c r="N427" s="108" t="inlineStr">
        <is>
          <t xml:space="preserve">#N/A </t>
        </is>
      </c>
      <c r="O427" s="108" t="inlineStr">
        <is>
          <t xml:space="preserve">#N/A </t>
        </is>
      </c>
      <c r="P427" s="123" t="inlineStr">
        <is>
          <t xml:space="preserve">#N/A </t>
        </is>
      </c>
    </row>
    <row r="428">
      <c r="A428" s="95" t="inlineStr">
        <is>
          <t>Glovis Logos</t>
        </is>
      </c>
      <c r="D428" s="95">
        <f>IF(OR(ISNUMBER(SEARCH("Pre Delivery",E428)),ISNUMBER(SEARCH("Pre-Delivery",E428)),ISNUMBER(SEARCH("Predelivery",E428)),ISNUMBER(SEARCH("PD -",E428)),ISNUMBER(SEARCH("PD Lubes",E428))),"Pre-Delivery","")</f>
        <v/>
      </c>
      <c r="F428" s="141" t="inlineStr">
        <is>
          <t>IT Equipment - Computers (Lenovo)</t>
        </is>
      </c>
      <c r="H428" s="141" t="inlineStr">
        <is>
          <t>Stores</t>
        </is>
      </c>
      <c r="L428" s="141" t="inlineStr">
        <is>
          <t>PCTC</t>
        </is>
      </c>
      <c r="M428" s="108" t="inlineStr">
        <is>
          <t xml:space="preserve">#N/A </t>
        </is>
      </c>
      <c r="N428" s="108" t="inlineStr">
        <is>
          <t xml:space="preserve">#N/A </t>
        </is>
      </c>
      <c r="O428" s="108" t="inlineStr">
        <is>
          <t xml:space="preserve">#N/A </t>
        </is>
      </c>
      <c r="P428" s="123" t="inlineStr">
        <is>
          <t xml:space="preserve">#N/A </t>
        </is>
      </c>
    </row>
    <row r="429">
      <c r="A429" s="95" t="inlineStr">
        <is>
          <t>Glovis Logos</t>
        </is>
      </c>
      <c r="D429" s="95">
        <f>IF(OR(ISNUMBER(SEARCH("Pre Delivery",E429)),ISNUMBER(SEARCH("Pre-Delivery",E429)),ISNUMBER(SEARCH("Predelivery",E429)),ISNUMBER(SEARCH("PD -",E429)),ISNUMBER(SEARCH("PD Lubes",E429))),"Pre-Delivery","")</f>
        <v/>
      </c>
      <c r="E429" s="141" t="inlineStr">
        <is>
          <t xml:space="preserve">RSC Lube oil - qty </t>
        </is>
      </c>
      <c r="F429" s="141" t="inlineStr">
        <is>
          <t>BWTS Spares</t>
        </is>
      </c>
      <c r="H429" s="141" t="inlineStr">
        <is>
          <t>Stores</t>
        </is>
      </c>
      <c r="L429" s="141" t="inlineStr">
        <is>
          <t>PCTC</t>
        </is>
      </c>
      <c r="M429" s="108" t="inlineStr">
        <is>
          <t xml:space="preserve">#N/A </t>
        </is>
      </c>
      <c r="N429" s="108" t="inlineStr">
        <is>
          <t xml:space="preserve">#N/A </t>
        </is>
      </c>
      <c r="O429" s="108" t="inlineStr">
        <is>
          <t xml:space="preserve">#N/A </t>
        </is>
      </c>
      <c r="P429" s="123" t="inlineStr">
        <is>
          <t xml:space="preserve">#N/A </t>
        </is>
      </c>
    </row>
    <row r="430">
      <c r="A430" s="95" t="inlineStr">
        <is>
          <t>Glovis Logos</t>
        </is>
      </c>
      <c r="D430" s="95">
        <f>IF(OR(ISNUMBER(SEARCH("Pre Delivery",E430)),ISNUMBER(SEARCH("Pre-Delivery",E430)),ISNUMBER(SEARCH("Predelivery",E430)),ISNUMBER(SEARCH("PD -",E430)),ISNUMBER(SEARCH("PD Lubes",E430))),"Pre-Delivery","")</f>
        <v/>
      </c>
      <c r="E430" s="141" t="inlineStr">
        <is>
          <t xml:space="preserve">QC DC </t>
        </is>
      </c>
      <c r="F430" s="141" t="inlineStr">
        <is>
          <t>Crew Welfare - Refrigerators</t>
        </is>
      </c>
      <c r="H430" s="141" t="inlineStr">
        <is>
          <t>Stores</t>
        </is>
      </c>
      <c r="L430" s="141" t="inlineStr">
        <is>
          <t>PCTC</t>
        </is>
      </c>
      <c r="M430" s="108" t="inlineStr">
        <is>
          <t xml:space="preserve">#N/A </t>
        </is>
      </c>
      <c r="N430" s="108" t="inlineStr">
        <is>
          <t xml:space="preserve">#N/A </t>
        </is>
      </c>
      <c r="O430" s="108" t="inlineStr">
        <is>
          <t xml:space="preserve">#N/A </t>
        </is>
      </c>
      <c r="P430" s="123" t="inlineStr">
        <is>
          <t xml:space="preserve">#N/A </t>
        </is>
      </c>
    </row>
    <row r="431" ht="37.5" customHeight="1">
      <c r="A431" s="95" t="inlineStr">
        <is>
          <t>Glovis Logos</t>
        </is>
      </c>
      <c r="D431" s="95">
        <f>IF(OR(ISNUMBER(SEARCH("Pre Delivery",E431)),ISNUMBER(SEARCH("Pre-Delivery",E431)),ISNUMBER(SEARCH("Predelivery",E431)),ISNUMBER(SEARCH("PD -",E431)),ISNUMBER(SEARCH("PD Lubes",E431))),"Pre-Delivery","")</f>
        <v/>
      </c>
      <c r="E431" s="141" t="inlineStr">
        <is>
          <t>Manuals for all equipment- priority for BWTS, STP, OWS, EMGCY AC, EMCY GEN</t>
        </is>
      </c>
      <c r="F431" s="141" t="inlineStr">
        <is>
          <t>Breathing Air Compressor</t>
        </is>
      </c>
      <c r="H431" s="141" t="inlineStr">
        <is>
          <t>Stores</t>
        </is>
      </c>
      <c r="L431" s="141" t="inlineStr">
        <is>
          <t>PCTC</t>
        </is>
      </c>
      <c r="M431" s="108" t="inlineStr">
        <is>
          <t xml:space="preserve">#N/A </t>
        </is>
      </c>
      <c r="N431" s="108" t="inlineStr">
        <is>
          <t xml:space="preserve">#N/A </t>
        </is>
      </c>
      <c r="O431" s="108" t="inlineStr">
        <is>
          <t xml:space="preserve">#N/A </t>
        </is>
      </c>
      <c r="P431" s="123" t="inlineStr">
        <is>
          <t xml:space="preserve">#N/A </t>
        </is>
      </c>
    </row>
    <row r="432" ht="37.5" customHeight="1">
      <c r="A432" s="95" t="inlineStr">
        <is>
          <t>Glovis Logos</t>
        </is>
      </c>
      <c r="D432" s="95">
        <f>IF(OR(ISNUMBER(SEARCH("Pre Delivery",E432)),ISNUMBER(SEARCH("Pre-Delivery",E432)),ISNUMBER(SEARCH("Predelivery",E432)),ISNUMBER(SEARCH("PD -",E432)),ISNUMBER(SEARCH("PD Lubes",E432))),"Pre-Delivery","")</f>
        <v/>
      </c>
      <c r="E432" s="141" t="inlineStr">
        <is>
          <t>Domestic refrigerators 200 litres for rec rooms to be added to stores supplies</t>
        </is>
      </c>
      <c r="F432" s="141" t="inlineStr">
        <is>
          <t>Ozone Steriliser</t>
        </is>
      </c>
      <c r="H432" s="141" t="inlineStr">
        <is>
          <t>Stores</t>
        </is>
      </c>
      <c r="L432" s="141" t="inlineStr">
        <is>
          <t>PCTC</t>
        </is>
      </c>
      <c r="M432" s="108" t="inlineStr">
        <is>
          <t xml:space="preserve">#N/A </t>
        </is>
      </c>
      <c r="N432" s="108" t="inlineStr">
        <is>
          <t xml:space="preserve">#N/A </t>
        </is>
      </c>
      <c r="O432" s="108" t="inlineStr">
        <is>
          <t xml:space="preserve">#N/A </t>
        </is>
      </c>
      <c r="P432" s="123" t="inlineStr">
        <is>
          <t xml:space="preserve">#N/A </t>
        </is>
      </c>
    </row>
    <row r="433">
      <c r="A433" s="95" t="inlineStr">
        <is>
          <t>Glovis Logos</t>
        </is>
      </c>
      <c r="D433" s="95">
        <f>IF(OR(ISNUMBER(SEARCH("Pre Delivery",E433)),ISNUMBER(SEARCH("Pre-Delivery",E433)),ISNUMBER(SEARCH("Predelivery",E433)),ISNUMBER(SEARCH("PD -",E433)),ISNUMBER(SEARCH("PD Lubes",E433))),"Pre-Delivery","")</f>
        <v/>
      </c>
      <c r="E433" s="141" t="inlineStr">
        <is>
          <t>Breathing air compressor</t>
        </is>
      </c>
      <c r="F433" s="141" t="inlineStr">
        <is>
          <t>Suez Light</t>
        </is>
      </c>
      <c r="H433" s="141" t="inlineStr">
        <is>
          <t>Stores</t>
        </is>
      </c>
      <c r="L433" s="141" t="inlineStr">
        <is>
          <t>PCTC</t>
        </is>
      </c>
      <c r="M433" s="108" t="inlineStr">
        <is>
          <t xml:space="preserve">#N/A </t>
        </is>
      </c>
      <c r="N433" s="108" t="inlineStr">
        <is>
          <t xml:space="preserve">#N/A </t>
        </is>
      </c>
      <c r="O433" s="108" t="inlineStr">
        <is>
          <t xml:space="preserve">#N/A </t>
        </is>
      </c>
      <c r="P433" s="123" t="inlineStr">
        <is>
          <t xml:space="preserve">#N/A </t>
        </is>
      </c>
    </row>
    <row r="434">
      <c r="A434" s="95" t="inlineStr">
        <is>
          <t>Glovis Logos</t>
        </is>
      </c>
      <c r="D434" s="95">
        <f>IF(OR(ISNUMBER(SEARCH("Pre Delivery",E434)),ISNUMBER(SEARCH("Pre-Delivery",E434)),ISNUMBER(SEARCH("Predelivery",E434)),ISNUMBER(SEARCH("PD -",E434)),ISNUMBER(SEARCH("PD Lubes",E434))),"Pre-Delivery","")</f>
        <v/>
      </c>
      <c r="E434" s="141" t="inlineStr">
        <is>
          <t>ozone sterliser</t>
        </is>
      </c>
      <c r="F434" s="141" t="inlineStr">
        <is>
          <t>RO-RO Equipment - Ramp Spares</t>
        </is>
      </c>
      <c r="H434" s="141" t="inlineStr">
        <is>
          <t>Stores</t>
        </is>
      </c>
      <c r="L434" s="141" t="inlineStr">
        <is>
          <t>PCTC</t>
        </is>
      </c>
      <c r="M434" s="108" t="inlineStr">
        <is>
          <t xml:space="preserve">#N/A </t>
        </is>
      </c>
      <c r="N434" s="108" t="inlineStr">
        <is>
          <t xml:space="preserve">#N/A </t>
        </is>
      </c>
      <c r="O434" s="108" t="inlineStr">
        <is>
          <t xml:space="preserve">#N/A </t>
        </is>
      </c>
      <c r="P434" s="123" t="inlineStr">
        <is>
          <t xml:space="preserve">#N/A </t>
        </is>
      </c>
    </row>
    <row r="435">
      <c r="A435" s="95" t="inlineStr">
        <is>
          <t>Glovis Logos</t>
        </is>
      </c>
      <c r="D435" s="95">
        <f>IF(OR(ISNUMBER(SEARCH("Pre Delivery",E435)),ISNUMBER(SEARCH("Pre-Delivery",E435)),ISNUMBER(SEARCH("Predelivery",E435)),ISNUMBER(SEARCH("PD -",E435)),ISNUMBER(SEARCH("PD Lubes",E435))),"Pre-Delivery","")</f>
        <v/>
      </c>
      <c r="E435" s="141" t="inlineStr">
        <is>
          <t>suez light</t>
        </is>
      </c>
      <c r="F435" s="141" t="inlineStr">
        <is>
          <t>Reefer Cables &amp; Plugs</t>
        </is>
      </c>
      <c r="H435" s="141" t="inlineStr">
        <is>
          <t>Stores</t>
        </is>
      </c>
      <c r="L435" s="141" t="inlineStr">
        <is>
          <t>PCTC</t>
        </is>
      </c>
      <c r="M435" s="108" t="inlineStr">
        <is>
          <t xml:space="preserve">#N/A </t>
        </is>
      </c>
      <c r="N435" s="108" t="inlineStr">
        <is>
          <t xml:space="preserve">#N/A </t>
        </is>
      </c>
      <c r="O435" s="108" t="inlineStr">
        <is>
          <t xml:space="preserve">#N/A </t>
        </is>
      </c>
      <c r="P435" s="123" t="inlineStr">
        <is>
          <t xml:space="preserve">#N/A </t>
        </is>
      </c>
    </row>
    <row r="436" ht="37.5" customHeight="1">
      <c r="A436" s="95" t="inlineStr">
        <is>
          <t>Glovis Logos</t>
        </is>
      </c>
      <c r="D436" s="95">
        <f>IF(OR(ISNUMBER(SEARCH("Pre Delivery",E436)),ISNUMBER(SEARCH("Pre-Delivery",E436)),ISNUMBER(SEARCH("Predelivery",E436)),ISNUMBER(SEARCH("PD -",E436)),ISNUMBER(SEARCH("PD Lubes",E436))),"Pre-Delivery","")</f>
        <v/>
      </c>
      <c r="E436" s="141" t="inlineStr">
        <is>
          <t>Item no 11, loose equipment for emergency operation of roro equipment</t>
        </is>
      </c>
      <c r="F436" s="141" t="inlineStr">
        <is>
          <t>Chain Blocks</t>
        </is>
      </c>
      <c r="H436" s="141" t="inlineStr">
        <is>
          <t>Stores</t>
        </is>
      </c>
      <c r="L436" s="141" t="inlineStr">
        <is>
          <t>PCTC</t>
        </is>
      </c>
      <c r="M436" s="108" t="inlineStr">
        <is>
          <t xml:space="preserve">#N/A </t>
        </is>
      </c>
      <c r="N436" s="108" t="inlineStr">
        <is>
          <t xml:space="preserve">#N/A </t>
        </is>
      </c>
      <c r="O436" s="108" t="inlineStr">
        <is>
          <t xml:space="preserve">#N/A </t>
        </is>
      </c>
      <c r="P436" s="123" t="inlineStr">
        <is>
          <t xml:space="preserve">#N/A </t>
        </is>
      </c>
    </row>
    <row r="437">
      <c r="A437" s="95" t="inlineStr">
        <is>
          <t>Glovis Logos</t>
        </is>
      </c>
      <c r="D437" s="95">
        <f>IF(OR(ISNUMBER(SEARCH("Pre Delivery",E437)),ISNUMBER(SEARCH("Pre-Delivery",E437)),ISNUMBER(SEARCH("Predelivery",E437)),ISNUMBER(SEARCH("PD -",E437)),ISNUMBER(SEARCH("PD Lubes",E437))),"Pre-Delivery","")</f>
        <v/>
      </c>
      <c r="E437" s="141" t="inlineStr">
        <is>
          <t>Reefer cable and plugs extensions</t>
        </is>
      </c>
      <c r="F437" s="141" t="inlineStr">
        <is>
          <t>Glycol</t>
        </is>
      </c>
      <c r="H437" s="141" t="inlineStr">
        <is>
          <t>Stores</t>
        </is>
      </c>
      <c r="L437" s="141" t="inlineStr">
        <is>
          <t>PCTC</t>
        </is>
      </c>
      <c r="M437" s="108" t="inlineStr">
        <is>
          <t xml:space="preserve">#N/A </t>
        </is>
      </c>
      <c r="N437" s="108" t="inlineStr">
        <is>
          <t xml:space="preserve">#N/A </t>
        </is>
      </c>
      <c r="O437" s="108" t="inlineStr">
        <is>
          <t xml:space="preserve">#N/A </t>
        </is>
      </c>
      <c r="P437" s="123" t="inlineStr">
        <is>
          <t xml:space="preserve">#N/A </t>
        </is>
      </c>
    </row>
    <row r="438">
      <c r="A438" s="95" t="inlineStr">
        <is>
          <t>Glovis Logos</t>
        </is>
      </c>
      <c r="D438" s="95">
        <f>IF(OR(ISNUMBER(SEARCH("Pre Delivery",E438)),ISNUMBER(SEARCH("Pre-Delivery",E438)),ISNUMBER(SEARCH("Predelivery",E438)),ISNUMBER(SEARCH("PD -",E438)),ISNUMBER(SEARCH("PD Lubes",E438))),"Pre-Delivery","")</f>
        <v/>
      </c>
      <c r="E438" s="141" t="inlineStr">
        <is>
          <t xml:space="preserve">Manual chain blocks </t>
        </is>
      </c>
      <c r="F438" s="141" t="inlineStr">
        <is>
          <t>Gas Meters</t>
        </is>
      </c>
      <c r="H438" s="141" t="inlineStr">
        <is>
          <t>Stores</t>
        </is>
      </c>
      <c r="L438" s="141" t="inlineStr">
        <is>
          <t>PCTC</t>
        </is>
      </c>
      <c r="M438" s="108" t="inlineStr">
        <is>
          <t xml:space="preserve">#N/A </t>
        </is>
      </c>
      <c r="N438" s="108" t="inlineStr">
        <is>
          <t xml:space="preserve">#N/A </t>
        </is>
      </c>
      <c r="O438" s="108" t="inlineStr">
        <is>
          <t xml:space="preserve">#N/A </t>
        </is>
      </c>
      <c r="P438" s="123" t="inlineStr">
        <is>
          <t xml:space="preserve">#N/A </t>
        </is>
      </c>
    </row>
    <row r="439">
      <c r="A439" s="95" t="inlineStr">
        <is>
          <t>Glovis Logos</t>
        </is>
      </c>
      <c r="D439" s="95">
        <f>IF(OR(ISNUMBER(SEARCH("Pre Delivery",E439)),ISNUMBER(SEARCH("Pre-Delivery",E439)),ISNUMBER(SEARCH("Predelivery",E439)),ISNUMBER(SEARCH("PD -",E439)),ISNUMBER(SEARCH("PD Lubes",E439))),"Pre-Delivery","")</f>
        <v/>
      </c>
      <c r="E439" s="141" t="inlineStr">
        <is>
          <t>Glycol</t>
        </is>
      </c>
      <c r="F439" s="141" t="inlineStr">
        <is>
          <t>Welding Equipment</t>
        </is>
      </c>
      <c r="H439" s="141" t="inlineStr">
        <is>
          <t>Stores</t>
        </is>
      </c>
      <c r="L439" s="141" t="inlineStr">
        <is>
          <t>PCTC</t>
        </is>
      </c>
      <c r="M439" s="108" t="inlineStr">
        <is>
          <t xml:space="preserve">#N/A </t>
        </is>
      </c>
      <c r="N439" s="108" t="inlineStr">
        <is>
          <t xml:space="preserve">#N/A </t>
        </is>
      </c>
      <c r="O439" s="108" t="inlineStr">
        <is>
          <t xml:space="preserve">#N/A </t>
        </is>
      </c>
      <c r="P439" s="123" t="inlineStr">
        <is>
          <t xml:space="preserve">#N/A </t>
        </is>
      </c>
    </row>
    <row r="440">
      <c r="A440" s="95" t="inlineStr">
        <is>
          <t>Glovis Logos</t>
        </is>
      </c>
      <c r="C440" s="141" t="inlineStr">
        <is>
          <t>GLOG-60035/26</t>
        </is>
      </c>
      <c r="D440" s="95">
        <f>IF(OR(ISNUMBER(SEARCH("Pre Delivery",E440)),ISNUMBER(SEARCH("Pre-Delivery",E440)),ISNUMBER(SEARCH("Predelivery",E440)),ISNUMBER(SEARCH("PD -",E440)),ISNUMBER(SEARCH("PD Lubes",E440))),"Pre-Delivery","")</f>
        <v/>
      </c>
      <c r="E440" s="141" t="inlineStr">
        <is>
          <t>Gas meters</t>
        </is>
      </c>
      <c r="F440" s="141" t="inlineStr">
        <is>
          <t>Service Car &amp; Forklift</t>
        </is>
      </c>
      <c r="H440" s="141" t="inlineStr">
        <is>
          <t>Stores</t>
        </is>
      </c>
      <c r="L440" s="141" t="inlineStr">
        <is>
          <t>PCTC</t>
        </is>
      </c>
      <c r="M440" s="108" t="inlineStr">
        <is>
          <t xml:space="preserve">#N/A </t>
        </is>
      </c>
      <c r="N440" s="108" t="inlineStr">
        <is>
          <t xml:space="preserve">#N/A </t>
        </is>
      </c>
      <c r="O440" s="108" t="inlineStr">
        <is>
          <t xml:space="preserve">#N/A </t>
        </is>
      </c>
      <c r="P440" s="123" t="inlineStr">
        <is>
          <t xml:space="preserve">#N/A </t>
        </is>
      </c>
    </row>
    <row r="441">
      <c r="A441" s="95" t="inlineStr">
        <is>
          <t>Glovis Logos</t>
        </is>
      </c>
      <c r="D441" s="95">
        <f>IF(OR(ISNUMBER(SEARCH("Pre Delivery",E441)),ISNUMBER(SEARCH("Pre-Delivery",E441)),ISNUMBER(SEARCH("Predelivery",E441)),ISNUMBER(SEARCH("PD -",E441)),ISNUMBER(SEARCH("PD Lubes",E441))),"Pre-Delivery","")</f>
        <v/>
      </c>
      <c r="E441" s="141" t="inlineStr">
        <is>
          <t>Welding machine in Workshop 440 v</t>
        </is>
      </c>
      <c r="F441" s="141" t="inlineStr">
        <is>
          <t>Navigation - Captains Eye</t>
        </is>
      </c>
      <c r="H441" s="141" t="inlineStr">
        <is>
          <t>Stores</t>
        </is>
      </c>
      <c r="L441" s="141" t="inlineStr">
        <is>
          <t>PCTC</t>
        </is>
      </c>
      <c r="M441" s="108" t="inlineStr">
        <is>
          <t xml:space="preserve">#N/A </t>
        </is>
      </c>
      <c r="N441" s="108" t="inlineStr">
        <is>
          <t xml:space="preserve">#N/A </t>
        </is>
      </c>
      <c r="O441" s="108" t="inlineStr">
        <is>
          <t xml:space="preserve">#N/A </t>
        </is>
      </c>
      <c r="P441" s="123" t="inlineStr">
        <is>
          <t xml:space="preserve">#N/A </t>
        </is>
      </c>
    </row>
    <row r="442" ht="19.5" customFormat="1" customHeight="1" s="100" thickBot="1">
      <c r="A442" s="98" t="inlineStr">
        <is>
          <t>Glovis Logos</t>
        </is>
      </c>
      <c r="B442" s="142" t="n"/>
      <c r="C442" s="142" t="n"/>
      <c r="D442" s="98">
        <f>IF(OR(ISNUMBER(SEARCH("Pre Delivery",E442)),ISNUMBER(SEARCH("Pre-Delivery",E442)),ISNUMBER(SEARCH("Predelivery",E442)),ISNUMBER(SEARCH("PD -",E442)),ISNUMBER(SEARCH("PD Lubes",E442))),"Pre-Delivery","")</f>
        <v/>
      </c>
      <c r="E442" s="142" t="inlineStr">
        <is>
          <t>Service Car and Forlift</t>
        </is>
      </c>
      <c r="F442" s="142" t="inlineStr">
        <is>
          <t>Communications - VSAT (KVH)</t>
        </is>
      </c>
      <c r="G442" s="142" t="n"/>
      <c r="H442" s="142" t="inlineStr">
        <is>
          <t>Stores</t>
        </is>
      </c>
      <c r="I442" s="98" t="n"/>
      <c r="J442" s="142" t="n"/>
      <c r="K442" s="142" t="n"/>
      <c r="L442" s="142" t="inlineStr">
        <is>
          <t>PCTC</t>
        </is>
      </c>
      <c r="M442" s="110" t="inlineStr">
        <is>
          <t xml:space="preserve">#N/A </t>
        </is>
      </c>
      <c r="N442" s="110" t="inlineStr">
        <is>
          <t xml:space="preserve">#N/A </t>
        </is>
      </c>
      <c r="O442" s="110" t="inlineStr">
        <is>
          <t xml:space="preserve">#N/A </t>
        </is>
      </c>
      <c r="P442" s="124" t="inlineStr">
        <is>
          <t xml:space="preserve">#N/A </t>
        </is>
      </c>
    </row>
    <row r="443">
      <c r="A443" s="95" t="inlineStr">
        <is>
          <t>Glovis Loyal</t>
        </is>
      </c>
      <c r="C443" s="141" t="inlineStr">
        <is>
          <t>GLOY-60001/26-1</t>
        </is>
      </c>
      <c r="D443" s="95">
        <f>IF(OR(ISNUMBER(SEARCH("Pre Delivery",E443)),ISNUMBER(SEARCH("Pre-Delivery",E443)),ISNUMBER(SEARCH("Predelivery",E443)),ISNUMBER(SEARCH("PD -",E443)),ISNUMBER(SEARCH("PD Lubes",E443))),"Pre-Delivery","")</f>
        <v/>
      </c>
      <c r="E443" s="141" t="inlineStr">
        <is>
          <t>Shipyard Extra Owner supply - Captains Eye</t>
        </is>
      </c>
      <c r="F443" s="141" t="inlineStr">
        <is>
          <t>IT Equipment - AST</t>
        </is>
      </c>
      <c r="H443" s="141" t="inlineStr">
        <is>
          <t>Spares</t>
        </is>
      </c>
      <c r="L443" s="141" t="inlineStr">
        <is>
          <t>PCTC</t>
        </is>
      </c>
      <c r="M443" s="108" t="inlineStr">
        <is>
          <t xml:space="preserve">#N/A </t>
        </is>
      </c>
      <c r="N443" s="108" t="inlineStr">
        <is>
          <t xml:space="preserve">#N/A </t>
        </is>
      </c>
      <c r="O443" s="108" t="inlineStr">
        <is>
          <t xml:space="preserve">#N/A </t>
        </is>
      </c>
      <c r="P443" s="123" t="inlineStr">
        <is>
          <t xml:space="preserve">#N/A </t>
        </is>
      </c>
    </row>
    <row r="444">
      <c r="A444" s="95" t="inlineStr">
        <is>
          <t>Glovis Loyal</t>
        </is>
      </c>
      <c r="C444" s="141" t="inlineStr">
        <is>
          <t>GLOY-60002/26-1</t>
        </is>
      </c>
      <c r="D444" s="95">
        <f>IF(OR(ISNUMBER(SEARCH("Pre Delivery",E444)),ISNUMBER(SEARCH("Pre-Delivery",E444)),ISNUMBER(SEARCH("Predelivery",E444)),ISNUMBER(SEARCH("PD -",E444)),ISNUMBER(SEARCH("PD Lubes",E444))),"Pre-Delivery","")</f>
        <v/>
      </c>
      <c r="E444" s="141" t="inlineStr">
        <is>
          <t>FS-KVH-SWS-LOYAL</t>
        </is>
      </c>
      <c r="F444" s="141" t="inlineStr">
        <is>
          <t>IT Equipment - ITBP</t>
        </is>
      </c>
      <c r="H444" s="141" t="inlineStr">
        <is>
          <t>Spares</t>
        </is>
      </c>
      <c r="L444" s="141" t="inlineStr">
        <is>
          <t>PCTC</t>
        </is>
      </c>
      <c r="M444" s="108" t="inlineStr">
        <is>
          <t xml:space="preserve">#N/A </t>
        </is>
      </c>
      <c r="N444" s="108" t="inlineStr">
        <is>
          <t xml:space="preserve">#N/A </t>
        </is>
      </c>
      <c r="O444" s="108" t="inlineStr">
        <is>
          <t xml:space="preserve">#N/A </t>
        </is>
      </c>
      <c r="P444" s="123" t="inlineStr">
        <is>
          <t xml:space="preserve">#N/A </t>
        </is>
      </c>
    </row>
    <row r="445">
      <c r="A445" s="95" t="inlineStr">
        <is>
          <t>Glovis Loyal</t>
        </is>
      </c>
      <c r="C445" s="141" t="inlineStr">
        <is>
          <t>GLOY-60004/26-1</t>
        </is>
      </c>
      <c r="D445" s="95">
        <f>IF(OR(ISNUMBER(SEARCH("Pre Delivery",E445)),ISNUMBER(SEARCH("Pre-Delivery",E445)),ISNUMBER(SEARCH("Predelivery",E445)),ISNUMBER(SEARCH("PD -",E445)),ISNUMBER(SEARCH("PD Lubes",E445))),"Pre-Delivery","")</f>
        <v/>
      </c>
      <c r="E445" s="141" t="inlineStr">
        <is>
          <t>FS-AST-LOYOL</t>
        </is>
      </c>
      <c r="F445" s="141" t="inlineStr">
        <is>
          <t>Safety Integration - SMiG</t>
        </is>
      </c>
      <c r="H445" s="141" t="inlineStr">
        <is>
          <t>Spares</t>
        </is>
      </c>
      <c r="L445" s="141" t="inlineStr">
        <is>
          <t>PCTC</t>
        </is>
      </c>
      <c r="M445" s="108" t="inlineStr">
        <is>
          <t xml:space="preserve">#N/A </t>
        </is>
      </c>
      <c r="N445" s="108" t="inlineStr">
        <is>
          <t xml:space="preserve">#N/A </t>
        </is>
      </c>
      <c r="O445" s="108" t="inlineStr">
        <is>
          <t xml:space="preserve">#N/A </t>
        </is>
      </c>
      <c r="P445" s="123" t="inlineStr">
        <is>
          <t xml:space="preserve">#N/A </t>
        </is>
      </c>
    </row>
    <row r="446">
      <c r="A446" s="95" t="inlineStr">
        <is>
          <t>Glovis Loyal</t>
        </is>
      </c>
      <c r="C446" s="141" t="inlineStr">
        <is>
          <t>GLOY-60005/26-1</t>
        </is>
      </c>
      <c r="D446" s="95">
        <f>IF(OR(ISNUMBER(SEARCH("Pre Delivery",E446)),ISNUMBER(SEARCH("Pre-Delivery",E446)),ISNUMBER(SEARCH("Predelivery",E446)),ISNUMBER(SEARCH("PD -",E446)),ISNUMBER(SEARCH("PD Lubes",E446))),"Pre-Delivery","")</f>
        <v/>
      </c>
      <c r="E446" s="141" t="inlineStr">
        <is>
          <t>FS-ITBP  -LOYAL</t>
        </is>
      </c>
      <c r="F446" s="141" t="inlineStr">
        <is>
          <t>IT Equipment - Computers (Lenovo)</t>
        </is>
      </c>
      <c r="H446" s="141" t="inlineStr">
        <is>
          <t>Spares</t>
        </is>
      </c>
      <c r="L446" s="141" t="inlineStr">
        <is>
          <t>PCTC</t>
        </is>
      </c>
      <c r="M446" s="108" t="inlineStr">
        <is>
          <t xml:space="preserve">#N/A </t>
        </is>
      </c>
      <c r="N446" s="108" t="inlineStr">
        <is>
          <t xml:space="preserve">#N/A </t>
        </is>
      </c>
      <c r="O446" s="108" t="inlineStr">
        <is>
          <t xml:space="preserve">#N/A </t>
        </is>
      </c>
      <c r="P446" s="123" t="inlineStr">
        <is>
          <t xml:space="preserve">#N/A </t>
        </is>
      </c>
    </row>
    <row r="447" ht="37.5" customHeight="1">
      <c r="A447" s="95" t="inlineStr">
        <is>
          <t>Glovis Loyal</t>
        </is>
      </c>
      <c r="C447" s="141" t="inlineStr">
        <is>
          <t>GLOY-60006/26-1</t>
        </is>
      </c>
      <c r="D447" s="95">
        <f>IF(OR(ISNUMBER(SEARCH("Pre Delivery",E447)),ISNUMBER(SEARCH("Pre-Delivery",E447)),ISNUMBER(SEARCH("Predelivery",E447)),ISNUMBER(SEARCH("PD -",E447)),ISNUMBER(SEARCH("PD Lubes",E447))),"Pre-Delivery","")</f>
        <v/>
      </c>
      <c r="E447" s="141" t="inlineStr">
        <is>
          <t>SHIPYARD EXTRA OWNER SUPLPY - 10800 CEU LNG PCTC _x0013_ Consilium SMiG Integration</t>
        </is>
      </c>
      <c r="F447" s="141" t="inlineStr">
        <is>
          <t>GVT Electronics</t>
        </is>
      </c>
      <c r="H447" s="141" t="inlineStr">
        <is>
          <t>Spares</t>
        </is>
      </c>
      <c r="L447" s="141" t="inlineStr">
        <is>
          <t>PCTC</t>
        </is>
      </c>
      <c r="M447" s="108" t="inlineStr">
        <is>
          <t xml:space="preserve">#N/A </t>
        </is>
      </c>
      <c r="N447" s="108" t="inlineStr">
        <is>
          <t xml:space="preserve">#N/A </t>
        </is>
      </c>
      <c r="O447" s="108" t="inlineStr">
        <is>
          <t xml:space="preserve">#N/A </t>
        </is>
      </c>
      <c r="P447" s="123" t="inlineStr">
        <is>
          <t xml:space="preserve">#N/A </t>
        </is>
      </c>
    </row>
    <row r="448">
      <c r="A448" s="95" t="inlineStr">
        <is>
          <t>Glovis Loyal</t>
        </is>
      </c>
      <c r="C448" s="141" t="inlineStr">
        <is>
          <t>GLOY-60007/26-1</t>
        </is>
      </c>
      <c r="D448" s="95">
        <f>IF(OR(ISNUMBER(SEARCH("Pre Delivery",E448)),ISNUMBER(SEARCH("Pre-Delivery",E448)),ISNUMBER(SEARCH("Predelivery",E448)),ISNUMBER(SEARCH("PD -",E448)),ISNUMBER(SEARCH("PD Lubes",E448))),"Pre-Delivery","")</f>
        <v/>
      </c>
      <c r="E448" s="141" t="inlineStr">
        <is>
          <t>FS-LENOVO-Loyal</t>
        </is>
      </c>
      <c r="F448" s="141" t="inlineStr">
        <is>
          <t>Navigation - HiNAS SVM</t>
        </is>
      </c>
      <c r="H448" s="141" t="inlineStr">
        <is>
          <t>Spares</t>
        </is>
      </c>
      <c r="L448" s="141" t="inlineStr">
        <is>
          <t>PCTC</t>
        </is>
      </c>
      <c r="M448" s="108" t="inlineStr">
        <is>
          <t xml:space="preserve">#N/A </t>
        </is>
      </c>
      <c r="N448" s="108" t="inlineStr">
        <is>
          <t xml:space="preserve">#N/A </t>
        </is>
      </c>
      <c r="O448" s="108" t="inlineStr">
        <is>
          <t xml:space="preserve">#N/A </t>
        </is>
      </c>
      <c r="P448" s="123" t="inlineStr">
        <is>
          <t xml:space="preserve">#N/A </t>
        </is>
      </c>
    </row>
    <row r="449">
      <c r="A449" s="95" t="inlineStr">
        <is>
          <t>Glovis Loyal</t>
        </is>
      </c>
      <c r="C449" s="141" t="inlineStr">
        <is>
          <t>GLOY-60008/26-1</t>
        </is>
      </c>
      <c r="D449" s="95">
        <f>IF(OR(ISNUMBER(SEARCH("Pre Delivery",E449)),ISNUMBER(SEARCH("Pre-Delivery",E449)),ISNUMBER(SEARCH("Predelivery",E449)),ISNUMBER(SEARCH("PD -",E449)),ISNUMBER(SEARCH("PD Lubes",E449))),"Pre-Delivery","")</f>
        <v/>
      </c>
      <c r="E449" s="141" t="inlineStr">
        <is>
          <t>Reliability Spares - 10,8K CEU SWS - GVT- Eltronic</t>
        </is>
      </c>
      <c r="F449" s="141" t="inlineStr">
        <is>
          <t>Communications - VLINK Cable</t>
        </is>
      </c>
      <c r="H449" s="141" t="inlineStr">
        <is>
          <t>Spares</t>
        </is>
      </c>
      <c r="L449" s="141" t="inlineStr">
        <is>
          <t>PCTC</t>
        </is>
      </c>
      <c r="M449" s="108" t="inlineStr">
        <is>
          <t xml:space="preserve">#N/A </t>
        </is>
      </c>
      <c r="N449" s="108" t="inlineStr">
        <is>
          <t xml:space="preserve">#N/A </t>
        </is>
      </c>
      <c r="O449" s="108" t="inlineStr">
        <is>
          <t xml:space="preserve">#N/A </t>
        </is>
      </c>
      <c r="P449" s="123" t="inlineStr">
        <is>
          <t xml:space="preserve">#N/A </t>
        </is>
      </c>
    </row>
    <row r="450">
      <c r="A450" s="95" t="inlineStr">
        <is>
          <t>Glovis Loyal</t>
        </is>
      </c>
      <c r="C450" s="141" t="inlineStr">
        <is>
          <t>GLOY-60009/26-1</t>
        </is>
      </c>
      <c r="D450" s="95">
        <f>IF(OR(ISNUMBER(SEARCH("Pre Delivery",E450)),ISNUMBER(SEARCH("Pre-Delivery",E450)),ISNUMBER(SEARCH("Predelivery",E450)),ISNUMBER(SEARCH("PD -",E450)),ISNUMBER(SEARCH("PD Lubes",E450))),"Pre-Delivery","")</f>
        <v/>
      </c>
      <c r="E450" s="141" t="inlineStr">
        <is>
          <t>Shipyard Extra Buyers Supply - Hinas SVM SEASPAN 10.8K PCTC</t>
        </is>
      </c>
      <c r="F450" s="141" t="inlineStr">
        <is>
          <t>IT Equipment - ITBP Cables</t>
        </is>
      </c>
      <c r="H450" s="141" t="inlineStr">
        <is>
          <t>Spares</t>
        </is>
      </c>
      <c r="L450" s="141" t="inlineStr">
        <is>
          <t>PCTC</t>
        </is>
      </c>
      <c r="M450" s="108" t="inlineStr">
        <is>
          <t xml:space="preserve">#N/A </t>
        </is>
      </c>
      <c r="N450" s="108" t="inlineStr">
        <is>
          <t xml:space="preserve">#N/A </t>
        </is>
      </c>
      <c r="O450" s="108" t="inlineStr">
        <is>
          <t xml:space="preserve">#N/A </t>
        </is>
      </c>
      <c r="P450" s="123" t="inlineStr">
        <is>
          <t xml:space="preserve">#N/A </t>
        </is>
      </c>
    </row>
    <row r="451">
      <c r="A451" s="95" t="inlineStr">
        <is>
          <t>Glovis Loyal</t>
        </is>
      </c>
      <c r="C451" s="141" t="inlineStr">
        <is>
          <t>GLOY-60010/26-1</t>
        </is>
      </c>
      <c r="D451" s="95">
        <f>IF(OR(ISNUMBER(SEARCH("Pre Delivery",E451)),ISNUMBER(SEARCH("Pre-Delivery",E451)),ISNUMBER(SEARCH("Predelivery",E451)),ISNUMBER(SEARCH("PD -",E451)),ISNUMBER(SEARCH("PD Lubes",E451))),"Pre-Delivery","")</f>
        <v/>
      </c>
      <c r="E451" s="141" t="inlineStr">
        <is>
          <t>FS-VLINK CABLE</t>
        </is>
      </c>
      <c r="F451" s="141" t="inlineStr">
        <is>
          <t>IT Equipment - ITBP Additional Items</t>
        </is>
      </c>
      <c r="H451" s="141" t="inlineStr">
        <is>
          <t>Spares</t>
        </is>
      </c>
      <c r="L451" s="141" t="inlineStr">
        <is>
          <t>PCTC</t>
        </is>
      </c>
      <c r="M451" s="108" t="inlineStr">
        <is>
          <t xml:space="preserve">#N/A </t>
        </is>
      </c>
      <c r="N451" s="108" t="inlineStr">
        <is>
          <t xml:space="preserve">#N/A </t>
        </is>
      </c>
      <c r="O451" s="108" t="inlineStr">
        <is>
          <t xml:space="preserve">#N/A </t>
        </is>
      </c>
      <c r="P451" s="123" t="inlineStr">
        <is>
          <t xml:space="preserve">#N/A </t>
        </is>
      </c>
    </row>
    <row r="452">
      <c r="A452" s="95" t="inlineStr">
        <is>
          <t>Glovis Loyal</t>
        </is>
      </c>
      <c r="C452" s="141" t="inlineStr">
        <is>
          <t>GLOY-60012/26-1</t>
        </is>
      </c>
      <c r="D452" s="95">
        <f>IF(OR(ISNUMBER(SEARCH("Pre Delivery",E452)),ISNUMBER(SEARCH("Pre-Delivery",E452)),ISNUMBER(SEARCH("Predelivery",E452)),ISNUMBER(SEARCH("PD -",E452)),ISNUMBER(SEARCH("PD Lubes",E452))),"Pre-Delivery","")</f>
        <v/>
      </c>
      <c r="E452" s="141" t="inlineStr">
        <is>
          <t>FS-ITBP CABLES</t>
        </is>
      </c>
      <c r="F452" s="141" t="inlineStr">
        <is>
          <t>IT Equipment - ITBP Lab Kit</t>
        </is>
      </c>
      <c r="H452" s="141" t="inlineStr">
        <is>
          <t>Spares</t>
        </is>
      </c>
      <c r="L452" s="141" t="inlineStr">
        <is>
          <t>PCTC</t>
        </is>
      </c>
      <c r="M452" s="108" t="inlineStr">
        <is>
          <t xml:space="preserve">#N/A </t>
        </is>
      </c>
      <c r="N452" s="108" t="inlineStr">
        <is>
          <t xml:space="preserve">#N/A </t>
        </is>
      </c>
      <c r="O452" s="108" t="inlineStr">
        <is>
          <t xml:space="preserve">#N/A </t>
        </is>
      </c>
      <c r="P452" s="123" t="inlineStr">
        <is>
          <t xml:space="preserve">#N/A </t>
        </is>
      </c>
    </row>
    <row r="453">
      <c r="A453" s="95" t="inlineStr">
        <is>
          <t>Glovis Loyal</t>
        </is>
      </c>
      <c r="C453" s="141" t="inlineStr">
        <is>
          <t>GLOY-60013/26-1</t>
        </is>
      </c>
      <c r="D453" s="95">
        <f>IF(OR(ISNUMBER(SEARCH("Pre Delivery",E453)),ISNUMBER(SEARCH("Pre-Delivery",E453)),ISNUMBER(SEARCH("Predelivery",E453)),ISNUMBER(SEARCH("PD -",E453)),ISNUMBER(SEARCH("PD Lubes",E453))),"Pre-Delivery","")</f>
        <v/>
      </c>
      <c r="E453" s="141" t="inlineStr">
        <is>
          <t>FS-ITBP Additional Item</t>
        </is>
      </c>
      <c r="F453" s="141" t="inlineStr">
        <is>
          <t>IT Equipment - ITBP Additional Items</t>
        </is>
      </c>
      <c r="H453" s="141" t="inlineStr">
        <is>
          <t>Spares</t>
        </is>
      </c>
      <c r="L453" s="141" t="inlineStr">
        <is>
          <t>PCTC</t>
        </is>
      </c>
      <c r="M453" s="108" t="inlineStr">
        <is>
          <t xml:space="preserve">#N/A </t>
        </is>
      </c>
      <c r="N453" s="108" t="inlineStr">
        <is>
          <t xml:space="preserve">#N/A </t>
        </is>
      </c>
      <c r="O453" s="108" t="inlineStr">
        <is>
          <t xml:space="preserve">#N/A </t>
        </is>
      </c>
      <c r="P453" s="123" t="inlineStr">
        <is>
          <t xml:space="preserve">#N/A </t>
        </is>
      </c>
    </row>
    <row r="454">
      <c r="A454" s="95" t="inlineStr">
        <is>
          <t>Glovis Loyal</t>
        </is>
      </c>
      <c r="C454" s="141" t="inlineStr">
        <is>
          <t>GLOY-60014/26-1</t>
        </is>
      </c>
      <c r="D454" s="95">
        <f>IF(OR(ISNUMBER(SEARCH("Pre Delivery",E454)),ISNUMBER(SEARCH("Pre-Delivery",E454)),ISNUMBER(SEARCH("Predelivery",E454)),ISNUMBER(SEARCH("PD -",E454)),ISNUMBER(SEARCH("PD Lubes",E454))),"Pre-Delivery","")</f>
        <v/>
      </c>
      <c r="E454" s="141" t="inlineStr">
        <is>
          <t>FS-ITBP MISC LAB KIT</t>
        </is>
      </c>
      <c r="F454" s="141" t="inlineStr">
        <is>
          <t>Lubricants</t>
        </is>
      </c>
      <c r="H454" s="141" t="inlineStr">
        <is>
          <t>Spares</t>
        </is>
      </c>
      <c r="L454" s="141" t="inlineStr">
        <is>
          <t>PCTC</t>
        </is>
      </c>
      <c r="M454" s="108" t="inlineStr">
        <is>
          <t xml:space="preserve">#N/A </t>
        </is>
      </c>
      <c r="N454" s="108" t="inlineStr">
        <is>
          <t xml:space="preserve">#N/A </t>
        </is>
      </c>
      <c r="O454" s="108" t="inlineStr">
        <is>
          <t xml:space="preserve">#N/A </t>
        </is>
      </c>
      <c r="P454" s="123" t="inlineStr">
        <is>
          <t xml:space="preserve">#N/A </t>
        </is>
      </c>
    </row>
    <row r="455">
      <c r="A455" s="95" t="inlineStr">
        <is>
          <t>Glovis Loyal</t>
        </is>
      </c>
      <c r="C455" s="141" t="inlineStr">
        <is>
          <t>GLOY-60016/26</t>
        </is>
      </c>
      <c r="D455" s="95">
        <f>IF(OR(ISNUMBER(SEARCH("Pre Delivery",E455)),ISNUMBER(SEARCH("Pre-Delivery",E455)),ISNUMBER(SEARCH("Predelivery",E455)),ISNUMBER(SEARCH("PD -",E455)),ISNUMBER(SEARCH("PD Lubes",E455))),"Pre-Delivery","")</f>
        <v/>
      </c>
      <c r="E455" s="141" t="inlineStr">
        <is>
          <t>Reliability Spares - PCTC-Seaspan - Boilers QUOT26012103</t>
        </is>
      </c>
      <c r="F455" s="141" t="inlineStr">
        <is>
          <t>Gas Detection System</t>
        </is>
      </c>
      <c r="H455" s="141" t="inlineStr">
        <is>
          <t>Spares</t>
        </is>
      </c>
      <c r="L455" s="141" t="inlineStr">
        <is>
          <t>PCTC</t>
        </is>
      </c>
      <c r="M455" s="108" t="inlineStr">
        <is>
          <t xml:space="preserve">#N/A </t>
        </is>
      </c>
      <c r="N455" s="108" t="inlineStr">
        <is>
          <t xml:space="preserve">#N/A </t>
        </is>
      </c>
      <c r="O455" s="108" t="inlineStr">
        <is>
          <t xml:space="preserve">#N/A </t>
        </is>
      </c>
      <c r="P455" s="123" t="inlineStr">
        <is>
          <t xml:space="preserve">#N/A </t>
        </is>
      </c>
    </row>
    <row r="456">
      <c r="A456" s="95" t="inlineStr">
        <is>
          <t>Glovis Loyal</t>
        </is>
      </c>
      <c r="C456" s="141" t="inlineStr">
        <is>
          <t>GLOY-60017/26-1</t>
        </is>
      </c>
      <c r="D456" s="95">
        <f>IF(OR(ISNUMBER(SEARCH("Pre Delivery",E456)),ISNUMBER(SEARCH("Pre-Delivery",E456)),ISNUMBER(SEARCH("Predelivery",E456)),ISNUMBER(SEARCH("PD -",E456)),ISNUMBER(SEARCH("PD Lubes",E456))),"Pre-Delivery","")</f>
        <v/>
      </c>
      <c r="E456" s="141" t="inlineStr">
        <is>
          <t>PD - RSC Envirologic</t>
        </is>
      </c>
      <c r="F456" s="141" t="inlineStr">
        <is>
          <t>Fire Detection System</t>
        </is>
      </c>
      <c r="H456" s="141" t="inlineStr">
        <is>
          <t>Spares</t>
        </is>
      </c>
      <c r="L456" s="141" t="inlineStr">
        <is>
          <t>PCTC</t>
        </is>
      </c>
      <c r="M456" s="108" t="inlineStr">
        <is>
          <t xml:space="preserve">#N/A </t>
        </is>
      </c>
      <c r="N456" s="108" t="inlineStr">
        <is>
          <t xml:space="preserve">#N/A </t>
        </is>
      </c>
      <c r="O456" s="108" t="inlineStr">
        <is>
          <t xml:space="preserve">#N/A </t>
        </is>
      </c>
      <c r="P456" s="123" t="inlineStr">
        <is>
          <t xml:space="preserve">#N/A </t>
        </is>
      </c>
    </row>
    <row r="457">
      <c r="A457" s="95" t="inlineStr">
        <is>
          <t>Glovis Loyal</t>
        </is>
      </c>
      <c r="C457" s="141" t="inlineStr">
        <is>
          <t>GLOY-60018/26-1</t>
        </is>
      </c>
      <c r="D457" s="95">
        <f>IF(OR(ISNUMBER(SEARCH("Pre Delivery",E457)),ISNUMBER(SEARCH("Pre-Delivery",E457)),ISNUMBER(SEARCH("Predelivery",E457)),ISNUMBER(SEARCH("PD -",E457)),ISNUMBER(SEARCH("PD Lubes",E457))),"Pre-Delivery","")</f>
        <v/>
      </c>
      <c r="E457" s="141" t="inlineStr">
        <is>
          <t>Reliabiltiy Spares - Gas Detection System</t>
        </is>
      </c>
      <c r="F457" s="141" t="inlineStr">
        <is>
          <t>Oil Skimmers - Abanaki</t>
        </is>
      </c>
      <c r="H457" s="141" t="inlineStr">
        <is>
          <t>Spares</t>
        </is>
      </c>
      <c r="L457" s="141" t="inlineStr">
        <is>
          <t>PCTC</t>
        </is>
      </c>
      <c r="M457" s="108" t="inlineStr">
        <is>
          <t xml:space="preserve">#N/A </t>
        </is>
      </c>
      <c r="N457" s="108" t="inlineStr">
        <is>
          <t xml:space="preserve">#N/A </t>
        </is>
      </c>
      <c r="O457" s="108" t="inlineStr">
        <is>
          <t xml:space="preserve">#N/A </t>
        </is>
      </c>
      <c r="P457" s="123" t="inlineStr">
        <is>
          <t xml:space="preserve">#N/A </t>
        </is>
      </c>
    </row>
    <row r="458">
      <c r="A458" s="95" t="inlineStr">
        <is>
          <t>Glovis Loyal</t>
        </is>
      </c>
      <c r="C458" s="141" t="inlineStr">
        <is>
          <t>GLOY-60019/26-1</t>
        </is>
      </c>
      <c r="D458" s="95">
        <f>IF(OR(ISNUMBER(SEARCH("Pre Delivery",E458)),ISNUMBER(SEARCH("Pre-Delivery",E458)),ISNUMBER(SEARCH("Predelivery",E458)),ISNUMBER(SEARCH("PD -",E458)),ISNUMBER(SEARCH("PD Lubes",E458))),"Pre-Delivery","")</f>
        <v/>
      </c>
      <c r="E458" s="141" t="inlineStr">
        <is>
          <t>Reliability Spares - Fire detection system</t>
        </is>
      </c>
      <c r="F458" s="141" t="inlineStr">
        <is>
          <t>Garbage Compactor</t>
        </is>
      </c>
      <c r="H458" s="141" t="inlineStr">
        <is>
          <t>Spares</t>
        </is>
      </c>
      <c r="L458" s="141" t="inlineStr">
        <is>
          <t>PCTC</t>
        </is>
      </c>
      <c r="M458" s="108" t="inlineStr">
        <is>
          <t xml:space="preserve">#N/A </t>
        </is>
      </c>
      <c r="N458" s="108" t="inlineStr">
        <is>
          <t xml:space="preserve">#N/A </t>
        </is>
      </c>
      <c r="O458" s="108" t="inlineStr">
        <is>
          <t xml:space="preserve">#N/A </t>
        </is>
      </c>
      <c r="P458" s="123" t="inlineStr">
        <is>
          <t xml:space="preserve">#N/A </t>
        </is>
      </c>
    </row>
    <row r="459">
      <c r="A459" s="95" t="inlineStr">
        <is>
          <t>Glovis Loyal</t>
        </is>
      </c>
      <c r="C459" s="141" t="inlineStr">
        <is>
          <t>GLOY-60020/26-1</t>
        </is>
      </c>
      <c r="D459" s="95">
        <f>IF(OR(ISNUMBER(SEARCH("Pre Delivery",E459)),ISNUMBER(SEARCH("Pre-Delivery",E459)),ISNUMBER(SEARCH("Predelivery",E459)),ISNUMBER(SEARCH("PD -",E459)),ISNUMBER(SEARCH("PD Lubes",E459))),"Pre-Delivery","")</f>
        <v/>
      </c>
      <c r="E459" s="141" t="inlineStr">
        <is>
          <t>SHIPYARD EXTRA OWNER SUPPLY- Abanaki Skimmers</t>
        </is>
      </c>
      <c r="F459" s="141" t="inlineStr">
        <is>
          <t>Cryogenic PPE</t>
        </is>
      </c>
      <c r="H459" s="141" t="inlineStr">
        <is>
          <t>Spares</t>
        </is>
      </c>
      <c r="L459" s="141" t="inlineStr">
        <is>
          <t>PCTC</t>
        </is>
      </c>
      <c r="M459" s="108" t="inlineStr">
        <is>
          <t xml:space="preserve">#N/A </t>
        </is>
      </c>
      <c r="N459" s="108" t="inlineStr">
        <is>
          <t xml:space="preserve">#N/A </t>
        </is>
      </c>
      <c r="O459" s="108" t="inlineStr">
        <is>
          <t xml:space="preserve">#N/A </t>
        </is>
      </c>
      <c r="P459" s="123" t="inlineStr">
        <is>
          <t xml:space="preserve">#N/A </t>
        </is>
      </c>
    </row>
    <row r="460">
      <c r="A460" s="95" t="inlineStr">
        <is>
          <t>Glovis Loyal</t>
        </is>
      </c>
      <c r="C460" s="141" t="inlineStr">
        <is>
          <t>GLOY-60021/26-1</t>
        </is>
      </c>
      <c r="D460" s="95">
        <f>IF(OR(ISNUMBER(SEARCH("Pre Delivery",E460)),ISNUMBER(SEARCH("Pre-Delivery",E460)),ISNUMBER(SEARCH("Predelivery",E460)),ISNUMBER(SEARCH("PD -",E460)),ISNUMBER(SEARCH("PD Lubes",E460))),"Pre-Delivery","")</f>
        <v/>
      </c>
      <c r="E460" s="141" t="inlineStr">
        <is>
          <t>Pre Delivery - Garbage Compactor</t>
        </is>
      </c>
      <c r="F460" s="141" t="inlineStr">
        <is>
          <t>Sample Cooler</t>
        </is>
      </c>
      <c r="H460" s="141" t="inlineStr">
        <is>
          <t>Spares</t>
        </is>
      </c>
      <c r="L460" s="141" t="inlineStr">
        <is>
          <t>PCTC</t>
        </is>
      </c>
      <c r="M460" s="108" t="inlineStr">
        <is>
          <t xml:space="preserve">#N/A </t>
        </is>
      </c>
      <c r="N460" s="108" t="inlineStr">
        <is>
          <t xml:space="preserve">#N/A </t>
        </is>
      </c>
      <c r="O460" s="108" t="inlineStr">
        <is>
          <t xml:space="preserve">#N/A </t>
        </is>
      </c>
      <c r="P460" s="123" t="inlineStr">
        <is>
          <t xml:space="preserve">#N/A </t>
        </is>
      </c>
    </row>
    <row r="461">
      <c r="A461" s="95" t="inlineStr">
        <is>
          <t>Glovis Loyal</t>
        </is>
      </c>
      <c r="C461" s="141" t="inlineStr">
        <is>
          <t>GLOY-60022/26-1</t>
        </is>
      </c>
      <c r="D461" s="95">
        <f>IF(OR(ISNUMBER(SEARCH("Pre Delivery",E461)),ISNUMBER(SEARCH("Pre-Delivery",E461)),ISNUMBER(SEARCH("Predelivery",E461)),ISNUMBER(SEARCH("PD -",E461)),ISNUMBER(SEARCH("PD Lubes",E461))),"Pre-Delivery","")</f>
        <v/>
      </c>
      <c r="E461" s="141" t="inlineStr">
        <is>
          <t>Pre Delivery - Cryogenic PPE</t>
        </is>
      </c>
      <c r="F461" s="141" t="inlineStr">
        <is>
          <t>BOG Compressor Spares</t>
        </is>
      </c>
      <c r="H461" s="141" t="inlineStr">
        <is>
          <t>Spares</t>
        </is>
      </c>
      <c r="L461" s="141" t="inlineStr">
        <is>
          <t>PCTC</t>
        </is>
      </c>
      <c r="M461" s="108" t="inlineStr">
        <is>
          <t xml:space="preserve">#N/A </t>
        </is>
      </c>
      <c r="N461" s="108" t="inlineStr">
        <is>
          <t xml:space="preserve">#N/A </t>
        </is>
      </c>
      <c r="O461" s="108" t="inlineStr">
        <is>
          <t xml:space="preserve">#N/A </t>
        </is>
      </c>
      <c r="P461" s="123" t="inlineStr">
        <is>
          <t xml:space="preserve">#N/A </t>
        </is>
      </c>
    </row>
    <row r="462">
      <c r="A462" s="95" t="inlineStr">
        <is>
          <t>Glovis Loyal</t>
        </is>
      </c>
      <c r="C462" s="141" t="inlineStr">
        <is>
          <t>GLOY-60024/26-1</t>
        </is>
      </c>
      <c r="D462" s="95">
        <f>IF(OR(ISNUMBER(SEARCH("Pre Delivery",E462)),ISNUMBER(SEARCH("Pre-Delivery",E462)),ISNUMBER(SEARCH("Predelivery",E462)),ISNUMBER(SEARCH("PD -",E462)),ISNUMBER(SEARCH("PD Lubes",E462))),"Pre-Delivery","")</f>
        <v/>
      </c>
      <c r="E462" s="141" t="inlineStr">
        <is>
          <t>Pre Delivery - Sample Cooler</t>
        </is>
      </c>
      <c r="F462" s="141" t="inlineStr">
        <is>
          <t>Thermal Camera (FLIR)</t>
        </is>
      </c>
      <c r="H462" s="141" t="inlineStr">
        <is>
          <t>Spares</t>
        </is>
      </c>
      <c r="L462" s="141" t="inlineStr">
        <is>
          <t>PCTC</t>
        </is>
      </c>
      <c r="M462" s="108" t="inlineStr">
        <is>
          <t xml:space="preserve">#N/A </t>
        </is>
      </c>
      <c r="N462" s="108" t="inlineStr">
        <is>
          <t xml:space="preserve">#N/A </t>
        </is>
      </c>
      <c r="O462" s="108" t="inlineStr">
        <is>
          <t xml:space="preserve">#N/A </t>
        </is>
      </c>
      <c r="P462" s="123" t="inlineStr">
        <is>
          <t xml:space="preserve">#N/A </t>
        </is>
      </c>
    </row>
    <row r="463">
      <c r="A463" s="95" t="inlineStr">
        <is>
          <t>Glovis Loyal</t>
        </is>
      </c>
      <c r="C463" s="141" t="inlineStr">
        <is>
          <t>GLOY-60025/26-1</t>
        </is>
      </c>
      <c r="D463" s="95">
        <f>IF(OR(ISNUMBER(SEARCH("Pre Delivery",E463)),ISNUMBER(SEARCH("Pre-Delivery",E463)),ISNUMBER(SEARCH("Predelivery",E463)),ISNUMBER(SEARCH("PD -",E463)),ISNUMBER(SEARCH("PD Lubes",E463))),"Pre-Delivery","")</f>
        <v/>
      </c>
      <c r="E463" s="141" t="inlineStr">
        <is>
          <t>Reliability - Donghwa Spares for BOG Compressor</t>
        </is>
      </c>
      <c r="F463" s="141" t="inlineStr">
        <is>
          <t>LNG Operation Manual</t>
        </is>
      </c>
      <c r="H463" s="141" t="inlineStr">
        <is>
          <t>Spares</t>
        </is>
      </c>
      <c r="L463" s="141" t="inlineStr">
        <is>
          <t>PCTC</t>
        </is>
      </c>
      <c r="M463" s="108" t="inlineStr">
        <is>
          <t xml:space="preserve">#N/A </t>
        </is>
      </c>
      <c r="N463" s="108" t="inlineStr">
        <is>
          <t xml:space="preserve">#N/A </t>
        </is>
      </c>
      <c r="O463" s="108" t="inlineStr">
        <is>
          <t xml:space="preserve">#N/A </t>
        </is>
      </c>
      <c r="P463" s="123" t="inlineStr">
        <is>
          <t xml:space="preserve">#N/A </t>
        </is>
      </c>
    </row>
    <row r="464">
      <c r="A464" s="95" t="inlineStr">
        <is>
          <t>Glovis Loyal</t>
        </is>
      </c>
      <c r="C464" s="141" t="inlineStr">
        <is>
          <t>GLOY-60026/26-1</t>
        </is>
      </c>
      <c r="D464" s="95">
        <f>IF(OR(ISNUMBER(SEARCH("Pre Delivery",E464)),ISNUMBER(SEARCH("Pre-Delivery",E464)),ISNUMBER(SEARCH("Predelivery",E464)),ISNUMBER(SEARCH("PD -",E464)),ISNUMBER(SEARCH("PD Lubes",E464))),"Pre-Delivery","")</f>
        <v/>
      </c>
      <c r="E464" s="141" t="inlineStr">
        <is>
          <t>FLIR ESPro and E6 Pro</t>
        </is>
      </c>
      <c r="F464" s="141" t="inlineStr">
        <is>
          <t>IMPA Stores - Stationery</t>
        </is>
      </c>
      <c r="H464" s="141" t="inlineStr">
        <is>
          <t>Spares</t>
        </is>
      </c>
      <c r="L464" s="141" t="inlineStr">
        <is>
          <t>PCTC</t>
        </is>
      </c>
      <c r="M464" s="108" t="inlineStr">
        <is>
          <t xml:space="preserve">#N/A </t>
        </is>
      </c>
      <c r="N464" s="108" t="inlineStr">
        <is>
          <t xml:space="preserve">#N/A </t>
        </is>
      </c>
      <c r="O464" s="108" t="inlineStr">
        <is>
          <t xml:space="preserve">#N/A </t>
        </is>
      </c>
      <c r="P464" s="123" t="inlineStr">
        <is>
          <t xml:space="preserve">#N/A </t>
        </is>
      </c>
    </row>
    <row r="465">
      <c r="A465" s="95" t="inlineStr">
        <is>
          <t>Glovis Loyal</t>
        </is>
      </c>
      <c r="C465" s="141" t="inlineStr">
        <is>
          <t>GLOY-60027/26-1</t>
        </is>
      </c>
      <c r="D465" s="95">
        <f>IF(OR(ISNUMBER(SEARCH("Pre Delivery",E465)),ISNUMBER(SEARCH("Pre-Delivery",E465)),ISNUMBER(SEARCH("Predelivery",E465)),ISNUMBER(SEARCH("PD -",E465)),ISNUMBER(SEARCH("PD Lubes",E465))),"Pre-Delivery","")</f>
        <v/>
      </c>
      <c r="E465" s="141" t="inlineStr">
        <is>
          <t>Service: LNG OPERATION MANUAL Development</t>
        </is>
      </c>
      <c r="F465" s="141" t="inlineStr">
        <is>
          <t>IMPA Stores - SOPEP</t>
        </is>
      </c>
      <c r="H465" s="141" t="inlineStr">
        <is>
          <t>Spares</t>
        </is>
      </c>
      <c r="L465" s="141" t="inlineStr">
        <is>
          <t>PCTC</t>
        </is>
      </c>
      <c r="M465" s="108" t="inlineStr">
        <is>
          <t xml:space="preserve">#N/A </t>
        </is>
      </c>
      <c r="N465" s="108" t="inlineStr">
        <is>
          <t xml:space="preserve">#N/A </t>
        </is>
      </c>
      <c r="O465" s="108" t="inlineStr">
        <is>
          <t xml:space="preserve">#N/A </t>
        </is>
      </c>
      <c r="P465" s="123" t="inlineStr">
        <is>
          <t xml:space="preserve">#N/A </t>
        </is>
      </c>
    </row>
    <row r="466">
      <c r="A466" s="95" t="inlineStr">
        <is>
          <t>Glovis Loyal</t>
        </is>
      </c>
      <c r="D466" s="95">
        <f>IF(OR(ISNUMBER(SEARCH("Pre Delivery",E466)),ISNUMBER(SEARCH("Pre-Delivery",E466)),ISNUMBER(SEARCH("Predelivery",E466)),ISNUMBER(SEARCH("PD -",E466)),ISNUMBER(SEARCH("PD Lubes",E466))),"Pre-Delivery","")</f>
        <v/>
      </c>
      <c r="E466" s="141" t="inlineStr">
        <is>
          <t>Impa Stores Stationery</t>
        </is>
      </c>
      <c r="F466" s="141" t="inlineStr">
        <is>
          <t>IMPA Stores - Deck</t>
        </is>
      </c>
      <c r="H466" s="141" t="inlineStr">
        <is>
          <t>Stores</t>
        </is>
      </c>
      <c r="L466" s="141" t="inlineStr">
        <is>
          <t>PCTC</t>
        </is>
      </c>
      <c r="M466" s="108" t="inlineStr">
        <is>
          <t xml:space="preserve">#N/A </t>
        </is>
      </c>
      <c r="N466" s="108" t="inlineStr">
        <is>
          <t xml:space="preserve">#N/A </t>
        </is>
      </c>
      <c r="O466" s="108" t="inlineStr">
        <is>
          <t xml:space="preserve">#N/A </t>
        </is>
      </c>
      <c r="P466" s="123" t="inlineStr">
        <is>
          <t xml:space="preserve">#N/A </t>
        </is>
      </c>
    </row>
    <row r="467">
      <c r="A467" s="95" t="inlineStr">
        <is>
          <t>Glovis Loyal</t>
        </is>
      </c>
      <c r="D467" s="95">
        <f>IF(OR(ISNUMBER(SEARCH("Pre Delivery",E467)),ISNUMBER(SEARCH("Pre-Delivery",E467)),ISNUMBER(SEARCH("Predelivery",E467)),ISNUMBER(SEARCH("PD -",E467)),ISNUMBER(SEARCH("PD Lubes",E467))),"Pre-Delivery","")</f>
        <v/>
      </c>
      <c r="E467" s="141" t="inlineStr">
        <is>
          <t>Impa Stores - SOPEP</t>
        </is>
      </c>
      <c r="F467" s="141" t="inlineStr">
        <is>
          <t>IMPA Stores - Bridge</t>
        </is>
      </c>
      <c r="H467" s="141" t="inlineStr">
        <is>
          <t>Stores</t>
        </is>
      </c>
      <c r="L467" s="141" t="inlineStr">
        <is>
          <t>PCTC</t>
        </is>
      </c>
      <c r="M467" s="108" t="inlineStr">
        <is>
          <t xml:space="preserve">#N/A </t>
        </is>
      </c>
      <c r="N467" s="108" t="inlineStr">
        <is>
          <t xml:space="preserve">#N/A </t>
        </is>
      </c>
      <c r="O467" s="108" t="inlineStr">
        <is>
          <t xml:space="preserve">#N/A </t>
        </is>
      </c>
      <c r="P467" s="123" t="inlineStr">
        <is>
          <t xml:space="preserve">#N/A </t>
        </is>
      </c>
    </row>
    <row r="468">
      <c r="A468" s="95" t="inlineStr">
        <is>
          <t>Glovis Loyal</t>
        </is>
      </c>
      <c r="D468" s="95">
        <f>IF(OR(ISNUMBER(SEARCH("Pre Delivery",E468)),ISNUMBER(SEARCH("Pre-Delivery",E468)),ISNUMBER(SEARCH("Predelivery",E468)),ISNUMBER(SEARCH("PD -",E468)),ISNUMBER(SEARCH("PD Lubes",E468))),"Pre-Delivery","")</f>
        <v/>
      </c>
      <c r="E468" s="141" t="inlineStr">
        <is>
          <t>Impa Stores - Deck</t>
        </is>
      </c>
      <c r="F468" s="141" t="inlineStr">
        <is>
          <t>IMPA Stores - Gym</t>
        </is>
      </c>
      <c r="H468" s="141" t="inlineStr">
        <is>
          <t>Stores</t>
        </is>
      </c>
      <c r="L468" s="141" t="inlineStr">
        <is>
          <t>PCTC</t>
        </is>
      </c>
      <c r="M468" s="108" t="inlineStr">
        <is>
          <t xml:space="preserve">#N/A </t>
        </is>
      </c>
      <c r="N468" s="108" t="inlineStr">
        <is>
          <t xml:space="preserve">#N/A </t>
        </is>
      </c>
      <c r="O468" s="108" t="inlineStr">
        <is>
          <t xml:space="preserve">#N/A </t>
        </is>
      </c>
      <c r="P468" s="123" t="inlineStr">
        <is>
          <t xml:space="preserve">#N/A </t>
        </is>
      </c>
    </row>
    <row r="469">
      <c r="A469" s="95" t="inlineStr">
        <is>
          <t>Glovis Loyal</t>
        </is>
      </c>
      <c r="D469" s="95">
        <f>IF(OR(ISNUMBER(SEARCH("Pre Delivery",E469)),ISNUMBER(SEARCH("Pre-Delivery",E469)),ISNUMBER(SEARCH("Predelivery",E469)),ISNUMBER(SEARCH("PD -",E469)),ISNUMBER(SEARCH("PD Lubes",E469))),"Pre-Delivery","")</f>
        <v/>
      </c>
      <c r="E469" s="141" t="inlineStr">
        <is>
          <t>Impa Stores - Bridge</t>
        </is>
      </c>
      <c r="F469" s="141" t="inlineStr">
        <is>
          <t>IMPA Stores - Crew</t>
        </is>
      </c>
      <c r="H469" s="141" t="inlineStr">
        <is>
          <t>Stores</t>
        </is>
      </c>
      <c r="L469" s="141" t="inlineStr">
        <is>
          <t>PCTC</t>
        </is>
      </c>
      <c r="M469" s="108" t="inlineStr">
        <is>
          <t xml:space="preserve">#N/A </t>
        </is>
      </c>
      <c r="N469" s="108" t="inlineStr">
        <is>
          <t xml:space="preserve">#N/A </t>
        </is>
      </c>
      <c r="O469" s="108" t="inlineStr">
        <is>
          <t xml:space="preserve">#N/A </t>
        </is>
      </c>
      <c r="P469" s="123" t="inlineStr">
        <is>
          <t xml:space="preserve">#N/A </t>
        </is>
      </c>
    </row>
    <row r="470">
      <c r="A470" s="95" t="inlineStr">
        <is>
          <t>Glovis Loyal</t>
        </is>
      </c>
      <c r="D470" s="95">
        <f>IF(OR(ISNUMBER(SEARCH("Pre Delivery",E470)),ISNUMBER(SEARCH("Pre-Delivery",E470)),ISNUMBER(SEARCH("Predelivery",E470)),ISNUMBER(SEARCH("PD -",E470)),ISNUMBER(SEARCH("PD Lubes",E470))),"Pre-Delivery","")</f>
        <v/>
      </c>
      <c r="E470" s="141" t="inlineStr">
        <is>
          <t>Impa Stores - Gym</t>
        </is>
      </c>
      <c r="F470" s="141" t="inlineStr">
        <is>
          <t>IMPA Stores - Firefighting Equipment</t>
        </is>
      </c>
      <c r="H470" s="141" t="inlineStr">
        <is>
          <t>Stores</t>
        </is>
      </c>
      <c r="L470" s="141" t="inlineStr">
        <is>
          <t>PCTC</t>
        </is>
      </c>
      <c r="M470" s="108" t="inlineStr">
        <is>
          <t xml:space="preserve">#N/A </t>
        </is>
      </c>
      <c r="N470" s="108" t="inlineStr">
        <is>
          <t xml:space="preserve">#N/A </t>
        </is>
      </c>
      <c r="O470" s="108" t="inlineStr">
        <is>
          <t xml:space="preserve">#N/A </t>
        </is>
      </c>
      <c r="P470" s="123" t="inlineStr">
        <is>
          <t xml:space="preserve">#N/A </t>
        </is>
      </c>
    </row>
    <row r="471">
      <c r="A471" s="95" t="inlineStr">
        <is>
          <t>Glovis Loyal</t>
        </is>
      </c>
      <c r="D471" s="95">
        <f>IF(OR(ISNUMBER(SEARCH("Pre Delivery",E471)),ISNUMBER(SEARCH("Pre-Delivery",E471)),ISNUMBER(SEARCH("Predelivery",E471)),ISNUMBER(SEARCH("PD -",E471)),ISNUMBER(SEARCH("PD Lubes",E471))),"Pre-Delivery","")</f>
        <v/>
      </c>
      <c r="E471" s="141" t="inlineStr">
        <is>
          <t>Impa Stores - Crew</t>
        </is>
      </c>
      <c r="F471" s="141" t="inlineStr">
        <is>
          <t>IMPA Stores - Company Stationery</t>
        </is>
      </c>
      <c r="H471" s="141" t="inlineStr">
        <is>
          <t>Stores</t>
        </is>
      </c>
      <c r="L471" s="141" t="inlineStr">
        <is>
          <t>PCTC</t>
        </is>
      </c>
      <c r="M471" s="108" t="inlineStr">
        <is>
          <t xml:space="preserve">#N/A </t>
        </is>
      </c>
      <c r="N471" s="108" t="inlineStr">
        <is>
          <t xml:space="preserve">#N/A </t>
        </is>
      </c>
      <c r="O471" s="108" t="inlineStr">
        <is>
          <t xml:space="preserve">#N/A </t>
        </is>
      </c>
      <c r="P471" s="123" t="inlineStr">
        <is>
          <t xml:space="preserve">#N/A </t>
        </is>
      </c>
    </row>
    <row r="472">
      <c r="A472" s="95" t="inlineStr">
        <is>
          <t>Glovis Loyal</t>
        </is>
      </c>
      <c r="D472" s="95">
        <f>IF(OR(ISNUMBER(SEARCH("Pre Delivery",E472)),ISNUMBER(SEARCH("Pre-Delivery",E472)),ISNUMBER(SEARCH("Predelivery",E472)),ISNUMBER(SEARCH("PD -",E472)),ISNUMBER(SEARCH("PD Lubes",E472))),"Pre-Delivery","")</f>
        <v/>
      </c>
      <c r="E472" s="141" t="inlineStr">
        <is>
          <t>Impa Stores - FFE</t>
        </is>
      </c>
      <c r="F472" s="141" t="inlineStr">
        <is>
          <t>IMPA Stores - BA Compressor</t>
        </is>
      </c>
      <c r="H472" s="141" t="inlineStr">
        <is>
          <t>Stores</t>
        </is>
      </c>
      <c r="L472" s="141" t="inlineStr">
        <is>
          <t>PCTC</t>
        </is>
      </c>
      <c r="M472" s="108" t="inlineStr">
        <is>
          <t xml:space="preserve">#N/A </t>
        </is>
      </c>
      <c r="N472" s="108" t="inlineStr">
        <is>
          <t xml:space="preserve">#N/A </t>
        </is>
      </c>
      <c r="O472" s="108" t="inlineStr">
        <is>
          <t xml:space="preserve">#N/A </t>
        </is>
      </c>
      <c r="P472" s="123" t="inlineStr">
        <is>
          <t xml:space="preserve">#N/A </t>
        </is>
      </c>
    </row>
    <row r="473">
      <c r="A473" s="95" t="inlineStr">
        <is>
          <t>Glovis Loyal</t>
        </is>
      </c>
      <c r="D473" s="95">
        <f>IF(OR(ISNUMBER(SEARCH("Pre Delivery",E473)),ISNUMBER(SEARCH("Pre-Delivery",E473)),ISNUMBER(SEARCH("Predelivery",E473)),ISNUMBER(SEARCH("PD -",E473)),ISNUMBER(SEARCH("PD Lubes",E473))),"Pre-Delivery","")</f>
        <v/>
      </c>
      <c r="E473" s="141" t="inlineStr">
        <is>
          <t>Impa Stores - Company Stationery</t>
        </is>
      </c>
      <c r="F473" s="141" t="inlineStr">
        <is>
          <t>IMPA Stores - Accommodation</t>
        </is>
      </c>
      <c r="H473" s="141" t="inlineStr">
        <is>
          <t>Stores</t>
        </is>
      </c>
      <c r="L473" s="141" t="inlineStr">
        <is>
          <t>PCTC</t>
        </is>
      </c>
      <c r="M473" s="108" t="inlineStr">
        <is>
          <t xml:space="preserve">#N/A </t>
        </is>
      </c>
      <c r="N473" s="108" t="inlineStr">
        <is>
          <t xml:space="preserve">#N/A </t>
        </is>
      </c>
      <c r="O473" s="108" t="inlineStr">
        <is>
          <t xml:space="preserve">#N/A </t>
        </is>
      </c>
      <c r="P473" s="123" t="inlineStr">
        <is>
          <t xml:space="preserve">#N/A </t>
        </is>
      </c>
    </row>
    <row r="474">
      <c r="A474" s="95" t="inlineStr">
        <is>
          <t>Glovis Loyal</t>
        </is>
      </c>
      <c r="D474" s="95">
        <f>IF(OR(ISNUMBER(SEARCH("Pre Delivery",E474)),ISNUMBER(SEARCH("Pre-Delivery",E474)),ISNUMBER(SEARCH("Predelivery",E474)),ISNUMBER(SEARCH("PD -",E474)),ISNUMBER(SEARCH("PD Lubes",E474))),"Pre-Delivery","")</f>
        <v/>
      </c>
      <c r="E474" s="141" t="inlineStr">
        <is>
          <t>Impa Stores - BA Compressor</t>
        </is>
      </c>
      <c r="F474" s="141" t="inlineStr">
        <is>
          <t>IMPA Stores - Galley</t>
        </is>
      </c>
      <c r="H474" s="141" t="inlineStr">
        <is>
          <t>Stores</t>
        </is>
      </c>
      <c r="L474" s="141" t="inlineStr">
        <is>
          <t>PCTC</t>
        </is>
      </c>
      <c r="M474" s="108" t="inlineStr">
        <is>
          <t xml:space="preserve">#N/A </t>
        </is>
      </c>
      <c r="N474" s="108" t="inlineStr">
        <is>
          <t xml:space="preserve">#N/A </t>
        </is>
      </c>
      <c r="O474" s="108" t="inlineStr">
        <is>
          <t xml:space="preserve">#N/A </t>
        </is>
      </c>
      <c r="P474" s="123" t="inlineStr">
        <is>
          <t xml:space="preserve">#N/A </t>
        </is>
      </c>
    </row>
    <row r="475">
      <c r="A475" s="95" t="inlineStr">
        <is>
          <t>Glovis Loyal</t>
        </is>
      </c>
      <c r="D475" s="95">
        <f>IF(OR(ISNUMBER(SEARCH("Pre Delivery",E475)),ISNUMBER(SEARCH("Pre-Delivery",E475)),ISNUMBER(SEARCH("Predelivery",E475)),ISNUMBER(SEARCH("PD -",E475)),ISNUMBER(SEARCH("PD Lubes",E475))),"Pre-Delivery","")</f>
        <v/>
      </c>
      <c r="E475" s="141" t="inlineStr">
        <is>
          <t>Impa Stores - ACC</t>
        </is>
      </c>
      <c r="F475" s="141" t="inlineStr">
        <is>
          <t>IMPA Stores - Engine</t>
        </is>
      </c>
      <c r="H475" s="141" t="inlineStr">
        <is>
          <t>Stores</t>
        </is>
      </c>
      <c r="L475" s="141" t="inlineStr">
        <is>
          <t>PCTC</t>
        </is>
      </c>
      <c r="M475" s="108" t="inlineStr">
        <is>
          <t xml:space="preserve">#N/A </t>
        </is>
      </c>
      <c r="N475" s="108" t="inlineStr">
        <is>
          <t xml:space="preserve">#N/A </t>
        </is>
      </c>
      <c r="O475" s="108" t="inlineStr">
        <is>
          <t xml:space="preserve">#N/A </t>
        </is>
      </c>
      <c r="P475" s="123" t="inlineStr">
        <is>
          <t xml:space="preserve">#N/A </t>
        </is>
      </c>
    </row>
    <row r="476">
      <c r="A476" s="95" t="inlineStr">
        <is>
          <t>Glovis Loyal</t>
        </is>
      </c>
      <c r="D476" s="95">
        <f>IF(OR(ISNUMBER(SEARCH("Pre Delivery",E476)),ISNUMBER(SEARCH("Pre-Delivery",E476)),ISNUMBER(SEARCH("Predelivery",E476)),ISNUMBER(SEARCH("PD -",E476)),ISNUMBER(SEARCH("PD Lubes",E476))),"Pre-Delivery","")</f>
        <v/>
      </c>
      <c r="E476" s="141" t="inlineStr">
        <is>
          <t>Impa Stores - Galley</t>
        </is>
      </c>
      <c r="F476" s="141" t="inlineStr">
        <is>
          <t>IMPA Stores - Engine</t>
        </is>
      </c>
      <c r="H476" s="141" t="inlineStr">
        <is>
          <t>Stores</t>
        </is>
      </c>
      <c r="L476" s="141" t="inlineStr">
        <is>
          <t>PCTC</t>
        </is>
      </c>
      <c r="M476" s="108" t="inlineStr">
        <is>
          <t xml:space="preserve">#N/A </t>
        </is>
      </c>
      <c r="N476" s="108" t="inlineStr">
        <is>
          <t xml:space="preserve">#N/A </t>
        </is>
      </c>
      <c r="O476" s="108" t="inlineStr">
        <is>
          <t xml:space="preserve">#N/A </t>
        </is>
      </c>
      <c r="P476" s="123" t="inlineStr">
        <is>
          <t xml:space="preserve">#N/A </t>
        </is>
      </c>
    </row>
    <row r="477">
      <c r="A477" s="95" t="inlineStr">
        <is>
          <t>Glovis Loyal</t>
        </is>
      </c>
      <c r="D477" s="95">
        <f>IF(OR(ISNUMBER(SEARCH("Pre Delivery",E477)),ISNUMBER(SEARCH("Pre-Delivery",E477)),ISNUMBER(SEARCH("Predelivery",E477)),ISNUMBER(SEARCH("PD -",E477)),ISNUMBER(SEARCH("PD Lubes",E477))),"Pre-Delivery","")</f>
        <v/>
      </c>
      <c r="E477" s="141" t="inlineStr">
        <is>
          <t>Impa Stores - Engine</t>
        </is>
      </c>
      <c r="F477" s="141" t="inlineStr">
        <is>
          <t>IMPA Stores - Engine</t>
        </is>
      </c>
      <c r="H477" s="141" t="inlineStr">
        <is>
          <t>Stores</t>
        </is>
      </c>
      <c r="L477" s="141" t="inlineStr">
        <is>
          <t>PCTC</t>
        </is>
      </c>
      <c r="M477" s="108" t="inlineStr">
        <is>
          <t xml:space="preserve">#N/A </t>
        </is>
      </c>
      <c r="N477" s="108" t="inlineStr">
        <is>
          <t xml:space="preserve">#N/A </t>
        </is>
      </c>
      <c r="O477" s="108" t="inlineStr">
        <is>
          <t xml:space="preserve">#N/A </t>
        </is>
      </c>
      <c r="P477" s="123" t="inlineStr">
        <is>
          <t xml:space="preserve">#N/A </t>
        </is>
      </c>
    </row>
    <row r="478">
      <c r="A478" s="95" t="inlineStr">
        <is>
          <t>Glovis Loyal</t>
        </is>
      </c>
      <c r="D478" s="95">
        <f>IF(OR(ISNUMBER(SEARCH("Pre Delivery",E478)),ISNUMBER(SEARCH("Pre-Delivery",E478)),ISNUMBER(SEARCH("Predelivery",E478)),ISNUMBER(SEARCH("PD -",E478)),ISNUMBER(SEARCH("PD Lubes",E478))),"Pre-Delivery","")</f>
        <v/>
      </c>
      <c r="E478" s="141" t="inlineStr">
        <is>
          <t>Impa Stores - Engine</t>
        </is>
      </c>
      <c r="F478" s="141" t="inlineStr">
        <is>
          <t>IMPA Stores - Engine</t>
        </is>
      </c>
      <c r="H478" s="141" t="inlineStr">
        <is>
          <t>Stores</t>
        </is>
      </c>
      <c r="L478" s="141" t="inlineStr">
        <is>
          <t>PCTC</t>
        </is>
      </c>
      <c r="M478" s="108" t="inlineStr">
        <is>
          <t xml:space="preserve">#N/A </t>
        </is>
      </c>
      <c r="N478" s="108" t="inlineStr">
        <is>
          <t xml:space="preserve">#N/A </t>
        </is>
      </c>
      <c r="O478" s="108" t="inlineStr">
        <is>
          <t xml:space="preserve">#N/A </t>
        </is>
      </c>
      <c r="P478" s="123" t="inlineStr">
        <is>
          <t xml:space="preserve">#N/A </t>
        </is>
      </c>
    </row>
    <row r="479">
      <c r="A479" s="95" t="inlineStr">
        <is>
          <t>Glovis Loyal</t>
        </is>
      </c>
      <c r="D479" s="95">
        <f>IF(OR(ISNUMBER(SEARCH("Pre Delivery",E479)),ISNUMBER(SEARCH("Pre-Delivery",E479)),ISNUMBER(SEARCH("Predelivery",E479)),ISNUMBER(SEARCH("PD -",E479)),ISNUMBER(SEARCH("PD Lubes",E479))),"Pre-Delivery","")</f>
        <v/>
      </c>
      <c r="E479" s="141" t="inlineStr">
        <is>
          <t>Impa Stores - Engine</t>
        </is>
      </c>
      <c r="F479" s="141" t="inlineStr">
        <is>
          <t>IMPA Stores - Electrical</t>
        </is>
      </c>
      <c r="H479" s="141" t="inlineStr">
        <is>
          <t>Stores</t>
        </is>
      </c>
      <c r="L479" s="141" t="inlineStr">
        <is>
          <t>PCTC</t>
        </is>
      </c>
      <c r="M479" s="108" t="inlineStr">
        <is>
          <t xml:space="preserve">#N/A </t>
        </is>
      </c>
      <c r="N479" s="108" t="inlineStr">
        <is>
          <t xml:space="preserve">#N/A </t>
        </is>
      </c>
      <c r="O479" s="108" t="inlineStr">
        <is>
          <t xml:space="preserve">#N/A </t>
        </is>
      </c>
      <c r="P479" s="123" t="inlineStr">
        <is>
          <t xml:space="preserve">#N/A </t>
        </is>
      </c>
    </row>
    <row r="480">
      <c r="A480" s="95" t="inlineStr">
        <is>
          <t>Glovis Loyal</t>
        </is>
      </c>
      <c r="D480" s="95">
        <f>IF(OR(ISNUMBER(SEARCH("Pre Delivery",E480)),ISNUMBER(SEARCH("Pre-Delivery",E480)),ISNUMBER(SEARCH("Predelivery",E480)),ISNUMBER(SEARCH("PD -",E480)),ISNUMBER(SEARCH("PD Lubes",E480))),"Pre-Delivery","")</f>
        <v/>
      </c>
      <c r="E480" s="141" t="inlineStr">
        <is>
          <t>Impa Stores - Engine</t>
        </is>
      </c>
      <c r="F480" s="141" t="inlineStr">
        <is>
          <t>IMPA Stores - General</t>
        </is>
      </c>
      <c r="H480" s="141" t="inlineStr">
        <is>
          <t>Stores</t>
        </is>
      </c>
      <c r="L480" s="141" t="inlineStr">
        <is>
          <t>PCTC</t>
        </is>
      </c>
      <c r="M480" s="108" t="inlineStr">
        <is>
          <t xml:space="preserve">#N/A </t>
        </is>
      </c>
      <c r="N480" s="108" t="inlineStr">
        <is>
          <t xml:space="preserve">#N/A </t>
        </is>
      </c>
      <c r="O480" s="108" t="inlineStr">
        <is>
          <t xml:space="preserve">#N/A </t>
        </is>
      </c>
      <c r="P480" s="123" t="inlineStr">
        <is>
          <t xml:space="preserve">#N/A </t>
        </is>
      </c>
    </row>
    <row r="481">
      <c r="A481" s="95" t="inlineStr">
        <is>
          <t>Glovis Loyal</t>
        </is>
      </c>
      <c r="D481" s="95">
        <f>IF(OR(ISNUMBER(SEARCH("Pre Delivery",E481)),ISNUMBER(SEARCH("Pre-Delivery",E481)),ISNUMBER(SEARCH("Predelivery",E481)),ISNUMBER(SEARCH("PD -",E481)),ISNUMBER(SEARCH("PD Lubes",E481))),"Pre-Delivery","")</f>
        <v/>
      </c>
      <c r="E481" s="141" t="inlineStr">
        <is>
          <t>Impa Stores - Electric</t>
        </is>
      </c>
      <c r="F481" s="141" t="inlineStr">
        <is>
          <t>Ultrasonic Cleaner</t>
        </is>
      </c>
      <c r="H481" s="141" t="inlineStr">
        <is>
          <t>Stores</t>
        </is>
      </c>
      <c r="L481" s="141" t="inlineStr">
        <is>
          <t>PCTC</t>
        </is>
      </c>
      <c r="M481" s="108" t="inlineStr">
        <is>
          <t xml:space="preserve">#N/A </t>
        </is>
      </c>
      <c r="N481" s="108" t="inlineStr">
        <is>
          <t xml:space="preserve">#N/A </t>
        </is>
      </c>
      <c r="O481" s="108" t="inlineStr">
        <is>
          <t xml:space="preserve">#N/A </t>
        </is>
      </c>
      <c r="P481" s="123" t="inlineStr">
        <is>
          <t xml:space="preserve">#N/A </t>
        </is>
      </c>
    </row>
    <row r="482">
      <c r="A482" s="95" t="inlineStr">
        <is>
          <t>Glovis Loyal</t>
        </is>
      </c>
      <c r="D482" s="95">
        <f>IF(OR(ISNUMBER(SEARCH("Pre Delivery",E482)),ISNUMBER(SEARCH("Pre-Delivery",E482)),ISNUMBER(SEARCH("Predelivery",E482)),ISNUMBER(SEARCH("PD -",E482)),ISNUMBER(SEARCH("PD Lubes",E482))),"Pre-Delivery","")</f>
        <v/>
      </c>
      <c r="E482" s="141" t="inlineStr">
        <is>
          <t>Impa Stores - Instrumenation</t>
        </is>
      </c>
      <c r="F482" s="141" t="inlineStr">
        <is>
          <t>OPA 90 Kit</t>
        </is>
      </c>
      <c r="H482" s="141" t="inlineStr">
        <is>
          <t>Stores</t>
        </is>
      </c>
      <c r="L482" s="141" t="inlineStr">
        <is>
          <t>PCTC</t>
        </is>
      </c>
      <c r="M482" s="108" t="inlineStr">
        <is>
          <t xml:space="preserve">#N/A </t>
        </is>
      </c>
      <c r="N482" s="108" t="inlineStr">
        <is>
          <t xml:space="preserve">#N/A </t>
        </is>
      </c>
      <c r="O482" s="108" t="inlineStr">
        <is>
          <t xml:space="preserve">#N/A </t>
        </is>
      </c>
      <c r="P482" s="123" t="inlineStr">
        <is>
          <t xml:space="preserve">#N/A </t>
        </is>
      </c>
    </row>
    <row r="483">
      <c r="A483" s="95" t="inlineStr">
        <is>
          <t>Glovis Loyal</t>
        </is>
      </c>
      <c r="C483" s="141" t="inlineStr">
        <is>
          <t>GLOY-60028/26</t>
        </is>
      </c>
      <c r="D483" s="95">
        <f>IF(OR(ISNUMBER(SEARCH("Pre Delivery",E483)),ISNUMBER(SEARCH("Pre-Delivery",E483)),ISNUMBER(SEARCH("Predelivery",E483)),ISNUMBER(SEARCH("PD -",E483)),ISNUMBER(SEARCH("PD Lubes",E483))),"Pre-Delivery","")</f>
        <v/>
      </c>
      <c r="E483" s="141" t="inlineStr">
        <is>
          <t>Ultrasonic Cleaning system - 230V</t>
        </is>
      </c>
      <c r="F483" s="141" t="inlineStr">
        <is>
          <t>High Pressure Washer</t>
        </is>
      </c>
      <c r="H483" s="141" t="inlineStr">
        <is>
          <t>Stores</t>
        </is>
      </c>
      <c r="L483" s="141" t="inlineStr">
        <is>
          <t>PCTC</t>
        </is>
      </c>
      <c r="M483" s="108" t="inlineStr">
        <is>
          <t xml:space="preserve">#N/A </t>
        </is>
      </c>
      <c r="N483" s="108" t="inlineStr">
        <is>
          <t xml:space="preserve">#N/A </t>
        </is>
      </c>
      <c r="O483" s="108" t="inlineStr">
        <is>
          <t xml:space="preserve">#N/A </t>
        </is>
      </c>
      <c r="P483" s="123" t="inlineStr">
        <is>
          <t xml:space="preserve">#N/A </t>
        </is>
      </c>
    </row>
    <row r="484">
      <c r="A484" s="95" t="inlineStr">
        <is>
          <t>Glovis Loyal</t>
        </is>
      </c>
      <c r="C484" s="141" t="inlineStr">
        <is>
          <t>GLOY-60029/26</t>
        </is>
      </c>
      <c r="D484" s="95">
        <f>IF(OR(ISNUMBER(SEARCH("Pre Delivery",E484)),ISNUMBER(SEARCH("Pre-Delivery",E484)),ISNUMBER(SEARCH("Predelivery",E484)),ISNUMBER(SEARCH("PD -",E484)),ISNUMBER(SEARCH("PD Lubes",E484))),"Pre-Delivery","")</f>
        <v/>
      </c>
      <c r="E484" s="141" t="inlineStr">
        <is>
          <t>OPA 90 KIT - 12-barrel kit</t>
        </is>
      </c>
      <c r="F484" s="141" t="inlineStr">
        <is>
          <t>LOTO Stickers</t>
        </is>
      </c>
      <c r="H484" s="141" t="inlineStr">
        <is>
          <t>Stores</t>
        </is>
      </c>
      <c r="L484" s="141" t="inlineStr">
        <is>
          <t>PCTC</t>
        </is>
      </c>
      <c r="M484" s="108" t="inlineStr">
        <is>
          <t xml:space="preserve">#N/A </t>
        </is>
      </c>
      <c r="N484" s="108" t="inlineStr">
        <is>
          <t xml:space="preserve">#N/A </t>
        </is>
      </c>
      <c r="O484" s="108" t="inlineStr">
        <is>
          <t xml:space="preserve">#N/A </t>
        </is>
      </c>
      <c r="P484" s="123" t="inlineStr">
        <is>
          <t xml:space="preserve">#N/A </t>
        </is>
      </c>
    </row>
    <row r="485">
      <c r="A485" s="95" t="inlineStr">
        <is>
          <t>Glovis Loyal</t>
        </is>
      </c>
      <c r="C485" s="141" t="inlineStr">
        <is>
          <t>GLOY-60030/26</t>
        </is>
      </c>
      <c r="D485" s="95">
        <f>IF(OR(ISNUMBER(SEARCH("Pre Delivery",E485)),ISNUMBER(SEARCH("Pre-Delivery",E485)),ISNUMBER(SEARCH("Predelivery",E485)),ISNUMBER(SEARCH("PD -",E485)),ISNUMBER(SEARCH("PD Lubes",E485))),"Pre-Delivery","")</f>
        <v/>
      </c>
      <c r="E485" s="141" t="inlineStr">
        <is>
          <t>H.P machine - 2pcs (prefer Branded - Karcher/ KEW)</t>
        </is>
      </c>
      <c r="F485" s="141" t="inlineStr">
        <is>
          <t>Steam Splash Suit</t>
        </is>
      </c>
      <c r="H485" s="141" t="inlineStr">
        <is>
          <t>Stores</t>
        </is>
      </c>
      <c r="L485" s="141" t="inlineStr">
        <is>
          <t>PCTC</t>
        </is>
      </c>
      <c r="M485" s="108" t="inlineStr">
        <is>
          <t xml:space="preserve">#N/A </t>
        </is>
      </c>
      <c r="N485" s="108" t="inlineStr">
        <is>
          <t xml:space="preserve">#N/A </t>
        </is>
      </c>
      <c r="O485" s="108" t="inlineStr">
        <is>
          <t xml:space="preserve">#N/A </t>
        </is>
      </c>
      <c r="P485" s="123" t="inlineStr">
        <is>
          <t xml:space="preserve">#N/A </t>
        </is>
      </c>
    </row>
    <row r="486">
      <c r="A486" s="95" t="inlineStr">
        <is>
          <t>Glovis Loyal</t>
        </is>
      </c>
      <c r="D486" s="95">
        <f>IF(OR(ISNUMBER(SEARCH("Pre Delivery",E486)),ISNUMBER(SEARCH("Pre-Delivery",E486)),ISNUMBER(SEARCH("Predelivery",E486)),ISNUMBER(SEARCH("PD -",E486)),ISNUMBER(SEARCH("PD Lubes",E486))),"Pre-Delivery","")</f>
        <v/>
      </c>
      <c r="E486" s="141" t="inlineStr">
        <is>
          <t>2. LOTO Stickers</t>
        </is>
      </c>
      <c r="F486" s="141" t="inlineStr">
        <is>
          <t>Chemical Tags</t>
        </is>
      </c>
      <c r="H486" s="141" t="inlineStr">
        <is>
          <t>Stores</t>
        </is>
      </c>
      <c r="L486" s="141" t="inlineStr">
        <is>
          <t>PCTC</t>
        </is>
      </c>
      <c r="M486" s="108" t="inlineStr">
        <is>
          <t xml:space="preserve">#N/A </t>
        </is>
      </c>
      <c r="N486" s="108" t="inlineStr">
        <is>
          <t xml:space="preserve">#N/A </t>
        </is>
      </c>
      <c r="O486" s="108" t="inlineStr">
        <is>
          <t xml:space="preserve">#N/A </t>
        </is>
      </c>
      <c r="P486" s="123" t="inlineStr">
        <is>
          <t xml:space="preserve">#N/A </t>
        </is>
      </c>
    </row>
    <row r="487">
      <c r="A487" s="95" t="inlineStr">
        <is>
          <t>Glovis Loyal</t>
        </is>
      </c>
      <c r="C487" s="141" t="inlineStr">
        <is>
          <t>GLOY-60031/26</t>
        </is>
      </c>
      <c r="D487" s="95">
        <f>IF(OR(ISNUMBER(SEARCH("Pre Delivery",E487)),ISNUMBER(SEARCH("Pre-Delivery",E487)),ISNUMBER(SEARCH("Predelivery",E487)),ISNUMBER(SEARCH("PD -",E487)),ISNUMBER(SEARCH("PD Lubes",E487))),"Pre-Delivery","")</f>
        <v/>
      </c>
      <c r="E487" s="141" t="inlineStr">
        <is>
          <t>3. Steam Splash Suit</t>
        </is>
      </c>
      <c r="F487" s="141" t="inlineStr">
        <is>
          <t>Safe Lanes (Trelleborg)</t>
        </is>
      </c>
      <c r="H487" s="141" t="inlineStr">
        <is>
          <t>Stores</t>
        </is>
      </c>
      <c r="L487" s="141" t="inlineStr">
        <is>
          <t>PCTC</t>
        </is>
      </c>
      <c r="M487" s="108" t="inlineStr">
        <is>
          <t xml:space="preserve">#N/A </t>
        </is>
      </c>
      <c r="N487" s="108" t="inlineStr">
        <is>
          <t xml:space="preserve">#N/A </t>
        </is>
      </c>
      <c r="O487" s="108" t="inlineStr">
        <is>
          <t xml:space="preserve">#N/A </t>
        </is>
      </c>
      <c r="P487" s="123" t="inlineStr">
        <is>
          <t xml:space="preserve">#N/A </t>
        </is>
      </c>
    </row>
    <row r="488">
      <c r="A488" s="95" t="inlineStr">
        <is>
          <t>Glovis Loyal</t>
        </is>
      </c>
      <c r="D488" s="95">
        <f>IF(OR(ISNUMBER(SEARCH("Pre Delivery",E488)),ISNUMBER(SEARCH("Pre-Delivery",E488)),ISNUMBER(SEARCH("Predelivery",E488)),ISNUMBER(SEARCH("PD -",E488)),ISNUMBER(SEARCH("PD Lubes",E488))),"Pre-Delivery","")</f>
        <v/>
      </c>
      <c r="E488" s="141" t="inlineStr">
        <is>
          <t>4. Chemical tags</t>
        </is>
      </c>
      <c r="F488" s="141" t="inlineStr">
        <is>
          <t>Seatab</t>
        </is>
      </c>
      <c r="H488" s="141" t="inlineStr">
        <is>
          <t>Stores</t>
        </is>
      </c>
      <c r="L488" s="141" t="inlineStr">
        <is>
          <t>PCTC</t>
        </is>
      </c>
      <c r="M488" s="108" t="inlineStr">
        <is>
          <t xml:space="preserve">#N/A </t>
        </is>
      </c>
      <c r="N488" s="108" t="inlineStr">
        <is>
          <t xml:space="preserve">#N/A </t>
        </is>
      </c>
      <c r="O488" s="108" t="inlineStr">
        <is>
          <t xml:space="preserve">#N/A </t>
        </is>
      </c>
      <c r="P488" s="123" t="inlineStr">
        <is>
          <t xml:space="preserve">#N/A </t>
        </is>
      </c>
    </row>
    <row r="489">
      <c r="A489" s="95" t="inlineStr">
        <is>
          <t>Glovis Loyal</t>
        </is>
      </c>
      <c r="D489" s="95">
        <f>IF(OR(ISNUMBER(SEARCH("Pre Delivery",E489)),ISNUMBER(SEARCH("Pre-Delivery",E489)),ISNUMBER(SEARCH("Predelivery",E489)),ISNUMBER(SEARCH("PD -",E489)),ISNUMBER(SEARCH("PD Lubes",E489))),"Pre-Delivery","")</f>
        <v/>
      </c>
      <c r="E489" s="141" t="inlineStr">
        <is>
          <t>5. Trelleborg Safe lanes</t>
        </is>
      </c>
      <c r="F489" s="141" t="inlineStr">
        <is>
          <t>Explosion Proof Camera</t>
        </is>
      </c>
      <c r="H489" s="141" t="inlineStr">
        <is>
          <t>Stores</t>
        </is>
      </c>
      <c r="L489" s="141" t="inlineStr">
        <is>
          <t>PCTC</t>
        </is>
      </c>
      <c r="M489" s="108" t="inlineStr">
        <is>
          <t xml:space="preserve">#N/A </t>
        </is>
      </c>
      <c r="N489" s="108" t="inlineStr">
        <is>
          <t xml:space="preserve">#N/A </t>
        </is>
      </c>
      <c r="O489" s="108" t="inlineStr">
        <is>
          <t xml:space="preserve">#N/A </t>
        </is>
      </c>
      <c r="P489" s="123" t="inlineStr">
        <is>
          <t xml:space="preserve">#N/A </t>
        </is>
      </c>
    </row>
    <row r="490">
      <c r="A490" s="95" t="inlineStr">
        <is>
          <t>Glovis Loyal</t>
        </is>
      </c>
      <c r="C490" s="141" t="inlineStr">
        <is>
          <t>GLOY-60023/26-1</t>
        </is>
      </c>
      <c r="D490" s="95">
        <f>IF(OR(ISNUMBER(SEARCH("Pre Delivery",E490)),ISNUMBER(SEARCH("Pre-Delivery",E490)),ISNUMBER(SEARCH("Predelivery",E490)),ISNUMBER(SEARCH("PD -",E490)),ISNUMBER(SEARCH("PD Lubes",E490))),"Pre-Delivery","")</f>
        <v/>
      </c>
      <c r="E490" s="141" t="inlineStr">
        <is>
          <t>Pre Delivery - Seatab</t>
        </is>
      </c>
      <c r="F490" s="141" t="inlineStr">
        <is>
          <t>Temperature &amp; Pressure Calibrators</t>
        </is>
      </c>
      <c r="H490" s="141" t="inlineStr">
        <is>
          <t>Stores</t>
        </is>
      </c>
      <c r="L490" s="141" t="inlineStr">
        <is>
          <t>PCTC</t>
        </is>
      </c>
      <c r="M490" s="108" t="inlineStr">
        <is>
          <t xml:space="preserve">#N/A </t>
        </is>
      </c>
      <c r="N490" s="108" t="inlineStr">
        <is>
          <t xml:space="preserve">#N/A </t>
        </is>
      </c>
      <c r="O490" s="108" t="inlineStr">
        <is>
          <t xml:space="preserve">#N/A </t>
        </is>
      </c>
      <c r="P490" s="123" t="inlineStr">
        <is>
          <t xml:space="preserve">#N/A </t>
        </is>
      </c>
    </row>
    <row r="491">
      <c r="A491" s="95" t="inlineStr">
        <is>
          <t>Glovis Loyal</t>
        </is>
      </c>
      <c r="D491" s="95">
        <f>IF(OR(ISNUMBER(SEARCH("Pre Delivery",E491)),ISNUMBER(SEARCH("Pre-Delivery",E491)),ISNUMBER(SEARCH("Predelivery",E491)),ISNUMBER(SEARCH("PD -",E491)),ISNUMBER(SEARCH("PD Lubes",E491))),"Pre-Delivery","")</f>
        <v/>
      </c>
      <c r="E491" s="141" t="inlineStr">
        <is>
          <t>8. Explosion Proof Camera</t>
        </is>
      </c>
      <c r="F491" s="141" t="inlineStr">
        <is>
          <t>VISWA Line Samplers</t>
        </is>
      </c>
      <c r="H491" s="141" t="inlineStr">
        <is>
          <t>Stores</t>
        </is>
      </c>
      <c r="L491" s="141" t="inlineStr">
        <is>
          <t>PCTC</t>
        </is>
      </c>
      <c r="M491" s="108" t="inlineStr">
        <is>
          <t xml:space="preserve">#N/A </t>
        </is>
      </c>
      <c r="N491" s="108" t="inlineStr">
        <is>
          <t xml:space="preserve">#N/A </t>
        </is>
      </c>
      <c r="O491" s="108" t="inlineStr">
        <is>
          <t xml:space="preserve">#N/A </t>
        </is>
      </c>
      <c r="P491" s="123" t="inlineStr">
        <is>
          <t xml:space="preserve">#N/A </t>
        </is>
      </c>
    </row>
    <row r="492">
      <c r="A492" s="95" t="inlineStr">
        <is>
          <t>Glovis Loyal</t>
        </is>
      </c>
      <c r="D492" s="95">
        <f>IF(OR(ISNUMBER(SEARCH("Pre Delivery",E492)),ISNUMBER(SEARCH("Pre-Delivery",E492)),ISNUMBER(SEARCH("Predelivery",E492)),ISNUMBER(SEARCH("PD -",E492)),ISNUMBER(SEARCH("PD Lubes",E492))),"Pre-Delivery","")</f>
        <v/>
      </c>
      <c r="E492" s="141" t="inlineStr">
        <is>
          <t>10. Temperature &amp; Pressure Calibrators</t>
        </is>
      </c>
      <c r="F492" s="141" t="inlineStr">
        <is>
          <t>IMPA Stores - Stationery</t>
        </is>
      </c>
      <c r="H492" s="141" t="inlineStr">
        <is>
          <t>Stores</t>
        </is>
      </c>
      <c r="L492" s="141" t="inlineStr">
        <is>
          <t>PCTC</t>
        </is>
      </c>
      <c r="M492" s="108" t="inlineStr">
        <is>
          <t xml:space="preserve">#N/A </t>
        </is>
      </c>
      <c r="N492" s="108" t="inlineStr">
        <is>
          <t xml:space="preserve">#N/A </t>
        </is>
      </c>
      <c r="O492" s="108" t="inlineStr">
        <is>
          <t xml:space="preserve">#N/A </t>
        </is>
      </c>
      <c r="P492" s="123" t="inlineStr">
        <is>
          <t xml:space="preserve">#N/A </t>
        </is>
      </c>
    </row>
    <row r="493">
      <c r="A493" s="95" t="inlineStr">
        <is>
          <t>Glovis Loyal</t>
        </is>
      </c>
      <c r="D493" s="95">
        <f>IF(OR(ISNUMBER(SEARCH("Pre Delivery",E493)),ISNUMBER(SEARCH("Pre-Delivery",E493)),ISNUMBER(SEARCH("Predelivery",E493)),ISNUMBER(SEARCH("PD -",E493)),ISNUMBER(SEARCH("PD Lubes",E493))),"Pre-Delivery","")</f>
        <v/>
      </c>
      <c r="E493" s="141" t="inlineStr">
        <is>
          <t>11. VISWA Line Samplers</t>
        </is>
      </c>
      <c r="F493" s="141" t="inlineStr">
        <is>
          <t>HP Pump (Hydraulic Nuts)</t>
        </is>
      </c>
      <c r="H493" s="141" t="inlineStr">
        <is>
          <t>Stores</t>
        </is>
      </c>
      <c r="L493" s="141" t="inlineStr">
        <is>
          <t>PCTC</t>
        </is>
      </c>
      <c r="M493" s="108" t="inlineStr">
        <is>
          <t xml:space="preserve">#N/A </t>
        </is>
      </c>
      <c r="N493" s="108" t="inlineStr">
        <is>
          <t xml:space="preserve">#N/A </t>
        </is>
      </c>
      <c r="O493" s="108" t="inlineStr">
        <is>
          <t xml:space="preserve">#N/A </t>
        </is>
      </c>
      <c r="P493" s="123" t="inlineStr">
        <is>
          <t xml:space="preserve">#N/A </t>
        </is>
      </c>
    </row>
    <row r="494">
      <c r="A494" s="95" t="inlineStr">
        <is>
          <t>Glovis Loyal</t>
        </is>
      </c>
      <c r="D494" s="95">
        <f>IF(OR(ISNUMBER(SEARCH("Pre Delivery",E494)),ISNUMBER(SEARCH("Pre-Delivery",E494)),ISNUMBER(SEARCH("Predelivery",E494)),ISNUMBER(SEARCH("PD -",E494)),ISNUMBER(SEARCH("PD Lubes",E494))),"Pre-Delivery","")</f>
        <v/>
      </c>
      <c r="E494" s="141" t="inlineStr">
        <is>
          <t xml:space="preserve">12. Standard Chinese stationery </t>
        </is>
      </c>
      <c r="F494" s="141" t="inlineStr">
        <is>
          <t>Chemicals - General</t>
        </is>
      </c>
      <c r="H494" s="141" t="inlineStr">
        <is>
          <t>Stores</t>
        </is>
      </c>
      <c r="L494" s="141" t="inlineStr">
        <is>
          <t>PCTC</t>
        </is>
      </c>
      <c r="M494" s="108" t="inlineStr">
        <is>
          <t xml:space="preserve">#N/A </t>
        </is>
      </c>
      <c r="N494" s="108" t="inlineStr">
        <is>
          <t xml:space="preserve">#N/A </t>
        </is>
      </c>
      <c r="O494" s="108" t="inlineStr">
        <is>
          <t xml:space="preserve">#N/A </t>
        </is>
      </c>
      <c r="P494" s="123" t="inlineStr">
        <is>
          <t xml:space="preserve">#N/A </t>
        </is>
      </c>
    </row>
    <row r="495" ht="37.5" customHeight="1">
      <c r="A495" s="95" t="inlineStr">
        <is>
          <t>Glovis Loyal</t>
        </is>
      </c>
      <c r="D495" s="95">
        <f>IF(OR(ISNUMBER(SEARCH("Pre Delivery",E495)),ISNUMBER(SEARCH("Pre-Delivery",E495)),ISNUMBER(SEARCH("Predelivery",E495)),ISNUMBER(SEARCH("PD -",E495)),ISNUMBER(SEARCH("PD Lubes",E495))),"Pre-Delivery","")</f>
        <v/>
      </c>
      <c r="E495" s="141" t="inlineStr">
        <is>
          <t>13. Air driven HP Pump - For hydraulic nuts for M/E - From Dan Marine or VLINK</t>
        </is>
      </c>
      <c r="F495" s="141" t="inlineStr">
        <is>
          <t>Mooring Ropes</t>
        </is>
      </c>
      <c r="H495" s="141" t="inlineStr">
        <is>
          <t>Stores</t>
        </is>
      </c>
      <c r="L495" s="141" t="inlineStr">
        <is>
          <t>PCTC</t>
        </is>
      </c>
      <c r="M495" s="108" t="inlineStr">
        <is>
          <t xml:space="preserve">#N/A </t>
        </is>
      </c>
      <c r="N495" s="108" t="inlineStr">
        <is>
          <t xml:space="preserve">#N/A </t>
        </is>
      </c>
      <c r="O495" s="108" t="inlineStr">
        <is>
          <t xml:space="preserve">#N/A </t>
        </is>
      </c>
      <c r="P495" s="123" t="inlineStr">
        <is>
          <t xml:space="preserve">#N/A </t>
        </is>
      </c>
    </row>
    <row r="496">
      <c r="A496" s="95" t="inlineStr">
        <is>
          <t>Glovis Loyal</t>
        </is>
      </c>
      <c r="D496" s="95">
        <f>IF(OR(ISNUMBER(SEARCH("Pre Delivery",E496)),ISNUMBER(SEARCH("Pre-Delivery",E496)),ISNUMBER(SEARCH("Predelivery",E496)),ISNUMBER(SEARCH("PD -",E496)),ISNUMBER(SEARCH("PD Lubes",E496))),"Pre-Delivery","")</f>
        <v/>
      </c>
      <c r="E496" s="141" t="inlineStr">
        <is>
          <t>Chemical</t>
        </is>
      </c>
      <c r="F496" s="141" t="inlineStr">
        <is>
          <t>UHF Radio</t>
        </is>
      </c>
      <c r="H496" s="141" t="inlineStr">
        <is>
          <t>Stores</t>
        </is>
      </c>
      <c r="L496" s="141" t="inlineStr">
        <is>
          <t>PCTC</t>
        </is>
      </c>
      <c r="M496" s="108" t="inlineStr">
        <is>
          <t xml:space="preserve">#N/A </t>
        </is>
      </c>
      <c r="N496" s="108" t="inlineStr">
        <is>
          <t xml:space="preserve">#N/A </t>
        </is>
      </c>
      <c r="O496" s="108" t="inlineStr">
        <is>
          <t xml:space="preserve">#N/A </t>
        </is>
      </c>
      <c r="P496" s="123" t="inlineStr">
        <is>
          <t xml:space="preserve">#N/A </t>
        </is>
      </c>
    </row>
    <row r="497">
      <c r="A497" s="95" t="inlineStr">
        <is>
          <t>Glovis Loyal</t>
        </is>
      </c>
      <c r="D497" s="95">
        <f>IF(OR(ISNUMBER(SEARCH("Pre Delivery",E497)),ISNUMBER(SEARCH("Pre-Delivery",E497)),ISNUMBER(SEARCH("Predelivery",E497)),ISNUMBER(SEARCH("PD -",E497)),ISNUMBER(SEARCH("PD Lubes",E497))),"Pre-Delivery","")</f>
        <v/>
      </c>
      <c r="E497" s="141" t="inlineStr">
        <is>
          <t>Mooring Rope</t>
        </is>
      </c>
      <c r="F497" s="141" t="inlineStr">
        <is>
          <t>Soot Treatment</t>
        </is>
      </c>
      <c r="H497" s="141" t="inlineStr">
        <is>
          <t>Stores</t>
        </is>
      </c>
      <c r="L497" s="141" t="inlineStr">
        <is>
          <t>PCTC</t>
        </is>
      </c>
      <c r="M497" s="108" t="inlineStr">
        <is>
          <t xml:space="preserve">#N/A </t>
        </is>
      </c>
      <c r="N497" s="108" t="inlineStr">
        <is>
          <t xml:space="preserve">#N/A </t>
        </is>
      </c>
      <c r="O497" s="108" t="inlineStr">
        <is>
          <t xml:space="preserve">#N/A </t>
        </is>
      </c>
      <c r="P497" s="123" t="inlineStr">
        <is>
          <t xml:space="preserve">#N/A </t>
        </is>
      </c>
    </row>
    <row r="498">
      <c r="A498" s="95" t="inlineStr">
        <is>
          <t>Glovis Loyal</t>
        </is>
      </c>
      <c r="D498" s="95">
        <f>IF(OR(ISNUMBER(SEARCH("Pre Delivery",E498)),ISNUMBER(SEARCH("Pre-Delivery",E498)),ISNUMBER(SEARCH("Predelivery",E498)),ISNUMBER(SEARCH("PD -",E498)),ISNUMBER(SEARCH("PD Lubes",E498))),"Pre-Delivery","")</f>
        <v/>
      </c>
      <c r="E498" s="141" t="inlineStr">
        <is>
          <t>UHF Radio</t>
        </is>
      </c>
      <c r="F498" s="141" t="inlineStr">
        <is>
          <t>Garbage Refrigerator</t>
        </is>
      </c>
      <c r="H498" s="141" t="inlineStr">
        <is>
          <t>Stores</t>
        </is>
      </c>
      <c r="L498" s="141" t="inlineStr">
        <is>
          <t>PCTC</t>
        </is>
      </c>
      <c r="M498" s="108" t="inlineStr">
        <is>
          <t xml:space="preserve">#N/A </t>
        </is>
      </c>
      <c r="N498" s="108" t="inlineStr">
        <is>
          <t xml:space="preserve">#N/A </t>
        </is>
      </c>
      <c r="O498" s="108" t="inlineStr">
        <is>
          <t xml:space="preserve">#N/A </t>
        </is>
      </c>
      <c r="P498" s="123" t="inlineStr">
        <is>
          <t xml:space="preserve">#N/A </t>
        </is>
      </c>
    </row>
    <row r="499">
      <c r="A499" s="95" t="inlineStr">
        <is>
          <t>Glovis Loyal</t>
        </is>
      </c>
      <c r="D499" s="95">
        <f>IF(OR(ISNUMBER(SEARCH("Pre Delivery",E499)),ISNUMBER(SEARCH("Pre-Delivery",E499)),ISNUMBER(SEARCH("Predelivery",E499)),ISNUMBER(SEARCH("PD -",E499)),ISNUMBER(SEARCH("PD Lubes",E499))),"Pre-Delivery","")</f>
        <v/>
      </c>
      <c r="E499" s="141" t="inlineStr">
        <is>
          <t xml:space="preserve">Soot </t>
        </is>
      </c>
      <c r="F499" s="141" t="inlineStr">
        <is>
          <t>Dual Fuel Tools</t>
        </is>
      </c>
      <c r="H499" s="141" t="inlineStr">
        <is>
          <t>Stores</t>
        </is>
      </c>
      <c r="L499" s="141" t="inlineStr">
        <is>
          <t>PCTC</t>
        </is>
      </c>
      <c r="M499" s="108" t="inlineStr">
        <is>
          <t xml:space="preserve">#N/A </t>
        </is>
      </c>
      <c r="N499" s="108" t="inlineStr">
        <is>
          <t xml:space="preserve">#N/A </t>
        </is>
      </c>
      <c r="O499" s="108" t="inlineStr">
        <is>
          <t xml:space="preserve">#N/A </t>
        </is>
      </c>
      <c r="P499" s="123" t="inlineStr">
        <is>
          <t xml:space="preserve">#N/A </t>
        </is>
      </c>
    </row>
    <row r="500">
      <c r="A500" s="95" t="inlineStr">
        <is>
          <t>Glovis Loyal</t>
        </is>
      </c>
      <c r="D500" s="95">
        <f>IF(OR(ISNUMBER(SEARCH("Pre Delivery",E500)),ISNUMBER(SEARCH("Pre-Delivery",E500)),ISNUMBER(SEARCH("Predelivery",E500)),ISNUMBER(SEARCH("PD -",E500)),ISNUMBER(SEARCH("PD Lubes",E500))),"Pre-Delivery","")</f>
        <v/>
      </c>
      <c r="E500" s="141" t="inlineStr">
        <is>
          <t>Garbage Refrigerator</t>
        </is>
      </c>
      <c r="F500" s="141" t="inlineStr">
        <is>
          <t>UHF Antenna</t>
        </is>
      </c>
      <c r="H500" s="141" t="inlineStr">
        <is>
          <t>Stores</t>
        </is>
      </c>
      <c r="L500" s="141" t="inlineStr">
        <is>
          <t>PCTC</t>
        </is>
      </c>
      <c r="M500" s="108" t="inlineStr">
        <is>
          <t xml:space="preserve">#N/A </t>
        </is>
      </c>
      <c r="N500" s="108" t="inlineStr">
        <is>
          <t xml:space="preserve">#N/A </t>
        </is>
      </c>
      <c r="O500" s="108" t="inlineStr">
        <is>
          <t xml:space="preserve">#N/A </t>
        </is>
      </c>
      <c r="P500" s="123" t="inlineStr">
        <is>
          <t xml:space="preserve">#N/A </t>
        </is>
      </c>
    </row>
    <row r="501">
      <c r="A501" s="95" t="inlineStr">
        <is>
          <t>Glovis Loyal</t>
        </is>
      </c>
      <c r="D501" s="95">
        <f>IF(OR(ISNUMBER(SEARCH("Pre Delivery",E501)),ISNUMBER(SEARCH("Pre-Delivery",E501)),ISNUMBER(SEARCH("Predelivery",E501)),ISNUMBER(SEARCH("PD -",E501)),ISNUMBER(SEARCH("PD Lubes",E501))),"Pre-Delivery","")</f>
        <v/>
      </c>
      <c r="E501" s="141" t="inlineStr">
        <is>
          <t>DF Tools</t>
        </is>
      </c>
      <c r="F501" s="141" t="inlineStr">
        <is>
          <t>Citadel VHF/GPS/UHF System</t>
        </is>
      </c>
      <c r="H501" s="141" t="inlineStr">
        <is>
          <t>Stores</t>
        </is>
      </c>
      <c r="L501" s="141" t="inlineStr">
        <is>
          <t>PCTC</t>
        </is>
      </c>
      <c r="M501" s="108" t="inlineStr">
        <is>
          <t xml:space="preserve">#N/A </t>
        </is>
      </c>
      <c r="N501" s="108" t="inlineStr">
        <is>
          <t xml:space="preserve">#N/A </t>
        </is>
      </c>
      <c r="O501" s="108" t="inlineStr">
        <is>
          <t xml:space="preserve">#N/A </t>
        </is>
      </c>
      <c r="P501" s="123" t="inlineStr">
        <is>
          <t xml:space="preserve">#N/A </t>
        </is>
      </c>
    </row>
    <row r="502">
      <c r="A502" s="95" t="inlineStr">
        <is>
          <t>Glovis Loyal</t>
        </is>
      </c>
      <c r="D502" s="95">
        <f>IF(OR(ISNUMBER(SEARCH("Pre Delivery",E502)),ISNUMBER(SEARCH("Pre-Delivery",E502)),ISNUMBER(SEARCH("Predelivery",E502)),ISNUMBER(SEARCH("PD -",E502)),ISNUMBER(SEARCH("PD Lubes",E502))),"Pre-Delivery","")</f>
        <v/>
      </c>
      <c r="E502" s="141" t="inlineStr">
        <is>
          <t>UHF Antenna</t>
        </is>
      </c>
      <c r="F502" s="141" t="inlineStr">
        <is>
          <t>Stanchions</t>
        </is>
      </c>
      <c r="H502" s="141" t="inlineStr">
        <is>
          <t>Stores</t>
        </is>
      </c>
      <c r="L502" s="141" t="inlineStr">
        <is>
          <t>PCTC</t>
        </is>
      </c>
      <c r="M502" s="108" t="inlineStr">
        <is>
          <t xml:space="preserve">#N/A </t>
        </is>
      </c>
      <c r="N502" s="108" t="inlineStr">
        <is>
          <t xml:space="preserve">#N/A </t>
        </is>
      </c>
      <c r="O502" s="108" t="inlineStr">
        <is>
          <t xml:space="preserve">#N/A </t>
        </is>
      </c>
      <c r="P502" s="123" t="inlineStr">
        <is>
          <t xml:space="preserve">#N/A </t>
        </is>
      </c>
    </row>
    <row r="503">
      <c r="A503" s="95" t="inlineStr">
        <is>
          <t>Glovis Loyal</t>
        </is>
      </c>
      <c r="D503" s="95">
        <f>IF(OR(ISNUMBER(SEARCH("Pre Delivery",E503)),ISNUMBER(SEARCH("Pre-Delivery",E503)),ISNUMBER(SEARCH("Predelivery",E503)),ISNUMBER(SEARCH("PD -",E503)),ISNUMBER(SEARCH("PD Lubes",E503))),"Pre-Delivery","")</f>
        <v/>
      </c>
      <c r="E503" s="141" t="inlineStr">
        <is>
          <t>Citadel Items</t>
        </is>
      </c>
      <c r="F503" s="141" t="inlineStr">
        <is>
          <t>Engine Spares - Main Engine</t>
        </is>
      </c>
      <c r="H503" s="141" t="inlineStr">
        <is>
          <t>Stores</t>
        </is>
      </c>
      <c r="L503" s="141" t="inlineStr">
        <is>
          <t>PCTC</t>
        </is>
      </c>
      <c r="M503" s="108" t="inlineStr">
        <is>
          <t xml:space="preserve">#N/A </t>
        </is>
      </c>
      <c r="N503" s="108" t="inlineStr">
        <is>
          <t xml:space="preserve">#N/A </t>
        </is>
      </c>
      <c r="O503" s="108" t="inlineStr">
        <is>
          <t xml:space="preserve">#N/A </t>
        </is>
      </c>
      <c r="P503" s="123" t="inlineStr">
        <is>
          <t xml:space="preserve">#N/A </t>
        </is>
      </c>
    </row>
    <row r="504">
      <c r="A504" s="95" t="inlineStr">
        <is>
          <t>Glovis Loyal</t>
        </is>
      </c>
      <c r="D504" s="95">
        <f>IF(OR(ISNUMBER(SEARCH("Pre Delivery",E504)),ISNUMBER(SEARCH("Pre-Delivery",E504)),ISNUMBER(SEARCH("Predelivery",E504)),ISNUMBER(SEARCH("PD -",E504)),ISNUMBER(SEARCH("PD Lubes",E504))),"Pre-Delivery","")</f>
        <v/>
      </c>
      <c r="E504" s="141" t="inlineStr">
        <is>
          <t>Stanchions</t>
        </is>
      </c>
      <c r="F504" s="141" t="inlineStr">
        <is>
          <t>Engine Spares - Auxiliary Engine</t>
        </is>
      </c>
      <c r="H504" s="141" t="inlineStr">
        <is>
          <t>Stores</t>
        </is>
      </c>
      <c r="L504" s="141" t="inlineStr">
        <is>
          <t>PCTC</t>
        </is>
      </c>
      <c r="M504" s="108" t="inlineStr">
        <is>
          <t xml:space="preserve">#N/A </t>
        </is>
      </c>
      <c r="N504" s="108" t="inlineStr">
        <is>
          <t xml:space="preserve">#N/A </t>
        </is>
      </c>
      <c r="O504" s="108" t="inlineStr">
        <is>
          <t xml:space="preserve">#N/A </t>
        </is>
      </c>
      <c r="P504" s="123" t="inlineStr">
        <is>
          <t xml:space="preserve">#N/A </t>
        </is>
      </c>
    </row>
    <row r="505">
      <c r="A505" s="95" t="inlineStr">
        <is>
          <t>Glovis Loyal</t>
        </is>
      </c>
      <c r="D505" s="95">
        <f>IF(OR(ISNUMBER(SEARCH("Pre Delivery",E505)),ISNUMBER(SEARCH("Pre-Delivery",E505)),ISNUMBER(SEARCH("Predelivery",E505)),ISNUMBER(SEARCH("PD -",E505)),ISNUMBER(SEARCH("PD Lubes",E505))),"Pre-Delivery","")</f>
        <v/>
      </c>
      <c r="E505" s="141" t="inlineStr">
        <is>
          <t xml:space="preserve">Main Engine  </t>
        </is>
      </c>
      <c r="F505" s="141" t="inlineStr">
        <is>
          <t>RO-RO Equipment - Ramp Spares</t>
        </is>
      </c>
      <c r="H505" s="141" t="inlineStr">
        <is>
          <t>Stores</t>
        </is>
      </c>
      <c r="L505" s="141" t="inlineStr">
        <is>
          <t>PCTC</t>
        </is>
      </c>
      <c r="M505" s="108" t="inlineStr">
        <is>
          <t xml:space="preserve">#N/A </t>
        </is>
      </c>
      <c r="N505" s="108" t="inlineStr">
        <is>
          <t xml:space="preserve">#N/A </t>
        </is>
      </c>
      <c r="O505" s="108" t="inlineStr">
        <is>
          <t xml:space="preserve">#N/A </t>
        </is>
      </c>
      <c r="P505" s="123" t="inlineStr">
        <is>
          <t xml:space="preserve">#N/A </t>
        </is>
      </c>
    </row>
    <row r="506">
      <c r="A506" s="95" t="inlineStr">
        <is>
          <t>Glovis Loyal</t>
        </is>
      </c>
      <c r="D506" s="95">
        <f>IF(OR(ISNUMBER(SEARCH("Pre Delivery",E506)),ISNUMBER(SEARCH("Pre-Delivery",E506)),ISNUMBER(SEARCH("Predelivery",E506)),ISNUMBER(SEARCH("PD -",E506)),ISNUMBER(SEARCH("PD Lubes",E506))),"Pre-Delivery","")</f>
        <v/>
      </c>
      <c r="E506" s="141" t="inlineStr">
        <is>
          <t>Aux. Engine</t>
        </is>
      </c>
      <c r="F506" s="141" t="inlineStr">
        <is>
          <t>Engine Spares - Auxiliary Engine</t>
        </is>
      </c>
      <c r="H506" s="141" t="inlineStr">
        <is>
          <t>Stores</t>
        </is>
      </c>
      <c r="L506" s="141" t="inlineStr">
        <is>
          <t>PCTC</t>
        </is>
      </c>
      <c r="M506" s="108" t="inlineStr">
        <is>
          <t xml:space="preserve">#N/A </t>
        </is>
      </c>
      <c r="N506" s="108" t="inlineStr">
        <is>
          <t xml:space="preserve">#N/A </t>
        </is>
      </c>
      <c r="O506" s="108" t="inlineStr">
        <is>
          <t xml:space="preserve">#N/A </t>
        </is>
      </c>
      <c r="P506" s="123" t="inlineStr">
        <is>
          <t xml:space="preserve">#N/A </t>
        </is>
      </c>
    </row>
    <row r="507" ht="37.5" customHeight="1">
      <c r="A507" s="95" t="inlineStr">
        <is>
          <t>Glovis Loyal</t>
        </is>
      </c>
      <c r="D507" s="95">
        <f>IF(OR(ISNUMBER(SEARCH("Pre Delivery",E507)),ISNUMBER(SEARCH("Pre-Delivery",E507)),ISNUMBER(SEARCH("Predelivery",E507)),ISNUMBER(SEARCH("PD -",E507)),ISNUMBER(SEARCH("PD Lubes",E507))),"Pre-Delivery","")</f>
        <v/>
      </c>
      <c r="E507" s="141" t="inlineStr">
        <is>
          <t>RO-RO Equipment (Main &amp; Centre Ramp spares + inner Ramp spares)</t>
        </is>
      </c>
      <c r="F507" s="141" t="inlineStr">
        <is>
          <t>Nitrogen Generator</t>
        </is>
      </c>
      <c r="H507" s="141" t="inlineStr">
        <is>
          <t>Stores</t>
        </is>
      </c>
      <c r="L507" s="141" t="inlineStr">
        <is>
          <t>PCTC</t>
        </is>
      </c>
      <c r="M507" s="108" t="inlineStr">
        <is>
          <t xml:space="preserve">#N/A </t>
        </is>
      </c>
      <c r="N507" s="108" t="inlineStr">
        <is>
          <t xml:space="preserve">#N/A </t>
        </is>
      </c>
      <c r="O507" s="108" t="inlineStr">
        <is>
          <t xml:space="preserve">#N/A </t>
        </is>
      </c>
      <c r="P507" s="123" t="inlineStr">
        <is>
          <t xml:space="preserve">#N/A </t>
        </is>
      </c>
    </row>
    <row r="508">
      <c r="A508" s="95" t="inlineStr">
        <is>
          <t>Glovis Loyal</t>
        </is>
      </c>
      <c r="D508" s="95">
        <f>IF(OR(ISNUMBER(SEARCH("Pre Delivery",E508)),ISNUMBER(SEARCH("Pre-Delivery",E508)),ISNUMBER(SEARCH("Predelivery",E508)),ISNUMBER(SEARCH("PD -",E508)),ISNUMBER(SEARCH("PD Lubes",E508))),"Pre-Delivery","")</f>
        <v/>
      </c>
      <c r="E508" s="141" t="inlineStr">
        <is>
          <t>HP Pump Skid</t>
        </is>
      </c>
      <c r="F508" s="141" t="inlineStr">
        <is>
          <t>Lubricants</t>
        </is>
      </c>
      <c r="H508" s="141" t="inlineStr">
        <is>
          <t>Stores</t>
        </is>
      </c>
      <c r="L508" s="141" t="inlineStr">
        <is>
          <t>PCTC</t>
        </is>
      </c>
      <c r="M508" s="108" t="inlineStr">
        <is>
          <t xml:space="preserve">#N/A </t>
        </is>
      </c>
      <c r="N508" s="108" t="inlineStr">
        <is>
          <t xml:space="preserve">#N/A </t>
        </is>
      </c>
      <c r="O508" s="108" t="inlineStr">
        <is>
          <t xml:space="preserve">#N/A </t>
        </is>
      </c>
      <c r="P508" s="123" t="inlineStr">
        <is>
          <t xml:space="preserve">#N/A </t>
        </is>
      </c>
    </row>
    <row r="509">
      <c r="A509" s="95" t="inlineStr">
        <is>
          <t>Glovis Loyal</t>
        </is>
      </c>
      <c r="D509" s="95">
        <f>IF(OR(ISNUMBER(SEARCH("Pre Delivery",E509)),ISNUMBER(SEARCH("Pre-Delivery",E509)),ISNUMBER(SEARCH("Predelivery",E509)),ISNUMBER(SEARCH("PD -",E509)),ISNUMBER(SEARCH("PD Lubes",E509))),"Pre-Delivery","")</f>
        <v/>
      </c>
      <c r="E509" s="141" t="inlineStr">
        <is>
          <t>Nitrogen Generator</t>
        </is>
      </c>
      <c r="F509" s="141" t="inlineStr">
        <is>
          <t>Nitrogen Generator</t>
        </is>
      </c>
      <c r="H509" s="141" t="inlineStr">
        <is>
          <t>Stores</t>
        </is>
      </c>
      <c r="L509" s="141" t="inlineStr">
        <is>
          <t>PCTC</t>
        </is>
      </c>
      <c r="M509" s="108" t="inlineStr">
        <is>
          <t xml:space="preserve">#N/A </t>
        </is>
      </c>
      <c r="N509" s="108" t="inlineStr">
        <is>
          <t xml:space="preserve">#N/A </t>
        </is>
      </c>
      <c r="O509" s="108" t="inlineStr">
        <is>
          <t xml:space="preserve">#N/A </t>
        </is>
      </c>
      <c r="P509" s="123" t="inlineStr">
        <is>
          <t xml:space="preserve">#N/A </t>
        </is>
      </c>
    </row>
    <row r="510">
      <c r="A510" s="95" t="inlineStr">
        <is>
          <t>Glovis Loyal</t>
        </is>
      </c>
      <c r="D510" s="95">
        <f>IF(OR(ISNUMBER(SEARCH("Pre Delivery",E510)),ISNUMBER(SEARCH("Pre-Delivery",E510)),ISNUMBER(SEARCH("Predelivery",E510)),ISNUMBER(SEARCH("PD -",E510)),ISNUMBER(SEARCH("PD Lubes",E510))),"Pre-Delivery","")</f>
        <v/>
      </c>
      <c r="E510" s="141" t="inlineStr">
        <is>
          <t xml:space="preserve">RSC Lube oil - qty </t>
        </is>
      </c>
      <c r="F510" s="141" t="inlineStr">
        <is>
          <t>BWTS Spares</t>
        </is>
      </c>
      <c r="H510" s="141" t="inlineStr">
        <is>
          <t>Stores</t>
        </is>
      </c>
      <c r="L510" s="141" t="inlineStr">
        <is>
          <t>PCTC</t>
        </is>
      </c>
      <c r="M510" s="108" t="inlineStr">
        <is>
          <t xml:space="preserve">#N/A </t>
        </is>
      </c>
      <c r="N510" s="108" t="inlineStr">
        <is>
          <t xml:space="preserve">#N/A </t>
        </is>
      </c>
      <c r="O510" s="108" t="inlineStr">
        <is>
          <t xml:space="preserve">#N/A </t>
        </is>
      </c>
      <c r="P510" s="123" t="inlineStr">
        <is>
          <t xml:space="preserve">#N/A </t>
        </is>
      </c>
    </row>
    <row r="511">
      <c r="A511" s="95" t="inlineStr">
        <is>
          <t>Glovis Loyal</t>
        </is>
      </c>
      <c r="D511" s="95">
        <f>IF(OR(ISNUMBER(SEARCH("Pre Delivery",E511)),ISNUMBER(SEARCH("Pre-Delivery",E511)),ISNUMBER(SEARCH("Predelivery",E511)),ISNUMBER(SEARCH("PD -",E511)),ISNUMBER(SEARCH("PD Lubes",E511))),"Pre-Delivery","")</f>
        <v/>
      </c>
      <c r="E511" s="141" t="inlineStr">
        <is>
          <t xml:space="preserve">QC DC </t>
        </is>
      </c>
      <c r="F511" s="141" t="inlineStr">
        <is>
          <t>Crew Welfare - Refrigerators</t>
        </is>
      </c>
      <c r="H511" s="141" t="inlineStr">
        <is>
          <t>Stores</t>
        </is>
      </c>
      <c r="L511" s="141" t="inlineStr">
        <is>
          <t>PCTC</t>
        </is>
      </c>
      <c r="M511" s="108" t="inlineStr">
        <is>
          <t xml:space="preserve">#N/A </t>
        </is>
      </c>
      <c r="N511" s="108" t="inlineStr">
        <is>
          <t xml:space="preserve">#N/A </t>
        </is>
      </c>
      <c r="O511" s="108" t="inlineStr">
        <is>
          <t xml:space="preserve">#N/A </t>
        </is>
      </c>
      <c r="P511" s="123" t="inlineStr">
        <is>
          <t xml:space="preserve">#N/A </t>
        </is>
      </c>
    </row>
    <row r="512" ht="37.5" customHeight="1">
      <c r="A512" s="95" t="inlineStr">
        <is>
          <t>Glovis Loyal</t>
        </is>
      </c>
      <c r="D512" s="95">
        <f>IF(OR(ISNUMBER(SEARCH("Pre Delivery",E512)),ISNUMBER(SEARCH("Pre-Delivery",E512)),ISNUMBER(SEARCH("Predelivery",E512)),ISNUMBER(SEARCH("PD -",E512)),ISNUMBER(SEARCH("PD Lubes",E512))),"Pre-Delivery","")</f>
        <v/>
      </c>
      <c r="E512" s="141" t="inlineStr">
        <is>
          <t>Manuals for all equipment- priority for BWTS, STP, OWS, EMGCY AC, EMCY GEN</t>
        </is>
      </c>
      <c r="F512" s="141" t="inlineStr">
        <is>
          <t>Breathing Air Compressor</t>
        </is>
      </c>
      <c r="H512" s="141" t="inlineStr">
        <is>
          <t>Stores</t>
        </is>
      </c>
      <c r="L512" s="141" t="inlineStr">
        <is>
          <t>PCTC</t>
        </is>
      </c>
      <c r="M512" s="108" t="inlineStr">
        <is>
          <t xml:space="preserve">#N/A </t>
        </is>
      </c>
      <c r="N512" s="108" t="inlineStr">
        <is>
          <t xml:space="preserve">#N/A </t>
        </is>
      </c>
      <c r="O512" s="108" t="inlineStr">
        <is>
          <t xml:space="preserve">#N/A </t>
        </is>
      </c>
      <c r="P512" s="123" t="inlineStr">
        <is>
          <t xml:space="preserve">#N/A </t>
        </is>
      </c>
    </row>
    <row r="513" ht="37.5" customHeight="1">
      <c r="A513" s="95" t="inlineStr">
        <is>
          <t>Glovis Loyal</t>
        </is>
      </c>
      <c r="D513" s="95">
        <f>IF(OR(ISNUMBER(SEARCH("Pre Delivery",E513)),ISNUMBER(SEARCH("Pre-Delivery",E513)),ISNUMBER(SEARCH("Predelivery",E513)),ISNUMBER(SEARCH("PD -",E513)),ISNUMBER(SEARCH("PD Lubes",E513))),"Pre-Delivery","")</f>
        <v/>
      </c>
      <c r="E513" s="141" t="inlineStr">
        <is>
          <t>Domestic refrigerators 200 litres for rec rooms to be added to stores supplies</t>
        </is>
      </c>
      <c r="F513" s="141" t="inlineStr">
        <is>
          <t>Ozone Steriliser</t>
        </is>
      </c>
      <c r="H513" s="141" t="inlineStr">
        <is>
          <t>Stores</t>
        </is>
      </c>
      <c r="L513" s="141" t="inlineStr">
        <is>
          <t>PCTC</t>
        </is>
      </c>
      <c r="M513" s="108" t="inlineStr">
        <is>
          <t xml:space="preserve">#N/A </t>
        </is>
      </c>
      <c r="N513" s="108" t="inlineStr">
        <is>
          <t xml:space="preserve">#N/A </t>
        </is>
      </c>
      <c r="O513" s="108" t="inlineStr">
        <is>
          <t xml:space="preserve">#N/A </t>
        </is>
      </c>
      <c r="P513" s="123" t="inlineStr">
        <is>
          <t xml:space="preserve">#N/A </t>
        </is>
      </c>
    </row>
    <row r="514">
      <c r="A514" s="95" t="inlineStr">
        <is>
          <t>Glovis Loyal</t>
        </is>
      </c>
      <c r="D514" s="95">
        <f>IF(OR(ISNUMBER(SEARCH("Pre Delivery",E514)),ISNUMBER(SEARCH("Pre-Delivery",E514)),ISNUMBER(SEARCH("Predelivery",E514)),ISNUMBER(SEARCH("PD -",E514)),ISNUMBER(SEARCH("PD Lubes",E514))),"Pre-Delivery","")</f>
        <v/>
      </c>
      <c r="E514" s="141" t="inlineStr">
        <is>
          <t>Breathing air compressor</t>
        </is>
      </c>
      <c r="F514" s="141" t="inlineStr">
        <is>
          <t>Suez Light</t>
        </is>
      </c>
      <c r="H514" s="141" t="inlineStr">
        <is>
          <t>Stores</t>
        </is>
      </c>
      <c r="L514" s="141" t="inlineStr">
        <is>
          <t>PCTC</t>
        </is>
      </c>
      <c r="M514" s="108" t="inlineStr">
        <is>
          <t xml:space="preserve">#N/A </t>
        </is>
      </c>
      <c r="N514" s="108" t="inlineStr">
        <is>
          <t xml:space="preserve">#N/A </t>
        </is>
      </c>
      <c r="O514" s="108" t="inlineStr">
        <is>
          <t xml:space="preserve">#N/A </t>
        </is>
      </c>
      <c r="P514" s="123" t="inlineStr">
        <is>
          <t xml:space="preserve">#N/A </t>
        </is>
      </c>
    </row>
    <row r="515">
      <c r="A515" s="95" t="inlineStr">
        <is>
          <t>Glovis Loyal</t>
        </is>
      </c>
      <c r="D515" s="95">
        <f>IF(OR(ISNUMBER(SEARCH("Pre Delivery",E515)),ISNUMBER(SEARCH("Pre-Delivery",E515)),ISNUMBER(SEARCH("Predelivery",E515)),ISNUMBER(SEARCH("PD -",E515)),ISNUMBER(SEARCH("PD Lubes",E515))),"Pre-Delivery","")</f>
        <v/>
      </c>
      <c r="E515" s="141" t="inlineStr">
        <is>
          <t>ozone sterliser</t>
        </is>
      </c>
      <c r="F515" s="141" t="inlineStr">
        <is>
          <t>RO-RO Equipment - Ramp Spares</t>
        </is>
      </c>
      <c r="H515" s="141" t="inlineStr">
        <is>
          <t>Stores</t>
        </is>
      </c>
      <c r="L515" s="141" t="inlineStr">
        <is>
          <t>PCTC</t>
        </is>
      </c>
      <c r="M515" s="108" t="inlineStr">
        <is>
          <t xml:space="preserve">#N/A </t>
        </is>
      </c>
      <c r="N515" s="108" t="inlineStr">
        <is>
          <t xml:space="preserve">#N/A </t>
        </is>
      </c>
      <c r="O515" s="108" t="inlineStr">
        <is>
          <t xml:space="preserve">#N/A </t>
        </is>
      </c>
      <c r="P515" s="123" t="inlineStr">
        <is>
          <t xml:space="preserve">#N/A </t>
        </is>
      </c>
    </row>
    <row r="516">
      <c r="A516" s="95" t="inlineStr">
        <is>
          <t>Glovis Loyal</t>
        </is>
      </c>
      <c r="D516" s="95">
        <f>IF(OR(ISNUMBER(SEARCH("Pre Delivery",E516)),ISNUMBER(SEARCH("Pre-Delivery",E516)),ISNUMBER(SEARCH("Predelivery",E516)),ISNUMBER(SEARCH("PD -",E516)),ISNUMBER(SEARCH("PD Lubes",E516))),"Pre-Delivery","")</f>
        <v/>
      </c>
      <c r="E516" s="141" t="inlineStr">
        <is>
          <t>suez light</t>
        </is>
      </c>
      <c r="F516" s="141" t="inlineStr">
        <is>
          <t>Reefer Cables &amp; Plugs</t>
        </is>
      </c>
      <c r="H516" s="141" t="inlineStr">
        <is>
          <t>Stores</t>
        </is>
      </c>
      <c r="L516" s="141" t="inlineStr">
        <is>
          <t>PCTC</t>
        </is>
      </c>
      <c r="M516" s="108" t="inlineStr">
        <is>
          <t xml:space="preserve">#N/A </t>
        </is>
      </c>
      <c r="N516" s="108" t="inlineStr">
        <is>
          <t xml:space="preserve">#N/A </t>
        </is>
      </c>
      <c r="O516" s="108" t="inlineStr">
        <is>
          <t xml:space="preserve">#N/A </t>
        </is>
      </c>
      <c r="P516" s="123" t="inlineStr">
        <is>
          <t xml:space="preserve">#N/A </t>
        </is>
      </c>
    </row>
    <row r="517" ht="37.5" customHeight="1">
      <c r="A517" s="95" t="inlineStr">
        <is>
          <t>Glovis Loyal</t>
        </is>
      </c>
      <c r="D517" s="95">
        <f>IF(OR(ISNUMBER(SEARCH("Pre Delivery",E517)),ISNUMBER(SEARCH("Pre-Delivery",E517)),ISNUMBER(SEARCH("Predelivery",E517)),ISNUMBER(SEARCH("PD -",E517)),ISNUMBER(SEARCH("PD Lubes",E517))),"Pre-Delivery","")</f>
        <v/>
      </c>
      <c r="E517" s="141" t="inlineStr">
        <is>
          <t>Item no 11, loose equipment for emergency operation of roro equipment</t>
        </is>
      </c>
      <c r="F517" s="141" t="inlineStr">
        <is>
          <t>Chain Blocks</t>
        </is>
      </c>
      <c r="H517" s="141" t="inlineStr">
        <is>
          <t>Stores</t>
        </is>
      </c>
      <c r="L517" s="141" t="inlineStr">
        <is>
          <t>PCTC</t>
        </is>
      </c>
      <c r="M517" s="108" t="inlineStr">
        <is>
          <t xml:space="preserve">#N/A </t>
        </is>
      </c>
      <c r="N517" s="108" t="inlineStr">
        <is>
          <t xml:space="preserve">#N/A </t>
        </is>
      </c>
      <c r="O517" s="108" t="inlineStr">
        <is>
          <t xml:space="preserve">#N/A </t>
        </is>
      </c>
      <c r="P517" s="123" t="inlineStr">
        <is>
          <t xml:space="preserve">#N/A </t>
        </is>
      </c>
    </row>
    <row r="518">
      <c r="A518" s="95" t="inlineStr">
        <is>
          <t>Glovis Loyal</t>
        </is>
      </c>
      <c r="D518" s="95">
        <f>IF(OR(ISNUMBER(SEARCH("Pre Delivery",E518)),ISNUMBER(SEARCH("Pre-Delivery",E518)),ISNUMBER(SEARCH("Predelivery",E518)),ISNUMBER(SEARCH("PD -",E518)),ISNUMBER(SEARCH("PD Lubes",E518))),"Pre-Delivery","")</f>
        <v/>
      </c>
      <c r="E518" s="141" t="inlineStr">
        <is>
          <t>Reefer cable and plugs extensions</t>
        </is>
      </c>
      <c r="F518" s="141" t="inlineStr">
        <is>
          <t>Glycol</t>
        </is>
      </c>
      <c r="H518" s="141" t="inlineStr">
        <is>
          <t>Stores</t>
        </is>
      </c>
      <c r="L518" s="141" t="inlineStr">
        <is>
          <t>PCTC</t>
        </is>
      </c>
      <c r="M518" s="108" t="inlineStr">
        <is>
          <t xml:space="preserve">#N/A </t>
        </is>
      </c>
      <c r="N518" s="108" t="inlineStr">
        <is>
          <t xml:space="preserve">#N/A </t>
        </is>
      </c>
      <c r="O518" s="108" t="inlineStr">
        <is>
          <t xml:space="preserve">#N/A </t>
        </is>
      </c>
      <c r="P518" s="123" t="inlineStr">
        <is>
          <t xml:space="preserve">#N/A </t>
        </is>
      </c>
    </row>
    <row r="519">
      <c r="A519" s="95" t="inlineStr">
        <is>
          <t>Glovis Loyal</t>
        </is>
      </c>
      <c r="D519" s="95">
        <f>IF(OR(ISNUMBER(SEARCH("Pre Delivery",E519)),ISNUMBER(SEARCH("Pre-Delivery",E519)),ISNUMBER(SEARCH("Predelivery",E519)),ISNUMBER(SEARCH("PD -",E519)),ISNUMBER(SEARCH("PD Lubes",E519))),"Pre-Delivery","")</f>
        <v/>
      </c>
      <c r="E519" s="141" t="inlineStr">
        <is>
          <t xml:space="preserve">Manual chain blocks </t>
        </is>
      </c>
      <c r="F519" s="141" t="inlineStr">
        <is>
          <t>Gas Meters</t>
        </is>
      </c>
      <c r="H519" s="141" t="inlineStr">
        <is>
          <t>Stores</t>
        </is>
      </c>
      <c r="L519" s="141" t="inlineStr">
        <is>
          <t>PCTC</t>
        </is>
      </c>
      <c r="M519" s="108" t="inlineStr">
        <is>
          <t xml:space="preserve">#N/A </t>
        </is>
      </c>
      <c r="N519" s="108" t="inlineStr">
        <is>
          <t xml:space="preserve">#N/A </t>
        </is>
      </c>
      <c r="O519" s="108" t="inlineStr">
        <is>
          <t xml:space="preserve">#N/A </t>
        </is>
      </c>
      <c r="P519" s="123" t="inlineStr">
        <is>
          <t xml:space="preserve">#N/A </t>
        </is>
      </c>
    </row>
    <row r="520">
      <c r="A520" s="95" t="inlineStr">
        <is>
          <t>Glovis Loyal</t>
        </is>
      </c>
      <c r="D520" s="95">
        <f>IF(OR(ISNUMBER(SEARCH("Pre Delivery",E520)),ISNUMBER(SEARCH("Pre-Delivery",E520)),ISNUMBER(SEARCH("Predelivery",E520)),ISNUMBER(SEARCH("PD -",E520)),ISNUMBER(SEARCH("PD Lubes",E520))),"Pre-Delivery","")</f>
        <v/>
      </c>
      <c r="E520" s="141" t="inlineStr">
        <is>
          <t>Glycol</t>
        </is>
      </c>
      <c r="F520" s="141" t="inlineStr">
        <is>
          <t>Welding Equipment</t>
        </is>
      </c>
      <c r="H520" s="141" t="inlineStr">
        <is>
          <t>Stores</t>
        </is>
      </c>
      <c r="L520" s="141" t="inlineStr">
        <is>
          <t>PCTC</t>
        </is>
      </c>
      <c r="M520" s="108" t="inlineStr">
        <is>
          <t xml:space="preserve">#N/A </t>
        </is>
      </c>
      <c r="N520" s="108" t="inlineStr">
        <is>
          <t xml:space="preserve">#N/A </t>
        </is>
      </c>
      <c r="O520" s="108" t="inlineStr">
        <is>
          <t xml:space="preserve">#N/A </t>
        </is>
      </c>
      <c r="P520" s="123" t="inlineStr">
        <is>
          <t xml:space="preserve">#N/A </t>
        </is>
      </c>
    </row>
    <row r="521">
      <c r="A521" s="95" t="inlineStr">
        <is>
          <t>Glovis Loyal</t>
        </is>
      </c>
      <c r="C521" s="141" t="inlineStr">
        <is>
          <t>GLOY-60035/26</t>
        </is>
      </c>
      <c r="D521" s="95">
        <f>IF(OR(ISNUMBER(SEARCH("Pre Delivery",E521)),ISNUMBER(SEARCH("Pre-Delivery",E521)),ISNUMBER(SEARCH("Predelivery",E521)),ISNUMBER(SEARCH("PD -",E521)),ISNUMBER(SEARCH("PD Lubes",E521))),"Pre-Delivery","")</f>
        <v/>
      </c>
      <c r="E521" s="141" t="inlineStr">
        <is>
          <t>Gas meters</t>
        </is>
      </c>
      <c r="F521" s="141" t="inlineStr">
        <is>
          <t>Service Car &amp; Forklift</t>
        </is>
      </c>
      <c r="H521" s="141" t="inlineStr">
        <is>
          <t>Stores</t>
        </is>
      </c>
      <c r="L521" s="141" t="inlineStr">
        <is>
          <t>PCTC</t>
        </is>
      </c>
      <c r="M521" s="108" t="inlineStr">
        <is>
          <t xml:space="preserve">#N/A </t>
        </is>
      </c>
      <c r="N521" s="108" t="inlineStr">
        <is>
          <t xml:space="preserve">#N/A </t>
        </is>
      </c>
      <c r="O521" s="108" t="inlineStr">
        <is>
          <t xml:space="preserve">#N/A </t>
        </is>
      </c>
      <c r="P521" s="123" t="inlineStr">
        <is>
          <t xml:space="preserve">#N/A </t>
        </is>
      </c>
    </row>
    <row r="522">
      <c r="A522" s="95" t="inlineStr">
        <is>
          <t>Glovis Loyal</t>
        </is>
      </c>
      <c r="D522" s="95">
        <f>IF(OR(ISNUMBER(SEARCH("Pre Delivery",E522)),ISNUMBER(SEARCH("Pre-Delivery",E522)),ISNUMBER(SEARCH("Predelivery",E522)),ISNUMBER(SEARCH("PD -",E522)),ISNUMBER(SEARCH("PD Lubes",E522))),"Pre-Delivery","")</f>
        <v/>
      </c>
      <c r="E522" s="141" t="inlineStr">
        <is>
          <t>Welding machine in Workshop 440 v</t>
        </is>
      </c>
      <c r="F522" s="141" t="inlineStr">
        <is>
          <t>Welding Equipment</t>
        </is>
      </c>
      <c r="H522" s="141" t="inlineStr">
        <is>
          <t>Stores</t>
        </is>
      </c>
      <c r="L522" s="141" t="inlineStr">
        <is>
          <t>PCTC</t>
        </is>
      </c>
      <c r="M522" s="108" t="inlineStr">
        <is>
          <t xml:space="preserve">#N/A </t>
        </is>
      </c>
      <c r="N522" s="108" t="inlineStr">
        <is>
          <t xml:space="preserve">#N/A </t>
        </is>
      </c>
      <c r="O522" s="108" t="inlineStr">
        <is>
          <t xml:space="preserve">#N/A </t>
        </is>
      </c>
      <c r="P522" s="123" t="inlineStr">
        <is>
          <t xml:space="preserve">#N/A </t>
        </is>
      </c>
    </row>
    <row r="523">
      <c r="A523" s="95" t="inlineStr">
        <is>
          <t>Glovis Loyal</t>
        </is>
      </c>
      <c r="D523" s="95" t="inlineStr">
        <is>
          <t>`</t>
        </is>
      </c>
      <c r="E523" s="141" t="inlineStr">
        <is>
          <t>Service Car and Forlift</t>
        </is>
      </c>
      <c r="F523" s="141" t="inlineStr">
        <is>
          <t>Service Car &amp; Forklift</t>
        </is>
      </c>
      <c r="H523" s="141" t="inlineStr">
        <is>
          <t>Stores</t>
        </is>
      </c>
      <c r="L523" s="141" t="inlineStr">
        <is>
          <t>PCTC</t>
        </is>
      </c>
      <c r="M523" s="108" t="inlineStr">
        <is>
          <t xml:space="preserve">#N/A </t>
        </is>
      </c>
      <c r="N523" s="108" t="inlineStr">
        <is>
          <t xml:space="preserve">#N/A </t>
        </is>
      </c>
      <c r="O523" s="108" t="inlineStr">
        <is>
          <t xml:space="preserve">#N/A </t>
        </is>
      </c>
      <c r="P523" s="123" t="inlineStr">
        <is>
          <t xml:space="preserve">#N/A </t>
        </is>
      </c>
    </row>
    <row r="524" ht="19.5" customFormat="1" customHeight="1" s="100" thickBot="1">
      <c r="A524" s="98" t="inlineStr">
        <is>
          <t>Glovis Loyal</t>
        </is>
      </c>
      <c r="B524" s="142" t="n"/>
      <c r="C524" s="142" t="n"/>
      <c r="D524" s="98">
        <f>IF(OR(ISNUMBER(SEARCH("Pre Delivery",E524)),ISNUMBER(SEARCH("Pre-Delivery",E524)),ISNUMBER(SEARCH("Predelivery",E524)),ISNUMBER(SEARCH("PD -",E524)),ISNUMBER(SEARCH("PD Lubes",E524))),"Pre-Delivery","")</f>
        <v/>
      </c>
      <c r="E524" s="142" t="inlineStr">
        <is>
          <t>Seatrial</t>
        </is>
      </c>
      <c r="F524" s="142" t="inlineStr">
        <is>
          <t>Sea Trial</t>
        </is>
      </c>
      <c r="G524" s="142" t="n"/>
      <c r="H524" s="142" t="inlineStr">
        <is>
          <t>Stores</t>
        </is>
      </c>
      <c r="I524" s="98" t="n"/>
      <c r="J524" s="142" t="n"/>
      <c r="K524" s="142" t="n"/>
      <c r="L524" s="142" t="inlineStr">
        <is>
          <t>PCTC</t>
        </is>
      </c>
      <c r="M524" s="110" t="inlineStr">
        <is>
          <t xml:space="preserve">#N/A </t>
        </is>
      </c>
      <c r="N524" s="110" t="inlineStr">
        <is>
          <t xml:space="preserve">#N/A </t>
        </is>
      </c>
      <c r="O524" s="110" t="inlineStr">
        <is>
          <t xml:space="preserve">#N/A </t>
        </is>
      </c>
      <c r="P524" s="124" t="inlineStr">
        <is>
          <t xml:space="preserve">#N/A </t>
        </is>
      </c>
    </row>
    <row r="525" ht="37.5" customHeight="1">
      <c r="A525" s="141" t="inlineStr">
        <is>
          <t xml:space="preserve">OOCL Chancay </t>
        </is>
      </c>
      <c r="C525" s="141" t="inlineStr">
        <is>
          <t>OCHA-MVSP-60007/26-1</t>
        </is>
      </c>
      <c r="E525" s="141" t="inlineStr">
        <is>
          <t>FS-FortiPAM</t>
        </is>
      </c>
      <c r="H525" s="141" t="inlineStr">
        <is>
          <t>Others</t>
        </is>
      </c>
      <c r="L525" s="141" t="inlineStr">
        <is>
          <t>PCTC</t>
        </is>
      </c>
    </row>
    <row r="526">
      <c r="A526" s="141" t="inlineStr">
        <is>
          <t xml:space="preserve">OOCL Chancay </t>
        </is>
      </c>
      <c r="C526" s="141" t="inlineStr">
        <is>
          <t>OCHA-60009/26-1</t>
        </is>
      </c>
      <c r="E526" s="141" t="inlineStr">
        <is>
          <t>Pre Delivery - Abanaki skimmers supply</t>
        </is>
      </c>
      <c r="H526" s="141" t="inlineStr">
        <is>
          <t>Spares</t>
        </is>
      </c>
      <c r="L526" s="141" t="inlineStr">
        <is>
          <t>PCTC</t>
        </is>
      </c>
    </row>
    <row r="527">
      <c r="A527" s="141" t="inlineStr">
        <is>
          <t xml:space="preserve">OOCL Chancay </t>
        </is>
      </c>
      <c r="C527" s="141" t="inlineStr">
        <is>
          <t>OCHA-60016/26-1</t>
        </is>
      </c>
      <c r="E527" s="141" t="inlineStr">
        <is>
          <t>PD - RSC Envirologic</t>
        </is>
      </c>
      <c r="H527" s="141" t="inlineStr">
        <is>
          <t>Stores</t>
        </is>
      </c>
      <c r="L527" s="141" t="inlineStr">
        <is>
          <t>PCTC</t>
        </is>
      </c>
    </row>
    <row r="528" ht="37.5" customHeight="1">
      <c r="A528" s="141" t="inlineStr">
        <is>
          <t xml:space="preserve">OOCL Chancay </t>
        </is>
      </c>
      <c r="C528" s="141" t="inlineStr">
        <is>
          <t>OCHA-MVSP-60002/26-1</t>
        </is>
      </c>
      <c r="E528" s="141" t="inlineStr">
        <is>
          <t>FS-X10-SILVERPEAK</t>
        </is>
      </c>
      <c r="H528" s="141" t="inlineStr">
        <is>
          <t>Others</t>
        </is>
      </c>
      <c r="L528" s="141" t="inlineStr">
        <is>
          <t>PCTC</t>
        </is>
      </c>
    </row>
    <row r="529">
      <c r="A529" s="141" t="inlineStr">
        <is>
          <t xml:space="preserve">OOCL Chancay </t>
        </is>
      </c>
      <c r="C529" s="141" t="inlineStr">
        <is>
          <t>OCHA-60029/26-1</t>
        </is>
      </c>
      <c r="E529" s="141" t="inlineStr">
        <is>
          <t>Buyer Supply - J-Marine NeCST 55" Route Planner</t>
        </is>
      </c>
      <c r="H529" s="141" t="inlineStr">
        <is>
          <t>Spares</t>
        </is>
      </c>
      <c r="L529" s="141" t="inlineStr">
        <is>
          <t>PCTC</t>
        </is>
      </c>
    </row>
    <row r="530" ht="37.5" customHeight="1">
      <c r="A530" s="141" t="inlineStr">
        <is>
          <t xml:space="preserve">OOCL Chancay </t>
        </is>
      </c>
      <c r="C530" s="141" t="inlineStr">
        <is>
          <t>OCHA-MVSP-60003/26-1</t>
        </is>
      </c>
      <c r="E530" s="141" t="inlineStr">
        <is>
          <t>FS-Interface MTA adapter</t>
        </is>
      </c>
      <c r="H530" s="141" t="inlineStr">
        <is>
          <t>Others</t>
        </is>
      </c>
      <c r="L530" s="141" t="inlineStr">
        <is>
          <t>PCTC</t>
        </is>
      </c>
    </row>
    <row r="531">
      <c r="A531" s="141" t="inlineStr">
        <is>
          <t xml:space="preserve">OOCL Chancay </t>
        </is>
      </c>
      <c r="C531" s="141" t="inlineStr">
        <is>
          <t>OCHA-60021/26-1</t>
        </is>
      </c>
      <c r="E531" s="141" t="inlineStr">
        <is>
          <t>Pre Delivery - Seatab</t>
        </is>
      </c>
      <c r="H531" s="141" t="inlineStr">
        <is>
          <t>Spares</t>
        </is>
      </c>
      <c r="L531" s="141" t="inlineStr">
        <is>
          <t>PCTC</t>
        </is>
      </c>
    </row>
    <row r="532">
      <c r="A532" s="141" t="inlineStr">
        <is>
          <t xml:space="preserve">OOCL Chancay </t>
        </is>
      </c>
      <c r="C532" s="141" t="inlineStr">
        <is>
          <t>OCHA-60023/26-1</t>
        </is>
      </c>
      <c r="E532" s="141" t="inlineStr">
        <is>
          <t>FS-AST -UPDATED PO</t>
        </is>
      </c>
      <c r="H532" s="141" t="inlineStr">
        <is>
          <t>Others</t>
        </is>
      </c>
      <c r="L532" s="141" t="inlineStr">
        <is>
          <t>PCTC</t>
        </is>
      </c>
    </row>
    <row r="533">
      <c r="A533" s="141" t="inlineStr">
        <is>
          <t xml:space="preserve">OOCL Chancay </t>
        </is>
      </c>
      <c r="C533" s="141" t="inlineStr">
        <is>
          <t>OCHA-60013/26-1</t>
        </is>
      </c>
      <c r="E533" s="141" t="inlineStr">
        <is>
          <t>FS-ITBP Additional Item</t>
        </is>
      </c>
      <c r="H533" s="141" t="inlineStr">
        <is>
          <t>Others</t>
        </is>
      </c>
      <c r="L533" s="141" t="inlineStr">
        <is>
          <t>PCTC</t>
        </is>
      </c>
    </row>
    <row r="534">
      <c r="A534" s="141" t="inlineStr">
        <is>
          <t xml:space="preserve">OOCL Chancay </t>
        </is>
      </c>
      <c r="C534" s="141" t="inlineStr">
        <is>
          <t>OCHA-60012/26-1</t>
        </is>
      </c>
      <c r="E534" s="141" t="inlineStr">
        <is>
          <t>Pre Delivery Lubes - Order No. 5715387651</t>
        </is>
      </c>
      <c r="H534" s="141" t="inlineStr">
        <is>
          <t>Lube Oil</t>
        </is>
      </c>
      <c r="L534" s="141" t="inlineStr">
        <is>
          <t>PCTC</t>
        </is>
      </c>
    </row>
    <row r="535">
      <c r="A535" s="141" t="inlineStr">
        <is>
          <t xml:space="preserve">OOCL Chancay </t>
        </is>
      </c>
      <c r="C535" s="141" t="inlineStr">
        <is>
          <t>OCHA-60025/26-1</t>
        </is>
      </c>
      <c r="E535" s="141" t="inlineStr">
        <is>
          <t>FS-KVH</t>
        </is>
      </c>
      <c r="H535" s="141" t="inlineStr">
        <is>
          <t>Others</t>
        </is>
      </c>
      <c r="L535" s="141" t="inlineStr">
        <is>
          <t>PCTC</t>
        </is>
      </c>
    </row>
    <row r="536">
      <c r="A536" s="141" t="inlineStr">
        <is>
          <t xml:space="preserve">OOCL Chancay </t>
        </is>
      </c>
      <c r="C536" s="141" t="inlineStr">
        <is>
          <t>OCHA-60002/26-1</t>
        </is>
      </c>
      <c r="E536" s="141" t="inlineStr">
        <is>
          <t>FS-VLINK-H1943A</t>
        </is>
      </c>
      <c r="H536" s="141" t="inlineStr">
        <is>
          <t>Others</t>
        </is>
      </c>
      <c r="L536" s="141" t="inlineStr">
        <is>
          <t>PCTC</t>
        </is>
      </c>
    </row>
    <row r="537">
      <c r="A537" s="141" t="inlineStr">
        <is>
          <t xml:space="preserve">OOCL Chancay </t>
        </is>
      </c>
      <c r="C537" s="141" t="inlineStr">
        <is>
          <t>OCHA-60004/26-1</t>
        </is>
      </c>
      <c r="E537" s="141" t="inlineStr">
        <is>
          <t>FS-ITBP  -CHANCAY</t>
        </is>
      </c>
      <c r="H537" s="141" t="inlineStr">
        <is>
          <t>Others</t>
        </is>
      </c>
      <c r="L537" s="141" t="inlineStr">
        <is>
          <t>PCTC</t>
        </is>
      </c>
    </row>
    <row r="538">
      <c r="A538" s="141" t="inlineStr">
        <is>
          <t xml:space="preserve">OOCL Chancay </t>
        </is>
      </c>
      <c r="C538" s="141" t="inlineStr">
        <is>
          <t>OCHA-60015/26-1</t>
        </is>
      </c>
      <c r="E538" s="141" t="inlineStr">
        <is>
          <t>Pre Delivery Lubes - Order No. 5715441952</t>
        </is>
      </c>
      <c r="H538" s="141" t="inlineStr">
        <is>
          <t>Lube Oil</t>
        </is>
      </c>
      <c r="L538" s="141" t="inlineStr">
        <is>
          <t>PCTC</t>
        </is>
      </c>
    </row>
    <row r="539">
      <c r="A539" s="141" t="inlineStr">
        <is>
          <t xml:space="preserve">OOCL Chancay </t>
        </is>
      </c>
      <c r="C539" s="141" t="inlineStr">
        <is>
          <t>OCHA-60014/26-1</t>
        </is>
      </c>
      <c r="E539" s="141" t="inlineStr">
        <is>
          <t>FS-ITBP MISC LAB KIT</t>
        </is>
      </c>
      <c r="H539" s="141" t="inlineStr">
        <is>
          <t>Others</t>
        </is>
      </c>
      <c r="L539" s="141" t="inlineStr">
        <is>
          <t>PCTC</t>
        </is>
      </c>
    </row>
    <row r="540">
      <c r="A540" s="141" t="inlineStr">
        <is>
          <t xml:space="preserve">OOCL Chancay </t>
        </is>
      </c>
      <c r="C540" s="141" t="inlineStr">
        <is>
          <t>OCHA-60020/26-1</t>
        </is>
      </c>
      <c r="E540" s="141" t="inlineStr">
        <is>
          <t>Pre Delivery - Garbage Compactor</t>
        </is>
      </c>
      <c r="H540" s="141" t="inlineStr">
        <is>
          <t>Spares</t>
        </is>
      </c>
      <c r="L540" s="141" t="inlineStr">
        <is>
          <t>PCTC</t>
        </is>
      </c>
    </row>
    <row r="541">
      <c r="A541" s="141" t="inlineStr">
        <is>
          <t xml:space="preserve">OOCL Chancay </t>
        </is>
      </c>
      <c r="C541" s="141" t="inlineStr">
        <is>
          <t>OCHA-60010/26-1</t>
        </is>
      </c>
      <c r="E541" s="141" t="inlineStr">
        <is>
          <t>FS-LENOVO-Chancay</t>
        </is>
      </c>
      <c r="H541" s="141" t="inlineStr">
        <is>
          <t>Others</t>
        </is>
      </c>
      <c r="L541" s="141" t="inlineStr">
        <is>
          <t>PCTC</t>
        </is>
      </c>
    </row>
    <row r="542">
      <c r="A542" s="141" t="inlineStr">
        <is>
          <t xml:space="preserve">OOCL Chancay </t>
        </is>
      </c>
      <c r="C542" s="141" t="inlineStr">
        <is>
          <t>OCHA-60002/25-1</t>
        </is>
      </c>
      <c r="E542" s="141" t="inlineStr">
        <is>
          <t>PD - SIT Equipment</t>
        </is>
      </c>
      <c r="H542" s="141" t="inlineStr">
        <is>
          <t>Spares</t>
        </is>
      </c>
      <c r="L542" s="141" t="inlineStr">
        <is>
          <t>PCTC</t>
        </is>
      </c>
    </row>
    <row r="543">
      <c r="A543" s="141" t="inlineStr">
        <is>
          <t xml:space="preserve">OOCL Chancay </t>
        </is>
      </c>
      <c r="C543" s="141" t="inlineStr">
        <is>
          <t>OCHA-60031/26-1</t>
        </is>
      </c>
      <c r="E543" s="141" t="inlineStr">
        <is>
          <t>(OOCL CHANCAY) Order # 4 - 5601988545</t>
        </is>
      </c>
      <c r="H543" s="141" t="inlineStr">
        <is>
          <t>Lube Oil</t>
        </is>
      </c>
      <c r="L543" s="141" t="inlineStr">
        <is>
          <t>PCTC</t>
        </is>
      </c>
    </row>
    <row r="544">
      <c r="A544" s="141" t="inlineStr">
        <is>
          <t xml:space="preserve">OOCL Chancay </t>
        </is>
      </c>
      <c r="C544" s="141" t="inlineStr">
        <is>
          <t>OCHA-60001/26-1</t>
        </is>
      </c>
      <c r="E544" s="141" t="inlineStr">
        <is>
          <t>Interface PO-H1943A</t>
        </is>
      </c>
      <c r="H544" s="141" t="inlineStr">
        <is>
          <t>Others</t>
        </is>
      </c>
      <c r="L544" s="141" t="inlineStr">
        <is>
          <t>PCTC</t>
        </is>
      </c>
    </row>
    <row r="545">
      <c r="A545" s="141" t="inlineStr">
        <is>
          <t xml:space="preserve">OOCL Chancay </t>
        </is>
      </c>
      <c r="C545" s="141" t="inlineStr">
        <is>
          <t>OCHA-60017/26-1</t>
        </is>
      </c>
      <c r="E545" s="141" t="inlineStr">
        <is>
          <t>Pre Delivery - (OOCL CHANCAY) Order # 2</t>
        </is>
      </c>
      <c r="H545" s="141" t="inlineStr">
        <is>
          <t>Lube Oil</t>
        </is>
      </c>
      <c r="L545" s="141" t="inlineStr">
        <is>
          <t>PCTC</t>
        </is>
      </c>
    </row>
    <row r="546">
      <c r="A546" s="141" t="inlineStr">
        <is>
          <t xml:space="preserve">OOCL Chancay </t>
        </is>
      </c>
      <c r="C546" s="141" t="inlineStr">
        <is>
          <t>OCHA-60024/26-1</t>
        </is>
      </c>
      <c r="E546" s="141" t="inlineStr">
        <is>
          <t>FS-Vlink</t>
        </is>
      </c>
      <c r="H546" s="141" t="inlineStr">
        <is>
          <t>Others</t>
        </is>
      </c>
      <c r="L546" s="141" t="inlineStr">
        <is>
          <t>PCTC</t>
        </is>
      </c>
    </row>
    <row r="547">
      <c r="A547" s="141" t="inlineStr">
        <is>
          <t xml:space="preserve">OOCL Chancay </t>
        </is>
      </c>
      <c r="C547" s="141" t="inlineStr">
        <is>
          <t>OCHA-60011/26-1</t>
        </is>
      </c>
      <c r="E547" s="141" t="inlineStr">
        <is>
          <t>FS-ITBP CABLES</t>
        </is>
      </c>
      <c r="H547" s="141" t="inlineStr">
        <is>
          <t>Others</t>
        </is>
      </c>
      <c r="L547" s="141" t="inlineStr">
        <is>
          <t>PCTC</t>
        </is>
      </c>
    </row>
    <row r="548">
      <c r="A548" s="141" t="inlineStr">
        <is>
          <t xml:space="preserve">OOCL Chancay </t>
        </is>
      </c>
      <c r="C548" s="141" t="inlineStr">
        <is>
          <t>OCHA-60003/26-1</t>
        </is>
      </c>
      <c r="E548" s="141" t="inlineStr">
        <is>
          <t>FS-VLINK-Accessories</t>
        </is>
      </c>
      <c r="H548" s="141" t="inlineStr">
        <is>
          <t>Others</t>
        </is>
      </c>
      <c r="L548" s="141" t="inlineStr">
        <is>
          <t>PCTC</t>
        </is>
      </c>
    </row>
    <row r="549">
      <c r="A549" s="141" t="inlineStr">
        <is>
          <t xml:space="preserve">OOCL Chancay </t>
        </is>
      </c>
      <c r="C549" s="141" t="inlineStr">
        <is>
          <t>OCHA-60028/26</t>
        </is>
      </c>
      <c r="E549" s="141" t="inlineStr">
        <is>
          <t>13601 TEU - Lashing RFP -  SEC</t>
        </is>
      </c>
      <c r="H549" s="141" t="inlineStr">
        <is>
          <t>Spares</t>
        </is>
      </c>
      <c r="L549" s="141" t="inlineStr">
        <is>
          <t>PCTC</t>
        </is>
      </c>
    </row>
    <row r="550">
      <c r="A550" s="141" t="inlineStr">
        <is>
          <t xml:space="preserve">OOCL Chancay </t>
        </is>
      </c>
      <c r="C550" s="141" t="inlineStr">
        <is>
          <t>OCHA-60006/26</t>
        </is>
      </c>
      <c r="E550" s="141" t="inlineStr">
        <is>
          <t>FS-SIHUI-Chancay</t>
        </is>
      </c>
      <c r="H550" s="141" t="inlineStr">
        <is>
          <t>Others</t>
        </is>
      </c>
      <c r="L550" s="141" t="inlineStr">
        <is>
          <t>PCTC</t>
        </is>
      </c>
    </row>
    <row r="551">
      <c r="A551" s="141" t="inlineStr">
        <is>
          <t xml:space="preserve">OOCL Chancay </t>
        </is>
      </c>
      <c r="C551" s="141" t="inlineStr">
        <is>
          <t>OCHA-60018/26</t>
        </is>
      </c>
      <c r="E551" s="141" t="inlineStr">
        <is>
          <t>Pre Delivery (OOCL CHANCAY) Order # A 5715663906</t>
        </is>
      </c>
      <c r="H551" s="141" t="inlineStr">
        <is>
          <t>Lube Oil</t>
        </is>
      </c>
      <c r="L551" s="141" t="inlineStr">
        <is>
          <t>PCTC</t>
        </is>
      </c>
    </row>
    <row r="552">
      <c r="A552" s="141" t="inlineStr">
        <is>
          <t xml:space="preserve">OOCL Chancay </t>
        </is>
      </c>
      <c r="C552" s="141" t="inlineStr">
        <is>
          <t>OCHA-60008/26</t>
        </is>
      </c>
      <c r="E552" s="141" t="inlineStr">
        <is>
          <t>Pre-Delivery - Navis</t>
        </is>
      </c>
      <c r="H552" s="141" t="inlineStr">
        <is>
          <t>Spares</t>
        </is>
      </c>
      <c r="L552" s="141" t="inlineStr">
        <is>
          <t>PCTC</t>
        </is>
      </c>
    </row>
    <row r="553">
      <c r="A553" s="141" t="inlineStr">
        <is>
          <t xml:space="preserve">OOCL Chancay </t>
        </is>
      </c>
      <c r="E553" s="141" t="inlineStr">
        <is>
          <t>Crew Care</t>
        </is>
      </c>
      <c r="H553" s="141" t="inlineStr">
        <is>
          <t>Chemicals</t>
        </is>
      </c>
      <c r="L553" s="141" t="inlineStr">
        <is>
          <t>PCTC</t>
        </is>
      </c>
    </row>
    <row r="554">
      <c r="A554" s="141" t="inlineStr">
        <is>
          <t xml:space="preserve">OOCL Chancay </t>
        </is>
      </c>
      <c r="E554" s="141" t="inlineStr">
        <is>
          <t>Pre Delivery - Engineering Products &amp; Kits (DREW)</t>
        </is>
      </c>
      <c r="H554" s="141" t="inlineStr">
        <is>
          <t>Chemicals</t>
        </is>
      </c>
      <c r="L554" s="141" t="inlineStr">
        <is>
          <t>PCTC</t>
        </is>
      </c>
    </row>
    <row r="555">
      <c r="A555" s="141" t="inlineStr">
        <is>
          <t xml:space="preserve">OOCL Chancay </t>
        </is>
      </c>
      <c r="E555" s="141" t="inlineStr">
        <is>
          <t>Refrigerant Equipment</t>
        </is>
      </c>
      <c r="H555" s="141" t="inlineStr">
        <is>
          <t>Chemicals</t>
        </is>
      </c>
      <c r="L555" s="141" t="inlineStr">
        <is>
          <t>PCTC</t>
        </is>
      </c>
    </row>
    <row r="556">
      <c r="A556" s="141" t="inlineStr">
        <is>
          <t xml:space="preserve">OOCL Chancay </t>
        </is>
      </c>
      <c r="E556" s="141" t="inlineStr">
        <is>
          <t>Pre Delivery - Welding Equipment</t>
        </is>
      </c>
      <c r="H556" s="141" t="inlineStr">
        <is>
          <t>Chemicals</t>
        </is>
      </c>
      <c r="L556" s="141" t="inlineStr">
        <is>
          <t>PCTC</t>
        </is>
      </c>
    </row>
    <row r="557">
      <c r="A557" s="141" t="inlineStr">
        <is>
          <t xml:space="preserve">OOCL Chancay </t>
        </is>
      </c>
      <c r="E557" s="141" t="inlineStr">
        <is>
          <t>Gases</t>
        </is>
      </c>
      <c r="H557" s="141" t="inlineStr">
        <is>
          <t>Chemicals</t>
        </is>
      </c>
      <c r="L557" s="141" t="inlineStr">
        <is>
          <t>PCTC</t>
        </is>
      </c>
    </row>
    <row r="558">
      <c r="A558" s="141" t="inlineStr">
        <is>
          <t xml:space="preserve">OOCL Chancay </t>
        </is>
      </c>
      <c r="E558" s="141" t="inlineStr">
        <is>
          <t>Pre Delivery - Treatment Chemical</t>
        </is>
      </c>
      <c r="H558" s="141" t="inlineStr">
        <is>
          <t>Chemicals</t>
        </is>
      </c>
      <c r="L558" s="141" t="inlineStr">
        <is>
          <t>PCTC</t>
        </is>
      </c>
    </row>
    <row r="559">
      <c r="A559" s="141" t="inlineStr">
        <is>
          <t xml:space="preserve">OOCL Chancay </t>
        </is>
      </c>
      <c r="E559" s="141" t="inlineStr">
        <is>
          <t>Maintenance Chemicals</t>
        </is>
      </c>
      <c r="H559" s="141" t="inlineStr">
        <is>
          <t>Chemicals</t>
        </is>
      </c>
      <c r="L559" s="141" t="inlineStr">
        <is>
          <t>PCTC</t>
        </is>
      </c>
    </row>
    <row r="560">
      <c r="A560" s="141" t="inlineStr">
        <is>
          <t xml:space="preserve">OOCL Chancay </t>
        </is>
      </c>
      <c r="E560" s="141" t="inlineStr">
        <is>
          <t>PPE - RMS</t>
        </is>
      </c>
      <c r="H560" s="141" t="inlineStr">
        <is>
          <t>Stores</t>
        </is>
      </c>
      <c r="L560" s="141" t="inlineStr">
        <is>
          <t>PCTC</t>
        </is>
      </c>
    </row>
    <row r="561">
      <c r="A561" s="141" t="inlineStr">
        <is>
          <t xml:space="preserve">OOCL Chancay </t>
        </is>
      </c>
      <c r="E561" s="141" t="inlineStr">
        <is>
          <t>Immersion Suit</t>
        </is>
      </c>
      <c r="L561" s="141" t="inlineStr">
        <is>
          <t>PCTC</t>
        </is>
      </c>
    </row>
    <row r="562">
      <c r="A562" s="141" t="inlineStr">
        <is>
          <t xml:space="preserve">OOCL Chancay </t>
        </is>
      </c>
      <c r="E562" s="141" t="inlineStr">
        <is>
          <t>Fire Mans Outfit</t>
        </is>
      </c>
      <c r="L562" s="141" t="inlineStr">
        <is>
          <t>PCTC</t>
        </is>
      </c>
    </row>
    <row r="563">
      <c r="A563" s="141" t="inlineStr">
        <is>
          <t xml:space="preserve">OOCL Chancay </t>
        </is>
      </c>
      <c r="E563" s="141" t="inlineStr">
        <is>
          <t>Iron Test Kit from CMT</t>
        </is>
      </c>
      <c r="L563" s="141" t="inlineStr">
        <is>
          <t>PCTC</t>
        </is>
      </c>
    </row>
    <row r="564">
      <c r="A564" s="141" t="inlineStr">
        <is>
          <t xml:space="preserve">OOCL Chancay </t>
        </is>
      </c>
      <c r="E564" s="141" t="inlineStr">
        <is>
          <t>Oil Test Kit</t>
        </is>
      </c>
      <c r="L564" s="141" t="inlineStr">
        <is>
          <t>PCTC</t>
        </is>
      </c>
    </row>
    <row r="565">
      <c r="A565" s="141" t="inlineStr">
        <is>
          <t xml:space="preserve">OOCL Chancay </t>
        </is>
      </c>
      <c r="E565" s="141" t="inlineStr">
        <is>
          <t>Pre Delivery - Sample Cooler</t>
        </is>
      </c>
      <c r="H565" s="141" t="inlineStr">
        <is>
          <t>Chemicals</t>
        </is>
      </c>
      <c r="L565" s="141" t="inlineStr">
        <is>
          <t>PCTC</t>
        </is>
      </c>
    </row>
    <row r="566">
      <c r="A566" s="141" t="inlineStr">
        <is>
          <t xml:space="preserve">OOCL Chancay </t>
        </is>
      </c>
      <c r="E566" s="141" t="inlineStr">
        <is>
          <t>Mooring Rope</t>
        </is>
      </c>
      <c r="L566" s="141" t="inlineStr">
        <is>
          <t>PCTC</t>
        </is>
      </c>
    </row>
    <row r="567">
      <c r="A567" s="141" t="inlineStr">
        <is>
          <t xml:space="preserve">OOCL Chancay </t>
        </is>
      </c>
      <c r="E567" s="141" t="inlineStr">
        <is>
          <t>Reliability Spares - Main Engine</t>
        </is>
      </c>
      <c r="L567" s="141" t="inlineStr">
        <is>
          <t>PCTC</t>
        </is>
      </c>
    </row>
    <row r="568">
      <c r="A568" s="141" t="inlineStr">
        <is>
          <t xml:space="preserve">OOCL Chancay </t>
        </is>
      </c>
      <c r="E568" s="141" t="inlineStr">
        <is>
          <t>Reliability Spares - Aux Engine</t>
        </is>
      </c>
      <c r="L568" s="141" t="inlineStr">
        <is>
          <t>PCTC</t>
        </is>
      </c>
    </row>
    <row r="569">
      <c r="A569" s="141" t="inlineStr">
        <is>
          <t xml:space="preserve">OOCL Chancay </t>
        </is>
      </c>
      <c r="E569" s="141" t="inlineStr">
        <is>
          <t>Reliability Spares - Boilers</t>
        </is>
      </c>
      <c r="L569" s="141" t="inlineStr">
        <is>
          <t>PCTC</t>
        </is>
      </c>
    </row>
    <row r="570">
      <c r="A570" s="141" t="inlineStr">
        <is>
          <t xml:space="preserve">OOCL Chancay </t>
        </is>
      </c>
      <c r="E570" s="141" t="inlineStr">
        <is>
          <t>Reliability Spares - Fire detection system</t>
        </is>
      </c>
      <c r="L570" s="141" t="inlineStr">
        <is>
          <t>PCTC</t>
        </is>
      </c>
    </row>
    <row r="571">
      <c r="A571" s="141" t="inlineStr">
        <is>
          <t xml:space="preserve">OOCL Chancay </t>
        </is>
      </c>
      <c r="E571" s="141" t="inlineStr">
        <is>
          <t>Reliabiltiy Spares - Gas Detection System</t>
        </is>
      </c>
      <c r="L571" s="141" t="inlineStr">
        <is>
          <t>PCTC</t>
        </is>
      </c>
    </row>
    <row r="572">
      <c r="A572" s="141" t="inlineStr">
        <is>
          <t xml:space="preserve">OOCL Chancay </t>
        </is>
      </c>
      <c r="E572" s="141" t="inlineStr">
        <is>
          <t>Reliability Spares - 10,8K CEU SWS - GVT- Eltronic</t>
        </is>
      </c>
      <c r="L572" s="141" t="inlineStr">
        <is>
          <t>PCTC</t>
        </is>
      </c>
    </row>
    <row r="573" ht="37.5" customHeight="1">
      <c r="A573" s="141" t="inlineStr">
        <is>
          <t xml:space="preserve">OOCL Chancay </t>
        </is>
      </c>
      <c r="E573" s="141" t="inlineStr">
        <is>
          <t>Shipyard Extra Buyer Supply - HiNAS SVM 10800 A-Q-2025-09-02_R1</t>
        </is>
      </c>
      <c r="L573" s="141" t="inlineStr">
        <is>
          <t>PCTC</t>
        </is>
      </c>
    </row>
    <row r="574">
      <c r="A574" s="141" t="inlineStr">
        <is>
          <t xml:space="preserve">OOCL Chancay </t>
        </is>
      </c>
      <c r="E574" s="141" t="inlineStr">
        <is>
          <t>Shipyard Extra Owner supply - Captains Eye</t>
        </is>
      </c>
      <c r="L574" s="141" t="inlineStr">
        <is>
          <t>PCTC</t>
        </is>
      </c>
    </row>
    <row r="575" ht="37.5" customHeight="1">
      <c r="A575" s="141" t="inlineStr">
        <is>
          <t xml:space="preserve">OOCL Chancay </t>
        </is>
      </c>
      <c r="E575" s="141" t="inlineStr">
        <is>
          <t>SHIPYARD EXTRA OWNER SUPPLY - SWS-10.8k CEU extra cost for SMiG application</t>
        </is>
      </c>
      <c r="L575" s="141" t="inlineStr">
        <is>
          <t>PCTC</t>
        </is>
      </c>
    </row>
    <row r="576">
      <c r="A576" s="141" t="inlineStr">
        <is>
          <t xml:space="preserve">OOCL Chancay </t>
        </is>
      </c>
      <c r="E576" s="141" t="inlineStr">
        <is>
          <t>Citadel VHF/GPS and UHF ANTENNA system</t>
        </is>
      </c>
      <c r="L576" s="141" t="inlineStr">
        <is>
          <t>PCTC</t>
        </is>
      </c>
    </row>
    <row r="577">
      <c r="A577" s="141" t="inlineStr">
        <is>
          <t xml:space="preserve">OOCL Chancay </t>
        </is>
      </c>
      <c r="E577" s="141" t="inlineStr">
        <is>
          <t>VISWA Line Samplers</t>
        </is>
      </c>
      <c r="L577" s="141" t="inlineStr">
        <is>
          <t>PCTC</t>
        </is>
      </c>
    </row>
    <row r="578">
      <c r="A578" s="141" t="inlineStr">
        <is>
          <t xml:space="preserve">OOCL Chancay </t>
        </is>
      </c>
      <c r="E578" s="141" t="inlineStr">
        <is>
          <t>Air driven HP Pump - For hydraulic nuts for M/E</t>
        </is>
      </c>
      <c r="L578" s="141" t="inlineStr">
        <is>
          <t>PCTC</t>
        </is>
      </c>
    </row>
    <row r="579">
      <c r="A579" s="141" t="inlineStr">
        <is>
          <t xml:space="preserve">OOCL Chancay </t>
        </is>
      </c>
      <c r="E579" s="141" t="inlineStr">
        <is>
          <t>UHF Radio (Handheld)</t>
        </is>
      </c>
      <c r="L579" s="141" t="inlineStr">
        <is>
          <t>PCTC</t>
        </is>
      </c>
    </row>
    <row r="580" ht="37.5" customHeight="1">
      <c r="A580" s="141" t="inlineStr">
        <is>
          <t xml:space="preserve">OOCL Chancay </t>
        </is>
      </c>
      <c r="E580" s="141" t="inlineStr">
        <is>
          <t>Reliability RO-RO Equipment (Main &amp; Centre Ramp spares + inner Ramp spares)</t>
        </is>
      </c>
      <c r="L580" s="141" t="inlineStr">
        <is>
          <t>PCTC</t>
        </is>
      </c>
    </row>
    <row r="581">
      <c r="A581" s="141" t="inlineStr">
        <is>
          <t xml:space="preserve">OOCL Chancay </t>
        </is>
      </c>
      <c r="E581" s="141" t="inlineStr">
        <is>
          <t>Reliability HP Pump Skid</t>
        </is>
      </c>
      <c r="L581" s="141" t="inlineStr">
        <is>
          <t>PCTC</t>
        </is>
      </c>
    </row>
    <row r="582">
      <c r="A582" s="141" t="inlineStr">
        <is>
          <t xml:space="preserve">OOCL Chancay </t>
        </is>
      </c>
      <c r="E582" s="141" t="inlineStr">
        <is>
          <t>Reliability Nitrogen Generator</t>
        </is>
      </c>
      <c r="L582" s="141" t="inlineStr">
        <is>
          <t>PCTC</t>
        </is>
      </c>
    </row>
    <row r="583">
      <c r="A583" s="141" t="inlineStr">
        <is>
          <t xml:space="preserve">OOCL Chancay </t>
        </is>
      </c>
      <c r="E583" s="141" t="inlineStr">
        <is>
          <t>Reefer cable and plugs extensions</t>
        </is>
      </c>
      <c r="L583" s="141" t="inlineStr">
        <is>
          <t>PCTC</t>
        </is>
      </c>
    </row>
    <row r="584">
      <c r="A584" s="141" t="inlineStr">
        <is>
          <t xml:space="preserve">OOCL Chancay </t>
        </is>
      </c>
      <c r="E584" s="141" t="inlineStr">
        <is>
          <t>Glycol</t>
        </is>
      </c>
      <c r="L584" s="141" t="inlineStr">
        <is>
          <t>PCTC</t>
        </is>
      </c>
    </row>
    <row r="585">
      <c r="A585" s="141" t="inlineStr">
        <is>
          <t xml:space="preserve">OOCL Chancay </t>
        </is>
      </c>
      <c r="E585" s="141" t="inlineStr">
        <is>
          <t>Gas meters</t>
        </is>
      </c>
      <c r="L585" s="141" t="inlineStr">
        <is>
          <t>PCTC</t>
        </is>
      </c>
    </row>
    <row r="586">
      <c r="A586" s="141" t="inlineStr">
        <is>
          <t xml:space="preserve">OOCL Chancay </t>
        </is>
      </c>
      <c r="E586" s="141" t="inlineStr">
        <is>
          <t>Thermal Stop PO</t>
        </is>
      </c>
      <c r="L586" s="141" t="inlineStr">
        <is>
          <t>PCTC</t>
        </is>
      </c>
    </row>
    <row r="587">
      <c r="A587" s="141" t="inlineStr">
        <is>
          <t xml:space="preserve">OOCL Chancay </t>
        </is>
      </c>
      <c r="E587" s="141" t="inlineStr">
        <is>
          <t>EV Lance</t>
        </is>
      </c>
      <c r="L587" s="141" t="inlineStr">
        <is>
          <t>PCTC</t>
        </is>
      </c>
    </row>
    <row r="588">
      <c r="A588" s="141" t="inlineStr">
        <is>
          <t xml:space="preserve">OOCL Chancay </t>
        </is>
      </c>
      <c r="E588" s="141" t="inlineStr">
        <is>
          <t>Receptacles</t>
        </is>
      </c>
      <c r="L588" s="141" t="inlineStr">
        <is>
          <t>PCTC</t>
        </is>
      </c>
    </row>
    <row r="589">
      <c r="A589" s="141" t="inlineStr">
        <is>
          <t xml:space="preserve">OOCL Chancay </t>
        </is>
      </c>
      <c r="E589" s="141" t="inlineStr">
        <is>
          <t>Trelleborg Safe lanes</t>
        </is>
      </c>
      <c r="L589" s="141" t="inlineStr">
        <is>
          <t>PCTC</t>
        </is>
      </c>
    </row>
    <row r="590">
      <c r="A590" s="141" t="inlineStr">
        <is>
          <t xml:space="preserve">OOCL Chancay </t>
        </is>
      </c>
      <c r="E590" s="141" t="inlineStr">
        <is>
          <t>IMPA Stores - BA Compressor</t>
        </is>
      </c>
      <c r="L590" s="141" t="inlineStr">
        <is>
          <t>PCTC</t>
        </is>
      </c>
    </row>
    <row r="591">
      <c r="A591" s="141" t="inlineStr">
        <is>
          <t xml:space="preserve">OOCL Chancay </t>
        </is>
      </c>
      <c r="E591" s="141" t="inlineStr">
        <is>
          <t>FLIR ESPro and E6 Pro</t>
        </is>
      </c>
      <c r="L591" s="141" t="inlineStr">
        <is>
          <t>PCTC</t>
        </is>
      </c>
    </row>
    <row r="592">
      <c r="A592" s="141" t="inlineStr">
        <is>
          <t xml:space="preserve">OOCL Chancay </t>
        </is>
      </c>
      <c r="C592" s="141" t="inlineStr">
        <is>
          <t>OCHA-60032/26</t>
        </is>
      </c>
      <c r="E592" s="141" t="inlineStr">
        <is>
          <t>Cryogenic PPE - Scandia</t>
        </is>
      </c>
      <c r="H592" s="141" t="inlineStr">
        <is>
          <t>Stores</t>
        </is>
      </c>
      <c r="L592" s="141" t="inlineStr">
        <is>
          <t>PCTC</t>
        </is>
      </c>
    </row>
    <row r="593">
      <c r="A593" s="141" t="inlineStr">
        <is>
          <t xml:space="preserve">OOCL Chancay </t>
        </is>
      </c>
      <c r="E593" s="141" t="inlineStr">
        <is>
          <t>Ultrasonic Cleaning system - 230V</t>
        </is>
      </c>
      <c r="L593" s="141" t="inlineStr">
        <is>
          <t>PCTC</t>
        </is>
      </c>
    </row>
    <row r="594">
      <c r="A594" s="141" t="inlineStr">
        <is>
          <t xml:space="preserve">OOCL Chancay </t>
        </is>
      </c>
      <c r="E594" s="141" t="inlineStr">
        <is>
          <t>Pre-Delivery - OPA 91</t>
        </is>
      </c>
      <c r="L594" s="141" t="inlineStr">
        <is>
          <t>PCTC</t>
        </is>
      </c>
    </row>
    <row r="595">
      <c r="A595" s="141" t="inlineStr">
        <is>
          <t xml:space="preserve">OOCL Chancay </t>
        </is>
      </c>
      <c r="E595" s="141" t="inlineStr">
        <is>
          <t>H.P machine - 2pcs (prefer Branded - Karcher/ KEW)</t>
        </is>
      </c>
      <c r="L595" s="141" t="inlineStr">
        <is>
          <t>PCTC</t>
        </is>
      </c>
    </row>
    <row r="596">
      <c r="A596" s="141" t="inlineStr">
        <is>
          <t xml:space="preserve">OOCL Chancay </t>
        </is>
      </c>
      <c r="E596" s="141" t="inlineStr">
        <is>
          <t>DF Tools</t>
        </is>
      </c>
      <c r="L596" s="141" t="inlineStr">
        <is>
          <t>PCTC</t>
        </is>
      </c>
    </row>
    <row r="597">
      <c r="A597" s="141" t="inlineStr">
        <is>
          <t xml:space="preserve">OOCL Chancay </t>
        </is>
      </c>
      <c r="C597" s="141" t="inlineStr">
        <is>
          <t>OCHA-60033/26</t>
        </is>
      </c>
      <c r="E597" s="141" t="inlineStr">
        <is>
          <t>LOTO Stickers</t>
        </is>
      </c>
      <c r="H597" s="141" t="inlineStr">
        <is>
          <t>Stores</t>
        </is>
      </c>
      <c r="L597" s="141" t="inlineStr">
        <is>
          <t>PCTC</t>
        </is>
      </c>
    </row>
    <row r="598">
      <c r="A598" s="141" t="inlineStr">
        <is>
          <t xml:space="preserve">OOCL Chancay </t>
        </is>
      </c>
      <c r="C598" s="141" t="inlineStr">
        <is>
          <t>OCHA-60034/26</t>
        </is>
      </c>
      <c r="E598" s="141" t="inlineStr">
        <is>
          <t>Steam Splash Suit</t>
        </is>
      </c>
      <c r="H598" s="141" t="inlineStr">
        <is>
          <t>Stores</t>
        </is>
      </c>
      <c r="L598" s="141" t="inlineStr">
        <is>
          <t>PCTC</t>
        </is>
      </c>
    </row>
    <row r="599">
      <c r="A599" s="141" t="inlineStr">
        <is>
          <t xml:space="preserve">OOCL Chancay </t>
        </is>
      </c>
      <c r="C599" s="141" t="inlineStr">
        <is>
          <t>OCHA-60035/26</t>
        </is>
      </c>
      <c r="E599" s="141" t="inlineStr">
        <is>
          <t>Chemical tags</t>
        </is>
      </c>
      <c r="H599" s="141" t="inlineStr">
        <is>
          <t>Stores</t>
        </is>
      </c>
      <c r="L599" s="141" t="inlineStr">
        <is>
          <t>PCTC</t>
        </is>
      </c>
    </row>
    <row r="600">
      <c r="A600" s="141" t="inlineStr">
        <is>
          <t xml:space="preserve">OOCL Chancay </t>
        </is>
      </c>
      <c r="E600" s="141" t="inlineStr">
        <is>
          <t>Explosion Proof Camera</t>
        </is>
      </c>
      <c r="L600" s="141" t="inlineStr">
        <is>
          <t>PCTC</t>
        </is>
      </c>
    </row>
    <row r="601">
      <c r="A601" s="141" t="inlineStr">
        <is>
          <t xml:space="preserve">OOCL Chancay </t>
        </is>
      </c>
      <c r="C601" s="141" t="inlineStr">
        <is>
          <t>OCHA-60036/26</t>
        </is>
      </c>
      <c r="E601" s="141" t="inlineStr">
        <is>
          <t>Temperature Calibrators</t>
        </is>
      </c>
      <c r="H601" s="141" t="inlineStr">
        <is>
          <t>Stores</t>
        </is>
      </c>
      <c r="L601" s="141" t="inlineStr">
        <is>
          <t>PCTC</t>
        </is>
      </c>
    </row>
    <row r="602">
      <c r="A602" s="141" t="inlineStr">
        <is>
          <t xml:space="preserve">OOCL Chancay </t>
        </is>
      </c>
      <c r="C602" s="141" t="inlineStr">
        <is>
          <t>OCHA-60036/26</t>
        </is>
      </c>
      <c r="E602" s="141" t="inlineStr">
        <is>
          <t>Pressure Calibrators</t>
        </is>
      </c>
      <c r="H602" s="141" t="inlineStr">
        <is>
          <t>Stores</t>
        </is>
      </c>
      <c r="L602" s="141" t="inlineStr">
        <is>
          <t>PCTC</t>
        </is>
      </c>
    </row>
    <row r="603">
      <c r="A603" s="141" t="inlineStr">
        <is>
          <t xml:space="preserve">OOCL Chancay </t>
        </is>
      </c>
      <c r="E603" s="141" t="inlineStr">
        <is>
          <t>Garbage Refrigerator</t>
        </is>
      </c>
      <c r="L603" s="141" t="inlineStr">
        <is>
          <t>PCTC</t>
        </is>
      </c>
    </row>
    <row r="604">
      <c r="A604" s="141" t="inlineStr">
        <is>
          <t xml:space="preserve">OOCL Chancay </t>
        </is>
      </c>
      <c r="E604" s="141" t="inlineStr">
        <is>
          <t>Seatrial Stores</t>
        </is>
      </c>
      <c r="L604" s="141" t="inlineStr">
        <is>
          <t>PCTC</t>
        </is>
      </c>
    </row>
    <row r="605">
      <c r="A605" s="141" t="inlineStr">
        <is>
          <t xml:space="preserve">OOCL Chancay </t>
        </is>
      </c>
      <c r="E605" s="141" t="inlineStr">
        <is>
          <t>Provisions and Bonds</t>
        </is>
      </c>
      <c r="L605" s="141" t="inlineStr">
        <is>
          <t>PCTC</t>
        </is>
      </c>
    </row>
    <row r="606">
      <c r="A606" s="141" t="inlineStr">
        <is>
          <t xml:space="preserve">OOCL Chancay </t>
        </is>
      </c>
      <c r="E606" s="141" t="inlineStr">
        <is>
          <t>Medicines</t>
        </is>
      </c>
      <c r="L606" s="141" t="inlineStr">
        <is>
          <t>PCTC</t>
        </is>
      </c>
    </row>
    <row r="607">
      <c r="A607" s="141" t="inlineStr">
        <is>
          <t xml:space="preserve">OOCL Chancay </t>
        </is>
      </c>
      <c r="E607" s="141" t="inlineStr">
        <is>
          <t>AIS MOB</t>
        </is>
      </c>
      <c r="L607" s="141" t="inlineStr">
        <is>
          <t>PCTC</t>
        </is>
      </c>
    </row>
    <row r="608">
      <c r="A608" s="141" t="inlineStr">
        <is>
          <t xml:space="preserve">OOCL Chancay </t>
        </is>
      </c>
      <c r="E608" s="141" t="inlineStr">
        <is>
          <t>Gas Detector</t>
        </is>
      </c>
      <c r="L608" s="141" t="inlineStr">
        <is>
          <t>PCTC</t>
        </is>
      </c>
    </row>
    <row r="609">
      <c r="A609" s="141" t="inlineStr">
        <is>
          <t xml:space="preserve">OOCL Chancay </t>
        </is>
      </c>
      <c r="E609" s="141" t="inlineStr">
        <is>
          <t>Reefer Container Socket System</t>
        </is>
      </c>
      <c r="L609" s="141" t="inlineStr">
        <is>
          <t>PCTC</t>
        </is>
      </c>
    </row>
    <row r="610">
      <c r="A610" s="141" t="inlineStr">
        <is>
          <t xml:space="preserve">OOCL Chancay </t>
        </is>
      </c>
      <c r="E610" s="141" t="inlineStr">
        <is>
          <t>Inline Foam Eductor</t>
        </is>
      </c>
      <c r="L610" s="141" t="inlineStr">
        <is>
          <t>PCTC</t>
        </is>
      </c>
    </row>
    <row r="611">
      <c r="A611" s="141" t="inlineStr">
        <is>
          <t xml:space="preserve">OOCL Chancay </t>
        </is>
      </c>
      <c r="E611" s="141" t="inlineStr">
        <is>
          <t>Fire Suppression Unit</t>
        </is>
      </c>
      <c r="L611" s="141" t="inlineStr">
        <is>
          <t>PCTC</t>
        </is>
      </c>
    </row>
    <row r="612">
      <c r="A612" s="141" t="inlineStr">
        <is>
          <t xml:space="preserve">OOCL Chancay </t>
        </is>
      </c>
      <c r="E612" s="141" t="inlineStr">
        <is>
          <t>Seals</t>
        </is>
      </c>
      <c r="L612" s="141" t="inlineStr">
        <is>
          <t>PCTC</t>
        </is>
      </c>
    </row>
    <row r="613">
      <c r="A613" s="141" t="inlineStr">
        <is>
          <t xml:space="preserve">OOCL Chancay </t>
        </is>
      </c>
      <c r="E613" s="141" t="inlineStr">
        <is>
          <t xml:space="preserve">Cold Fire </t>
        </is>
      </c>
      <c r="L613" s="141" t="inlineStr">
        <is>
          <t>PCTC</t>
        </is>
      </c>
    </row>
    <row r="614">
      <c r="A614" s="141" t="inlineStr">
        <is>
          <t xml:space="preserve">OOCL Chancay </t>
        </is>
      </c>
      <c r="E614" s="141" t="inlineStr">
        <is>
          <t>15001 - SHI - LNG - Wires</t>
        </is>
      </c>
      <c r="L614" s="141" t="inlineStr">
        <is>
          <t>PCTC</t>
        </is>
      </c>
    </row>
    <row r="615">
      <c r="A615" s="141" t="inlineStr">
        <is>
          <t xml:space="preserve">OOCL Chancay </t>
        </is>
      </c>
      <c r="E615" s="141" t="inlineStr">
        <is>
          <t>Naoh</t>
        </is>
      </c>
      <c r="L615" s="141" t="inlineStr">
        <is>
          <t>PCTC</t>
        </is>
      </c>
    </row>
    <row r="616">
      <c r="A616" s="141" t="inlineStr">
        <is>
          <t xml:space="preserve">OOCL Chancay </t>
        </is>
      </c>
      <c r="E616" s="141" t="inlineStr">
        <is>
          <t>Suez Light</t>
        </is>
      </c>
      <c r="L616" s="141" t="inlineStr">
        <is>
          <t>PCTC</t>
        </is>
      </c>
    </row>
    <row r="617">
      <c r="A617" s="141" t="inlineStr">
        <is>
          <t xml:space="preserve">OOCL Chancay </t>
        </is>
      </c>
      <c r="E617" s="141" t="inlineStr">
        <is>
          <t>Goggle for Cryogenic PPE</t>
        </is>
      </c>
      <c r="L617" s="141" t="inlineStr">
        <is>
          <t>PCTC</t>
        </is>
      </c>
    </row>
    <row r="618">
      <c r="A618" s="141" t="inlineStr">
        <is>
          <t xml:space="preserve">OOCL Chancay </t>
        </is>
      </c>
      <c r="E618" s="141" t="inlineStr">
        <is>
          <t>Stationery</t>
        </is>
      </c>
      <c r="L618" s="141" t="inlineStr">
        <is>
          <t>PCTC</t>
        </is>
      </c>
    </row>
    <row r="619">
      <c r="A619" s="141" t="inlineStr">
        <is>
          <t xml:space="preserve">OOCL Chancay </t>
        </is>
      </c>
      <c r="E619" s="141" t="inlineStr">
        <is>
          <t>Water Bottles</t>
        </is>
      </c>
      <c r="L619" s="141" t="inlineStr">
        <is>
          <t>PCTC</t>
        </is>
      </c>
    </row>
    <row r="620">
      <c r="A620" s="141" t="inlineStr">
        <is>
          <t xml:space="preserve">OOCL Chancay </t>
        </is>
      </c>
      <c r="E620" s="141" t="inlineStr">
        <is>
          <t>GoPro Hero 10</t>
        </is>
      </c>
      <c r="L620" s="141" t="inlineStr">
        <is>
          <t>PCTC</t>
        </is>
      </c>
    </row>
    <row r="621">
      <c r="A621" s="141" t="inlineStr">
        <is>
          <t xml:space="preserve">OOCL Chancay </t>
        </is>
      </c>
      <c r="E621" s="141" t="inlineStr">
        <is>
          <t>Fuel Additiove</t>
        </is>
      </c>
      <c r="L621" s="141" t="inlineStr">
        <is>
          <t>PCTC</t>
        </is>
      </c>
    </row>
    <row r="622">
      <c r="A622" s="141" t="inlineStr">
        <is>
          <t xml:space="preserve">OOCL Chancay </t>
        </is>
      </c>
      <c r="E622" s="141" t="inlineStr">
        <is>
          <t>Inspection Gauge for Container Socket</t>
        </is>
      </c>
      <c r="L622" s="141" t="inlineStr">
        <is>
          <t>PCTC</t>
        </is>
      </c>
    </row>
    <row r="623">
      <c r="A623" s="141" t="inlineStr">
        <is>
          <t xml:space="preserve">OOCL Chancay </t>
        </is>
      </c>
      <c r="E623" s="141" t="inlineStr">
        <is>
          <t>PD - Sewage Treatment Plant Fittings (Accom)</t>
        </is>
      </c>
      <c r="L623" s="141" t="inlineStr">
        <is>
          <t>PCTC</t>
        </is>
      </c>
    </row>
    <row r="624">
      <c r="A624" s="141" t="inlineStr">
        <is>
          <t xml:space="preserve">OOCL Chancay </t>
        </is>
      </c>
      <c r="E624" s="141" t="inlineStr">
        <is>
          <t>Universal Calibrator</t>
        </is>
      </c>
      <c r="L624" s="141" t="inlineStr">
        <is>
          <t>PCTC</t>
        </is>
      </c>
    </row>
    <row r="625">
      <c r="A625" s="141" t="inlineStr">
        <is>
          <t xml:space="preserve">OOCL Chancay </t>
        </is>
      </c>
      <c r="E625" s="141" t="inlineStr">
        <is>
          <t>Gas Measuring Equipment - RKI GX-8001</t>
        </is>
      </c>
      <c r="L625" s="141" t="inlineStr">
        <is>
          <t>PCTC</t>
        </is>
      </c>
    </row>
    <row r="626">
      <c r="A626" s="141" t="inlineStr">
        <is>
          <t xml:space="preserve">OOCL Chancay </t>
        </is>
      </c>
      <c r="C626" s="141" t="inlineStr">
        <is>
          <t>OCHA-60037/26</t>
        </is>
      </c>
      <c r="E626" s="141" t="inlineStr">
        <is>
          <t>Lost Time Ijury</t>
        </is>
      </c>
      <c r="L626" s="141" t="inlineStr">
        <is>
          <t>PCTC</t>
        </is>
      </c>
    </row>
    <row r="627">
      <c r="A627" s="141" t="inlineStr">
        <is>
          <t xml:space="preserve">OOCL Chancay </t>
        </is>
      </c>
      <c r="E627" s="141" t="inlineStr">
        <is>
          <t>Urea</t>
        </is>
      </c>
      <c r="L627" s="141" t="inlineStr">
        <is>
          <t>PCTC</t>
        </is>
      </c>
    </row>
    <row r="628">
      <c r="A628" s="141" t="inlineStr">
        <is>
          <t xml:space="preserve">OOCL Chancay </t>
        </is>
      </c>
      <c r="E628" s="141" t="inlineStr">
        <is>
          <t>Hydropen</t>
        </is>
      </c>
      <c r="L628" s="141" t="inlineStr">
        <is>
          <t>PCTC</t>
        </is>
      </c>
    </row>
    <row r="629">
      <c r="A629" s="141" t="inlineStr">
        <is>
          <t xml:space="preserve">OOCL Chancay </t>
        </is>
      </c>
      <c r="E629" s="141" t="inlineStr">
        <is>
          <t>Lub Oil Test Kit (VISWA)</t>
        </is>
      </c>
      <c r="L629" s="141" t="inlineStr">
        <is>
          <t>PCTC</t>
        </is>
      </c>
    </row>
    <row r="630">
      <c r="A630" s="141" t="inlineStr">
        <is>
          <t xml:space="preserve">OOCL Chancay </t>
        </is>
      </c>
      <c r="E630" s="141" t="inlineStr">
        <is>
          <t>Stores- Instrumentation</t>
        </is>
      </c>
      <c r="L630" s="141" t="inlineStr">
        <is>
          <t>PCTC</t>
        </is>
      </c>
    </row>
    <row r="631">
      <c r="A631" s="141" t="inlineStr">
        <is>
          <t xml:space="preserve">OOCL Chancay </t>
        </is>
      </c>
      <c r="E631" s="141" t="inlineStr">
        <is>
          <t>VISWA Line Sampler</t>
        </is>
      </c>
      <c r="L631" s="141" t="inlineStr">
        <is>
          <t>PCTC</t>
        </is>
      </c>
    </row>
    <row r="632">
      <c r="A632" s="141" t="inlineStr">
        <is>
          <t xml:space="preserve">OOCL Chancay </t>
        </is>
      </c>
      <c r="E632" s="141" t="inlineStr">
        <is>
          <t>Walkie Talkie</t>
        </is>
      </c>
      <c r="L632" s="141" t="inlineStr">
        <is>
          <t>PCTC</t>
        </is>
      </c>
    </row>
    <row r="633">
      <c r="A633" s="141" t="inlineStr">
        <is>
          <t xml:space="preserve">OOCL Chancay </t>
        </is>
      </c>
      <c r="E633" s="141" t="inlineStr">
        <is>
          <t>Lighting Installations</t>
        </is>
      </c>
      <c r="L633" s="141" t="inlineStr">
        <is>
          <t>PCTC</t>
        </is>
      </c>
    </row>
    <row r="634">
      <c r="A634" s="141" t="inlineStr">
        <is>
          <t xml:space="preserve">OOCL Chancay </t>
        </is>
      </c>
      <c r="E634" s="141" t="inlineStr">
        <is>
          <t>ISPS Light</t>
        </is>
      </c>
      <c r="L634" s="141" t="inlineStr">
        <is>
          <t>PCTC</t>
        </is>
      </c>
    </row>
    <row r="635" ht="37.5" customHeight="1">
      <c r="A635" s="141" t="inlineStr">
        <is>
          <t xml:space="preserve">OOCL Chancay </t>
        </is>
      </c>
      <c r="E635" s="141" t="inlineStr">
        <is>
          <t xml:space="preserve"> New Positioning System for Transiting Neopanamax  Safepilot P3 navigation System</t>
        </is>
      </c>
      <c r="L635" s="141" t="inlineStr">
        <is>
          <t>PCTC</t>
        </is>
      </c>
    </row>
    <row r="636">
      <c r="A636" s="141" t="inlineStr">
        <is>
          <t xml:space="preserve">OOCL Chancay </t>
        </is>
      </c>
      <c r="E636" s="141" t="inlineStr">
        <is>
          <t>One (1) garbage compactor</t>
        </is>
      </c>
      <c r="L636" s="141" t="inlineStr">
        <is>
          <t>PCTC</t>
        </is>
      </c>
    </row>
    <row r="637">
      <c r="A637" s="141" t="inlineStr">
        <is>
          <t xml:space="preserve">OOCL Chancay </t>
        </is>
      </c>
      <c r="E637" s="141" t="inlineStr">
        <is>
          <t xml:space="preserve">Lubricating Oil and Grease  consumable </t>
        </is>
      </c>
      <c r="L637" s="141" t="inlineStr">
        <is>
          <t>PCTC</t>
        </is>
      </c>
    </row>
    <row r="638">
      <c r="A638" s="141" t="inlineStr">
        <is>
          <t xml:space="preserve">OOCL Chancay </t>
        </is>
      </c>
      <c r="E638" s="141" t="inlineStr">
        <is>
          <t xml:space="preserve"> Loose fittings for container securing </t>
        </is>
      </c>
      <c r="L638" s="141" t="inlineStr">
        <is>
          <t>PCTC</t>
        </is>
      </c>
    </row>
    <row r="639" ht="37.5" customHeight="1">
      <c r="A639" s="141" t="inlineStr">
        <is>
          <t xml:space="preserve">OOCL Chancay </t>
        </is>
      </c>
      <c r="E639" s="141" t="inlineStr">
        <is>
          <t>Fully automatic twist locks shall be stowed in stowage bins (Buyer supply)</t>
        </is>
      </c>
      <c r="L639" s="141" t="inlineStr">
        <is>
          <t>PCTC</t>
        </is>
      </c>
    </row>
    <row r="640">
      <c r="A640" s="141" t="inlineStr">
        <is>
          <t xml:space="preserve">OOCL Chancay </t>
        </is>
      </c>
      <c r="E640" s="141" t="inlineStr">
        <is>
          <t>Soot Release Dosing Device</t>
        </is>
      </c>
      <c r="L640" s="141" t="inlineStr">
        <is>
          <t>PCTC</t>
        </is>
      </c>
    </row>
    <row r="641">
      <c r="A641" s="141" t="inlineStr">
        <is>
          <t xml:space="preserve">OOCL Chancay </t>
        </is>
      </c>
      <c r="E641" s="141" t="inlineStr">
        <is>
          <t>Reefer container Monitoring System</t>
        </is>
      </c>
      <c r="L641" s="141" t="inlineStr">
        <is>
          <t>PCTC</t>
        </is>
      </c>
    </row>
    <row r="642" ht="56.25" customHeight="1">
      <c r="A642" s="141" t="inlineStr">
        <is>
          <t xml:space="preserve">OOCL Chancay </t>
        </is>
      </c>
      <c r="E642" s="141" t="inlineStr">
        <is>
          <t xml:space="preserve">Reefer Cables  and plug extensions 
 Extension cores with plug for reefer container between reefer container and socket. </t>
        </is>
      </c>
      <c r="L642" s="141" t="inlineStr">
        <is>
          <t>PCTC</t>
        </is>
      </c>
    </row>
    <row r="643" ht="37.5" customHeight="1">
      <c r="A643" s="141" t="inlineStr">
        <is>
          <t xml:space="preserve">OOCL Chancay </t>
        </is>
      </c>
      <c r="E643" s="141" t="inlineStr">
        <is>
          <t xml:space="preserve"> Loose equipment for emergency operation such as chain block and shackle.</t>
        </is>
      </c>
      <c r="L643" s="141" t="inlineStr">
        <is>
          <t>PCTC</t>
        </is>
      </c>
    </row>
    <row r="644">
      <c r="A644" s="141" t="inlineStr">
        <is>
          <t xml:space="preserve">OOCL Chancay </t>
        </is>
      </c>
      <c r="E644" s="141" t="inlineStr">
        <is>
          <t xml:space="preserve">Charts in general and all nautical instruments and books </t>
        </is>
      </c>
      <c r="L644" s="141" t="inlineStr">
        <is>
          <t>PCTC</t>
        </is>
      </c>
    </row>
    <row r="645">
      <c r="A645" s="141" t="inlineStr">
        <is>
          <t xml:space="preserve">OOCL Chancay </t>
        </is>
      </c>
      <c r="E645" s="141" t="inlineStr">
        <is>
          <t>Flags</t>
        </is>
      </c>
      <c r="L645" s="141" t="inlineStr">
        <is>
          <t>PCTC</t>
        </is>
      </c>
    </row>
    <row r="646">
      <c r="A646" s="141" t="inlineStr">
        <is>
          <t xml:space="preserve">OOCL Chancay </t>
        </is>
      </c>
      <c r="E646" s="141" t="inlineStr">
        <is>
          <t xml:space="preserve">All office machine </t>
        </is>
      </c>
      <c r="L646" s="141" t="inlineStr">
        <is>
          <t>PCTC</t>
        </is>
      </c>
    </row>
    <row r="647" ht="37.5" customHeight="1">
      <c r="A647" s="141" t="inlineStr">
        <is>
          <t xml:space="preserve">OOCL Chancay </t>
        </is>
      </c>
      <c r="E647" s="141" t="inlineStr">
        <is>
          <t>Hobby, sport and entertainment equipment (in excess of those specified in the Specification).</t>
        </is>
      </c>
      <c r="L647" s="141" t="inlineStr">
        <is>
          <t>PCTC</t>
        </is>
      </c>
    </row>
    <row r="648">
      <c r="A648" s="141" t="inlineStr">
        <is>
          <t xml:space="preserve">OOCL Chancay </t>
        </is>
      </c>
      <c r="E648" s="141" t="inlineStr">
        <is>
          <t>All medicine and medical equipment except those for lifeboat.</t>
        </is>
      </c>
      <c r="L648" s="141" t="inlineStr">
        <is>
          <t>PCTC</t>
        </is>
      </c>
    </row>
    <row r="649" ht="37.5" customHeight="1">
      <c r="A649" s="141" t="inlineStr">
        <is>
          <t xml:space="preserve">OOCL Chancay </t>
        </is>
      </c>
      <c r="E649" s="141" t="inlineStr">
        <is>
          <t>All cook’s and steward’s utensils (crockery, cutlery, silverware, earthenware, glassware, pots, pans, etc.)</t>
        </is>
      </c>
      <c r="L649" s="141" t="inlineStr">
        <is>
          <t>PCTC</t>
        </is>
      </c>
    </row>
    <row r="650" ht="37.5" customHeight="1">
      <c r="A650" s="141" t="inlineStr">
        <is>
          <t xml:space="preserve">OOCL Chancay </t>
        </is>
      </c>
      <c r="E650" s="141" t="inlineStr">
        <is>
          <t xml:space="preserve"> Linen including blanket, carpets, bed sheets, towels and table cloth, etc.</t>
        </is>
      </c>
      <c r="L650" s="141" t="inlineStr">
        <is>
          <t>PCTC</t>
        </is>
      </c>
    </row>
    <row r="651" ht="37.5" customHeight="1">
      <c r="A651" s="141" t="inlineStr">
        <is>
          <t xml:space="preserve">OOCL Chancay </t>
        </is>
      </c>
      <c r="E651" s="141" t="inlineStr">
        <is>
          <t>Bedding clothes (blankets, sheets, covers, etc.) except mattresses.</t>
        </is>
      </c>
      <c r="L651" s="141" t="inlineStr">
        <is>
          <t>PCTC</t>
        </is>
      </c>
    </row>
    <row r="652">
      <c r="A652" s="141" t="inlineStr">
        <is>
          <t xml:space="preserve">OOCL Chancay </t>
        </is>
      </c>
      <c r="E652" s="141" t="inlineStr">
        <is>
          <t>Painting and pictures including frames and other decorations.</t>
        </is>
      </c>
      <c r="L652" s="141" t="inlineStr">
        <is>
          <t>PCTC</t>
        </is>
      </c>
    </row>
    <row r="653" ht="56.25" customHeight="1">
      <c r="A653" s="141" t="inlineStr">
        <is>
          <t xml:space="preserve">OOCL Chancay </t>
        </is>
      </c>
      <c r="E653" s="141" t="inlineStr">
        <is>
          <t>Brooms, brushes, vacuum cleaners, waste baskets, etc. for accommodation and all portable hoses and clean devices not mentioned in the specification.</t>
        </is>
      </c>
      <c r="L653" s="141" t="inlineStr">
        <is>
          <t>PCTC</t>
        </is>
      </c>
    </row>
    <row r="654" ht="37.5" customHeight="1">
      <c r="A654" s="141" t="inlineStr">
        <is>
          <t xml:space="preserve">OOCL Chancay </t>
        </is>
      </c>
      <c r="E654" s="141" t="inlineStr">
        <is>
          <t>Consumable stores including sanitary, all chandlery (soap, lamp oil, serviettes, table cloth etc.).</t>
        </is>
      </c>
      <c r="L654" s="141" t="inlineStr">
        <is>
          <t>PCTC</t>
        </is>
      </c>
    </row>
    <row r="655" ht="37.5" customHeight="1">
      <c r="A655" s="141" t="inlineStr">
        <is>
          <t xml:space="preserve">OOCL Chancay </t>
        </is>
      </c>
      <c r="E655" s="141" t="inlineStr">
        <is>
          <t xml:space="preserve">TV sets, Hi-Fi stereo sets and DVD etc. recreation equipment shall be supplied by the Buyer.( 220VAC) </t>
        </is>
      </c>
      <c r="L655" s="141" t="inlineStr">
        <is>
          <t>PCTC</t>
        </is>
      </c>
    </row>
    <row r="656">
      <c r="A656" s="141" t="inlineStr">
        <is>
          <t xml:space="preserve">OOCL Chancay </t>
        </is>
      </c>
      <c r="E656" s="141" t="inlineStr">
        <is>
          <t>Three (3) sets of Muster List (Buyer’s supply)</t>
        </is>
      </c>
      <c r="L656" s="141" t="inlineStr">
        <is>
          <t>PCTC</t>
        </is>
      </c>
    </row>
    <row r="657">
      <c r="A657" s="141" t="inlineStr">
        <is>
          <t xml:space="preserve">OOCL Chancay </t>
        </is>
      </c>
      <c r="E657" s="141" t="inlineStr">
        <is>
          <t xml:space="preserve">Hospital and dispensary O2 bottle rack with fastening belt </t>
        </is>
      </c>
      <c r="L657" s="141" t="inlineStr">
        <is>
          <t>PCTC</t>
        </is>
      </c>
    </row>
    <row r="658" ht="37.5" customHeight="1">
      <c r="A658" s="141" t="inlineStr">
        <is>
          <t xml:space="preserve">OOCL Chancay </t>
        </is>
      </c>
      <c r="E658" s="141" t="inlineStr">
        <is>
          <t xml:space="preserve">Gymnasium equipment ( also to indicate power supply) ( 220VAC) </t>
        </is>
      </c>
      <c r="L658" s="141" t="inlineStr">
        <is>
          <t>PCTC</t>
        </is>
      </c>
    </row>
    <row r="659">
      <c r="A659" s="141" t="inlineStr">
        <is>
          <t xml:space="preserve">OOCL Chancay </t>
        </is>
      </c>
      <c r="E659" s="141" t="inlineStr">
        <is>
          <t xml:space="preserve">FLAGS. SIGNAL ETC. </t>
        </is>
      </c>
      <c r="L659" s="141" t="inlineStr">
        <is>
          <t>PCTC</t>
        </is>
      </c>
    </row>
    <row r="660" ht="37.5" customHeight="1">
      <c r="A660" s="141" t="inlineStr">
        <is>
          <t xml:space="preserve">OOCL Chancay </t>
        </is>
      </c>
      <c r="E660" s="141" t="inlineStr">
        <is>
          <t>Boatswain’s and carpenter’s tools and inventory other than those specified in the Specification.</t>
        </is>
      </c>
      <c r="L660" s="141" t="inlineStr">
        <is>
          <t>PCTC</t>
        </is>
      </c>
    </row>
    <row r="661">
      <c r="A661" s="141" t="inlineStr">
        <is>
          <t xml:space="preserve">OOCL Chancay </t>
        </is>
      </c>
      <c r="E661" s="141" t="inlineStr">
        <is>
          <t xml:space="preserve">Boiler feed water test kit and chemical compounds </t>
        </is>
      </c>
      <c r="L661" s="141" t="inlineStr">
        <is>
          <t>PCTC</t>
        </is>
      </c>
    </row>
    <row r="662">
      <c r="A662" s="141" t="inlineStr">
        <is>
          <t xml:space="preserve">OOCL Chancay </t>
        </is>
      </c>
      <c r="E662" s="141" t="inlineStr">
        <is>
          <t>Test Kit for Fuel Oil, Lube Oil and Hydraulic Oil</t>
        </is>
      </c>
      <c r="L662" s="141" t="inlineStr">
        <is>
          <t>PCTC</t>
        </is>
      </c>
    </row>
    <row r="663">
      <c r="A663" s="141" t="inlineStr">
        <is>
          <t xml:space="preserve">OOCL Chancay </t>
        </is>
      </c>
      <c r="E663" s="141" t="inlineStr">
        <is>
          <t>Test kit for shaft condition monitor</t>
        </is>
      </c>
      <c r="L663" s="141" t="inlineStr">
        <is>
          <t>PCTC</t>
        </is>
      </c>
    </row>
    <row r="664" ht="37.5" customHeight="1">
      <c r="A664" s="141" t="inlineStr">
        <is>
          <t xml:space="preserve">OOCL Chancay </t>
        </is>
      </c>
      <c r="E664" s="141" t="inlineStr">
        <is>
          <t xml:space="preserve">Mooring ropes including towing lines and fire wires addtional to spec </t>
        </is>
      </c>
      <c r="L664" s="141" t="inlineStr">
        <is>
          <t>PCTC</t>
        </is>
      </c>
    </row>
    <row r="665" ht="37.5" customHeight="1">
      <c r="A665" s="141" t="inlineStr">
        <is>
          <t xml:space="preserve">OOCL Chancay </t>
        </is>
      </c>
      <c r="E665" s="141" t="inlineStr">
        <is>
          <t>Each one (1) test equipment for temperature and pressure to be provided by buyer.</t>
        </is>
      </c>
      <c r="L665" s="141" t="inlineStr">
        <is>
          <t>PCTC</t>
        </is>
      </c>
    </row>
    <row r="666">
      <c r="A666" s="141" t="inlineStr">
        <is>
          <t xml:space="preserve">OOCL Chancay </t>
        </is>
      </c>
      <c r="E666" s="141" t="inlineStr">
        <is>
          <t>One (1) portable lantern for each person (Buyer’s supply).</t>
        </is>
      </c>
      <c r="L666" s="141" t="inlineStr">
        <is>
          <t>PCTC</t>
        </is>
      </c>
    </row>
    <row r="667">
      <c r="A667" s="141" t="inlineStr">
        <is>
          <t xml:space="preserve">OOCL Chancay </t>
        </is>
      </c>
      <c r="E667" s="141" t="inlineStr">
        <is>
          <t>Large binoculars</t>
        </is>
      </c>
      <c r="L667" s="141" t="inlineStr">
        <is>
          <t>PCTC</t>
        </is>
      </c>
    </row>
    <row r="668">
      <c r="A668" s="141" t="inlineStr">
        <is>
          <t xml:space="preserve">OOCL Chancay </t>
        </is>
      </c>
      <c r="E668" s="141" t="inlineStr">
        <is>
          <t>Food rations, 10,000kJ for each person (Buyer’s supply).</t>
        </is>
      </c>
      <c r="L668" s="141" t="inlineStr">
        <is>
          <t>PCTC</t>
        </is>
      </c>
    </row>
    <row r="669">
      <c r="A669" s="141" t="inlineStr">
        <is>
          <t xml:space="preserve">OOCL Chancay </t>
        </is>
      </c>
      <c r="E669" s="141" t="inlineStr">
        <is>
          <t>Fresh water, 3L for each person (Buyer’s supply).</t>
        </is>
      </c>
      <c r="L669" s="141" t="inlineStr">
        <is>
          <t>PCTC</t>
        </is>
      </c>
    </row>
    <row r="670">
      <c r="A670" s="141" t="inlineStr">
        <is>
          <t xml:space="preserve">OOCL Chancay </t>
        </is>
      </c>
      <c r="E670" s="141" t="inlineStr">
        <is>
          <t>First-aid kit (Buyer’s supply).</t>
        </is>
      </c>
      <c r="L670" s="141" t="inlineStr">
        <is>
          <t>PCTC</t>
        </is>
      </c>
    </row>
    <row r="671">
      <c r="A671" s="141" t="inlineStr">
        <is>
          <t xml:space="preserve">OOCL Chancay </t>
        </is>
      </c>
      <c r="E671" s="141" t="inlineStr">
        <is>
          <t xml:space="preserve">Portable toilet (Buyer’s supply) for Citadel </t>
        </is>
      </c>
      <c r="L671" s="141" t="inlineStr">
        <is>
          <t>PCTC</t>
        </is>
      </c>
    </row>
    <row r="672" ht="56.25" customHeight="1">
      <c r="A672" s="141" t="inlineStr">
        <is>
          <t xml:space="preserve">OOCL Chancay </t>
        </is>
      </c>
      <c r="E672" s="141" t="inlineStr">
        <is>
          <t xml:space="preserve">Portable atmosphere testing instrument for measuring concentration of oxygen, flammable gases or vapors, hydrogen sulphide and carbon monoxide </t>
        </is>
      </c>
      <c r="L672" s="141" t="inlineStr">
        <is>
          <t>PCTC</t>
        </is>
      </c>
    </row>
    <row r="673">
      <c r="A673" s="141" t="inlineStr">
        <is>
          <t xml:space="preserve">OOCL Chancay </t>
        </is>
      </c>
      <c r="E673" s="141" t="inlineStr">
        <is>
          <t>One (1) set of UHF walkie-talkie transceiver system</t>
        </is>
      </c>
      <c r="L673" s="141" t="inlineStr">
        <is>
          <t>PCTC</t>
        </is>
      </c>
    </row>
    <row r="674" ht="37.5" customHeight="1">
      <c r="A674" s="141" t="inlineStr">
        <is>
          <t xml:space="preserve">OOCL Chancay </t>
        </is>
      </c>
      <c r="E674" s="141" t="inlineStr">
        <is>
          <t xml:space="preserve">PORTABLE UHF RADIO DEVICE (intrincaly safe) for crew operation  WITH chargers  ( 220VAC) addtional to rule </t>
        </is>
      </c>
      <c r="L674" s="141" t="inlineStr">
        <is>
          <t>PCTC</t>
        </is>
      </c>
    </row>
    <row r="675" ht="37.5" customHeight="1">
      <c r="A675" s="141" t="inlineStr">
        <is>
          <t xml:space="preserve">OOCL Chancay </t>
        </is>
      </c>
      <c r="E675" s="141" t="inlineStr">
        <is>
          <t xml:space="preserve">Breathing air compressor in Engine casing fire control station ( 220VAC) </t>
        </is>
      </c>
      <c r="L675" s="141" t="inlineStr">
        <is>
          <t>PCTC</t>
        </is>
      </c>
    </row>
    <row r="676" ht="38.25" customFormat="1" customHeight="1" s="100" thickBot="1">
      <c r="A676" s="142" t="inlineStr">
        <is>
          <t xml:space="preserve">OOCL Chancay </t>
        </is>
      </c>
      <c r="B676" s="142" t="n"/>
      <c r="C676" s="142" t="n"/>
      <c r="D676" s="142" t="n"/>
      <c r="E676" s="142" t="inlineStr">
        <is>
          <t xml:space="preserve">Drew filters for drinking water coolers  (Sampling Cooler)( 220VAC) </t>
        </is>
      </c>
      <c r="F676" s="142" t="n"/>
      <c r="G676" s="142" t="n"/>
      <c r="H676" s="142" t="n"/>
      <c r="I676" s="98" t="n"/>
      <c r="J676" s="142" t="n"/>
      <c r="K676" s="142" t="n"/>
      <c r="L676" s="142" t="inlineStr">
        <is>
          <t>PCTC</t>
        </is>
      </c>
      <c r="M676" s="142" t="n"/>
      <c r="N676" s="142" t="n"/>
      <c r="O676" s="98" t="n"/>
      <c r="P676" s="124" t="n"/>
    </row>
    <row r="677" ht="37.5" customHeight="1">
      <c r="A677" s="141" t="inlineStr">
        <is>
          <t>OOCL Peru</t>
        </is>
      </c>
      <c r="C677" s="141" t="inlineStr">
        <is>
          <t>OPER-MVSP-60007/26-1</t>
        </is>
      </c>
      <c r="E677" s="141" t="inlineStr">
        <is>
          <t>FS-FortiPAM</t>
        </is>
      </c>
      <c r="H677" s="141" t="inlineStr">
        <is>
          <t>Others</t>
        </is>
      </c>
      <c r="L677" s="141" t="inlineStr">
        <is>
          <t>PCTC</t>
        </is>
      </c>
    </row>
    <row r="678" ht="37.5" customHeight="1">
      <c r="A678" s="141" t="inlineStr">
        <is>
          <t>OOCL Peru</t>
        </is>
      </c>
      <c r="C678" s="141" t="inlineStr">
        <is>
          <t>OPER-MVSP-60003/26-1</t>
        </is>
      </c>
      <c r="E678" s="141" t="inlineStr">
        <is>
          <t>FS-Interface MTA adapter</t>
        </is>
      </c>
      <c r="H678" s="141" t="inlineStr">
        <is>
          <t>Others</t>
        </is>
      </c>
      <c r="L678" s="141" t="inlineStr">
        <is>
          <t>PCTC</t>
        </is>
      </c>
    </row>
    <row r="679">
      <c r="A679" s="141" t="inlineStr">
        <is>
          <t>OOCL Peru</t>
        </is>
      </c>
      <c r="C679" s="141" t="inlineStr">
        <is>
          <t>OPER-60016/26-2</t>
        </is>
      </c>
      <c r="E679" s="141" t="inlineStr">
        <is>
          <t>PD - RSC Envirologic</t>
        </is>
      </c>
      <c r="H679" s="141" t="inlineStr">
        <is>
          <t>Stores</t>
        </is>
      </c>
      <c r="L679" s="141" t="inlineStr">
        <is>
          <t>PCTC</t>
        </is>
      </c>
    </row>
    <row r="680" ht="37.5" customHeight="1">
      <c r="A680" s="141" t="inlineStr">
        <is>
          <t>OOCL Peru</t>
        </is>
      </c>
      <c r="C680" s="141" t="inlineStr">
        <is>
          <t>OPER-MVSP-60002/26-1</t>
        </is>
      </c>
      <c r="E680" s="141" t="inlineStr">
        <is>
          <t>FS-X10-SILVERPEAK</t>
        </is>
      </c>
      <c r="H680" s="141" t="inlineStr">
        <is>
          <t>Others</t>
        </is>
      </c>
      <c r="L680" s="141" t="inlineStr">
        <is>
          <t>PCTC</t>
        </is>
      </c>
    </row>
    <row r="681">
      <c r="A681" s="141" t="inlineStr">
        <is>
          <t>OOCL Peru</t>
        </is>
      </c>
      <c r="C681" s="141" t="inlineStr">
        <is>
          <t>OPER-60024/26-1</t>
        </is>
      </c>
      <c r="E681" s="141" t="inlineStr">
        <is>
          <t>Buyer Supply - J-Marine NeCST 55" Route Planner</t>
        </is>
      </c>
      <c r="H681" s="141" t="inlineStr">
        <is>
          <t>Spares</t>
        </is>
      </c>
      <c r="L681" s="141" t="inlineStr">
        <is>
          <t>PCTC</t>
        </is>
      </c>
    </row>
    <row r="682">
      <c r="A682" s="141" t="inlineStr">
        <is>
          <t>OOCL Peru</t>
        </is>
      </c>
      <c r="C682" s="141" t="inlineStr">
        <is>
          <t>OPER-60018/26-1</t>
        </is>
      </c>
      <c r="E682" s="141" t="inlineStr">
        <is>
          <t>Pre Delivery - Seatab</t>
        </is>
      </c>
      <c r="H682" s="141" t="inlineStr">
        <is>
          <t>Spares</t>
        </is>
      </c>
      <c r="L682" s="141" t="inlineStr">
        <is>
          <t>PCTC</t>
        </is>
      </c>
    </row>
    <row r="683">
      <c r="A683" s="141" t="inlineStr">
        <is>
          <t>OOCL Peru</t>
        </is>
      </c>
      <c r="C683" s="141" t="inlineStr">
        <is>
          <t>OPER-60010/26-1</t>
        </is>
      </c>
      <c r="E683" s="141" t="inlineStr">
        <is>
          <t>Pre Delivery - Abanaki skimmers</t>
        </is>
      </c>
      <c r="H683" s="141" t="inlineStr">
        <is>
          <t>Spares</t>
        </is>
      </c>
      <c r="L683" s="141" t="inlineStr">
        <is>
          <t>PCTC</t>
        </is>
      </c>
    </row>
    <row r="684">
      <c r="A684" s="141" t="inlineStr">
        <is>
          <t>OOCL Peru</t>
        </is>
      </c>
      <c r="C684" s="141" t="inlineStr">
        <is>
          <t>OPER-60014/26-1</t>
        </is>
      </c>
      <c r="E684" s="141" t="inlineStr">
        <is>
          <t>FS-ITBP Additional Item</t>
        </is>
      </c>
      <c r="H684" s="141" t="inlineStr">
        <is>
          <t>Others</t>
        </is>
      </c>
      <c r="L684" s="141" t="inlineStr">
        <is>
          <t>PCTC</t>
        </is>
      </c>
    </row>
    <row r="685">
      <c r="A685" s="141" t="inlineStr">
        <is>
          <t>OOCL Peru</t>
        </is>
      </c>
      <c r="C685" s="141" t="inlineStr">
        <is>
          <t>OPER-60001/26-1</t>
        </is>
      </c>
      <c r="E685" s="141" t="inlineStr">
        <is>
          <t>Interface PO-H1944A</t>
        </is>
      </c>
      <c r="H685" s="141" t="inlineStr">
        <is>
          <t>Others</t>
        </is>
      </c>
      <c r="L685" s="141" t="inlineStr">
        <is>
          <t>PCTC</t>
        </is>
      </c>
    </row>
    <row r="686">
      <c r="A686" s="141" t="inlineStr">
        <is>
          <t>OOCL Peru</t>
        </is>
      </c>
      <c r="C686" s="141" t="inlineStr">
        <is>
          <t>OPER-60006/26-1</t>
        </is>
      </c>
      <c r="E686" s="141" t="inlineStr">
        <is>
          <t>FS-SIHUI-Peru</t>
        </is>
      </c>
      <c r="H686" s="141" t="inlineStr">
        <is>
          <t>Others</t>
        </is>
      </c>
      <c r="L686" s="141" t="inlineStr">
        <is>
          <t>PCTC</t>
        </is>
      </c>
    </row>
    <row r="687">
      <c r="A687" s="141" t="inlineStr">
        <is>
          <t>OOCL Peru</t>
        </is>
      </c>
      <c r="C687" s="141" t="inlineStr">
        <is>
          <t>OPER-60025/26-1</t>
        </is>
      </c>
      <c r="E687" s="141" t="inlineStr">
        <is>
          <t>(OOCL PERU) Order # 2 -  5716115310</t>
        </is>
      </c>
      <c r="H687" s="141" t="inlineStr">
        <is>
          <t>Lube Oil</t>
        </is>
      </c>
      <c r="L687" s="141" t="inlineStr">
        <is>
          <t>PCTC</t>
        </is>
      </c>
    </row>
    <row r="688">
      <c r="A688" s="141" t="inlineStr">
        <is>
          <t>OOCL Peru</t>
        </is>
      </c>
      <c r="C688" s="141" t="inlineStr">
        <is>
          <t>OPER-60002/25-1</t>
        </is>
      </c>
      <c r="E688" s="141" t="inlineStr">
        <is>
          <t>PD - SIT Equipment</t>
        </is>
      </c>
      <c r="H688" s="141" t="inlineStr">
        <is>
          <t>Spares</t>
        </is>
      </c>
      <c r="L688" s="141" t="inlineStr">
        <is>
          <t>PCTC</t>
        </is>
      </c>
    </row>
    <row r="689">
      <c r="A689" s="141" t="inlineStr">
        <is>
          <t>OOCL Peru</t>
        </is>
      </c>
      <c r="C689" s="141" t="inlineStr">
        <is>
          <t>OPER-60021/26-1</t>
        </is>
      </c>
      <c r="E689" s="141" t="inlineStr">
        <is>
          <t>FS-KVH</t>
        </is>
      </c>
      <c r="H689" s="141" t="inlineStr">
        <is>
          <t>Others</t>
        </is>
      </c>
      <c r="L689" s="141" t="inlineStr">
        <is>
          <t>PCTC</t>
        </is>
      </c>
    </row>
    <row r="690">
      <c r="A690" s="141" t="inlineStr">
        <is>
          <t>OOCL Peru</t>
        </is>
      </c>
      <c r="C690" s="141" t="inlineStr">
        <is>
          <t>OPER-60019/26-1</t>
        </is>
      </c>
      <c r="E690" s="141" t="inlineStr">
        <is>
          <t>FS-AST -UPDATED PO</t>
        </is>
      </c>
      <c r="H690" s="141" t="inlineStr">
        <is>
          <t>Others</t>
        </is>
      </c>
      <c r="L690" s="141" t="inlineStr">
        <is>
          <t>PCTC</t>
        </is>
      </c>
    </row>
    <row r="691">
      <c r="A691" s="141" t="inlineStr">
        <is>
          <t>OOCL Peru</t>
        </is>
      </c>
      <c r="C691" s="141" t="inlineStr">
        <is>
          <t>OPER-60012/26-1</t>
        </is>
      </c>
      <c r="E691" s="141" t="inlineStr">
        <is>
          <t>FS-LENOVO-Peru</t>
        </is>
      </c>
      <c r="H691" s="141" t="inlineStr">
        <is>
          <t>Others</t>
        </is>
      </c>
      <c r="L691" s="141" t="inlineStr">
        <is>
          <t>PCTC</t>
        </is>
      </c>
    </row>
    <row r="692">
      <c r="A692" s="141" t="inlineStr">
        <is>
          <t>OOCL Peru</t>
        </is>
      </c>
      <c r="C692" s="141" t="inlineStr">
        <is>
          <t>OPER-60004/26-1</t>
        </is>
      </c>
      <c r="E692" s="141" t="inlineStr">
        <is>
          <t>FS-ITBP  -PERU</t>
        </is>
      </c>
      <c r="H692" s="141" t="inlineStr">
        <is>
          <t>Others</t>
        </is>
      </c>
      <c r="L692" s="141" t="inlineStr">
        <is>
          <t>PCTC</t>
        </is>
      </c>
    </row>
    <row r="693">
      <c r="A693" s="141" t="inlineStr">
        <is>
          <t>OOCL Peru</t>
        </is>
      </c>
      <c r="C693" s="141" t="inlineStr">
        <is>
          <t>OPER-60020/26-1</t>
        </is>
      </c>
      <c r="E693" s="141" t="inlineStr">
        <is>
          <t>FS-Vlink</t>
        </is>
      </c>
      <c r="H693" s="141" t="inlineStr">
        <is>
          <t>Others</t>
        </is>
      </c>
      <c r="L693" s="141" t="inlineStr">
        <is>
          <t>PCTC</t>
        </is>
      </c>
    </row>
    <row r="694">
      <c r="A694" s="141" t="inlineStr">
        <is>
          <t>OOCL Peru</t>
        </is>
      </c>
      <c r="C694" s="141" t="inlineStr">
        <is>
          <t>OPER-60015/26-1</t>
        </is>
      </c>
      <c r="E694" s="141" t="inlineStr">
        <is>
          <t>FS-ITBP MISC LAB KIT</t>
        </is>
      </c>
      <c r="H694" s="141" t="inlineStr">
        <is>
          <t>Others</t>
        </is>
      </c>
      <c r="L694" s="141" t="inlineStr">
        <is>
          <t>PCTC</t>
        </is>
      </c>
    </row>
    <row r="695">
      <c r="A695" s="141" t="inlineStr">
        <is>
          <t>OOCL Peru</t>
        </is>
      </c>
      <c r="C695" s="141" t="inlineStr">
        <is>
          <t>OPER-60013/26-1</t>
        </is>
      </c>
      <c r="E695" s="141" t="inlineStr">
        <is>
          <t>FS-ITBP CABLES</t>
        </is>
      </c>
      <c r="H695" s="141" t="inlineStr">
        <is>
          <t>Others</t>
        </is>
      </c>
      <c r="L695" s="141" t="inlineStr">
        <is>
          <t>PCTC</t>
        </is>
      </c>
    </row>
    <row r="696">
      <c r="A696" s="141" t="inlineStr">
        <is>
          <t>OOCL Peru</t>
        </is>
      </c>
      <c r="C696" s="141" t="inlineStr">
        <is>
          <t>OPER-60002/26-1</t>
        </is>
      </c>
      <c r="E696" s="141" t="inlineStr">
        <is>
          <t>FS-VLINK-H1944A</t>
        </is>
      </c>
      <c r="H696" s="141" t="inlineStr">
        <is>
          <t>Others</t>
        </is>
      </c>
      <c r="L696" s="141" t="inlineStr">
        <is>
          <t>PCTC</t>
        </is>
      </c>
    </row>
    <row r="697">
      <c r="A697" s="141" t="inlineStr">
        <is>
          <t>OOCL Peru</t>
        </is>
      </c>
      <c r="C697" s="141" t="inlineStr">
        <is>
          <t>OPER-60003/26-1</t>
        </is>
      </c>
      <c r="E697" s="141" t="inlineStr">
        <is>
          <t>FS-VLINK-Accessories</t>
        </is>
      </c>
      <c r="H697" s="141" t="inlineStr">
        <is>
          <t>Others</t>
        </is>
      </c>
      <c r="L697" s="141" t="inlineStr">
        <is>
          <t>PCTC</t>
        </is>
      </c>
    </row>
    <row r="698">
      <c r="A698" s="141" t="inlineStr">
        <is>
          <t>OOCL Peru</t>
        </is>
      </c>
      <c r="C698" s="141" t="inlineStr">
        <is>
          <t>OPER-60017/26-1</t>
        </is>
      </c>
      <c r="E698" s="141" t="inlineStr">
        <is>
          <t>Pre Delivery - Garbage</t>
        </is>
      </c>
      <c r="H698" s="141" t="inlineStr">
        <is>
          <t>Spares</t>
        </is>
      </c>
      <c r="L698" s="141" t="inlineStr">
        <is>
          <t>PCTC</t>
        </is>
      </c>
    </row>
    <row r="699">
      <c r="A699" s="141" t="inlineStr">
        <is>
          <t>OOCL Peru</t>
        </is>
      </c>
      <c r="C699" s="141" t="inlineStr">
        <is>
          <t>OPER-60009/26</t>
        </is>
      </c>
      <c r="E699" s="141" t="inlineStr">
        <is>
          <t>Pre Deliveryy - Navis</t>
        </is>
      </c>
      <c r="H699" s="141" t="inlineStr">
        <is>
          <t>Spares</t>
        </is>
      </c>
      <c r="L699" s="141" t="inlineStr">
        <is>
          <t>PCTC</t>
        </is>
      </c>
    </row>
    <row r="700">
      <c r="A700" s="141" t="inlineStr">
        <is>
          <t>OOCL Peru</t>
        </is>
      </c>
      <c r="C700" s="141" t="inlineStr">
        <is>
          <t>OPER-60023/26</t>
        </is>
      </c>
      <c r="E700" s="141" t="inlineStr">
        <is>
          <t>13600 TEU - Lashing RFP -  SEC</t>
        </is>
      </c>
      <c r="H700" s="141" t="inlineStr">
        <is>
          <t>Spares</t>
        </is>
      </c>
      <c r="L700" s="141" t="inlineStr">
        <is>
          <t>PCTC</t>
        </is>
      </c>
    </row>
    <row r="701" ht="19.5" customFormat="1" customHeight="1" s="100" thickBot="1">
      <c r="A701" s="142" t="inlineStr">
        <is>
          <t>OOCL Peru</t>
        </is>
      </c>
      <c r="B701" s="142" t="n"/>
      <c r="C701" s="142" t="inlineStr">
        <is>
          <t>OPER-60011/26</t>
        </is>
      </c>
      <c r="D701" s="142" t="n"/>
      <c r="E701" s="142" t="inlineStr">
        <is>
          <t>FS-LENOVO-Peru</t>
        </is>
      </c>
      <c r="F701" s="142" t="n"/>
      <c r="G701" s="142" t="n"/>
      <c r="H701" s="142" t="inlineStr">
        <is>
          <t>Others</t>
        </is>
      </c>
      <c r="I701" s="98" t="n"/>
      <c r="J701" s="142" t="n"/>
      <c r="K701" s="142" t="n"/>
      <c r="L701" s="142" t="inlineStr">
        <is>
          <t>PCTC</t>
        </is>
      </c>
      <c r="M701" s="142" t="n"/>
      <c r="N701" s="142" t="n"/>
      <c r="O701" s="98" t="n"/>
      <c r="P701" s="124" t="n"/>
    </row>
    <row r="702" ht="37.5" customHeight="1">
      <c r="A702" s="141" t="inlineStr">
        <is>
          <t>OOCL Ecuador</t>
        </is>
      </c>
      <c r="C702" s="141" t="inlineStr">
        <is>
          <t>OECU-MVSP-60007/26-1</t>
        </is>
      </c>
      <c r="E702" s="141" t="inlineStr">
        <is>
          <t>FS-FortiPAM</t>
        </is>
      </c>
      <c r="H702" s="141" t="inlineStr">
        <is>
          <t>Others</t>
        </is>
      </c>
      <c r="L702" s="141" t="inlineStr">
        <is>
          <t>PCTC</t>
        </is>
      </c>
    </row>
    <row r="703" ht="37.5" customHeight="1">
      <c r="A703" s="141" t="inlineStr">
        <is>
          <t>OOCL Ecuador</t>
        </is>
      </c>
      <c r="C703" s="141" t="inlineStr">
        <is>
          <t>OECU-MVSP-60002/26-1</t>
        </is>
      </c>
      <c r="E703" s="141" t="inlineStr">
        <is>
          <t>FS-X10-SILVERPEAK</t>
        </is>
      </c>
      <c r="H703" s="141" t="inlineStr">
        <is>
          <t>Others</t>
        </is>
      </c>
      <c r="L703" s="141" t="inlineStr">
        <is>
          <t>PCTC</t>
        </is>
      </c>
    </row>
    <row r="704" ht="37.5" customHeight="1">
      <c r="A704" s="141" t="inlineStr">
        <is>
          <t>OOCL Ecuador</t>
        </is>
      </c>
      <c r="C704" s="141" t="inlineStr">
        <is>
          <t>OECU-MVSP-60003/26-1</t>
        </is>
      </c>
      <c r="E704" s="141" t="inlineStr">
        <is>
          <t>FS-Interface MTA adapter</t>
        </is>
      </c>
      <c r="H704" s="141" t="inlineStr">
        <is>
          <t>Others</t>
        </is>
      </c>
      <c r="L704" s="141" t="inlineStr">
        <is>
          <t>PCTC</t>
        </is>
      </c>
    </row>
    <row r="705">
      <c r="A705" s="141" t="inlineStr">
        <is>
          <t>OOCL Ecuador</t>
        </is>
      </c>
      <c r="C705" s="141" t="inlineStr">
        <is>
          <t>OECU-60009/26-1</t>
        </is>
      </c>
      <c r="E705" s="141" t="inlineStr">
        <is>
          <t>Pre Delivery - Navis</t>
        </is>
      </c>
      <c r="H705" s="141" t="inlineStr">
        <is>
          <t>Spares</t>
        </is>
      </c>
      <c r="L705" s="141" t="inlineStr">
        <is>
          <t>PCTC</t>
        </is>
      </c>
    </row>
    <row r="706">
      <c r="A706" s="141" t="inlineStr">
        <is>
          <t>OOCL Ecuador</t>
        </is>
      </c>
      <c r="C706" s="141" t="inlineStr">
        <is>
          <t>OECU-60015/26-2</t>
        </is>
      </c>
      <c r="E706" s="141" t="inlineStr">
        <is>
          <t>Pre Delivery Lubes - Order # 1 5715475050</t>
        </is>
      </c>
      <c r="H706" s="141" t="inlineStr">
        <is>
          <t>Lube Oil</t>
        </is>
      </c>
      <c r="L706" s="141" t="inlineStr">
        <is>
          <t>PCTC</t>
        </is>
      </c>
    </row>
    <row r="707">
      <c r="A707" s="141" t="inlineStr">
        <is>
          <t>OOCL Ecuador</t>
        </is>
      </c>
      <c r="C707" s="141" t="inlineStr">
        <is>
          <t>OECU-60016/26-1</t>
        </is>
      </c>
      <c r="E707" s="141" t="inlineStr">
        <is>
          <t>PD - RSC Envirologic</t>
        </is>
      </c>
      <c r="H707" s="141" t="inlineStr">
        <is>
          <t>Stores</t>
        </is>
      </c>
      <c r="L707" s="141" t="inlineStr">
        <is>
          <t>PCTC</t>
        </is>
      </c>
    </row>
    <row r="708">
      <c r="A708" s="141" t="inlineStr">
        <is>
          <t>OOCL Ecuador</t>
        </is>
      </c>
      <c r="C708" s="141" t="inlineStr">
        <is>
          <t>OECU-60002/25-1</t>
        </is>
      </c>
      <c r="E708" s="141" t="inlineStr">
        <is>
          <t>PD - SIT Equipment</t>
        </is>
      </c>
      <c r="H708" s="141" t="inlineStr">
        <is>
          <t>Spares</t>
        </is>
      </c>
      <c r="L708" s="141" t="inlineStr">
        <is>
          <t>PCTC</t>
        </is>
      </c>
    </row>
    <row r="709">
      <c r="A709" s="141" t="inlineStr">
        <is>
          <t>OOCL Ecuador</t>
        </is>
      </c>
      <c r="C709" s="141" t="inlineStr">
        <is>
          <t>OECU-60017/26-1</t>
        </is>
      </c>
      <c r="E709" s="141" t="inlineStr">
        <is>
          <t>Pre Delivery - Garbage</t>
        </is>
      </c>
      <c r="H709" s="141" t="inlineStr">
        <is>
          <t>Spares</t>
        </is>
      </c>
      <c r="L709" s="141" t="inlineStr">
        <is>
          <t>PCTC</t>
        </is>
      </c>
    </row>
    <row r="710">
      <c r="A710" s="141" t="inlineStr">
        <is>
          <t>OOCL Ecuador</t>
        </is>
      </c>
      <c r="C710" s="141" t="inlineStr">
        <is>
          <t>OECU-60018/26-1</t>
        </is>
      </c>
      <c r="E710" s="141" t="inlineStr">
        <is>
          <t>Pre Delivery - Seatab</t>
        </is>
      </c>
      <c r="H710" s="141" t="inlineStr">
        <is>
          <t>Spares</t>
        </is>
      </c>
      <c r="L710" s="141" t="inlineStr">
        <is>
          <t>PCTC</t>
        </is>
      </c>
    </row>
    <row r="711">
      <c r="A711" s="141" t="inlineStr">
        <is>
          <t>OOCL Ecuador</t>
        </is>
      </c>
      <c r="C711" s="141" t="inlineStr">
        <is>
          <t>OECU-60010/26-1</t>
        </is>
      </c>
      <c r="E711" s="141" t="inlineStr">
        <is>
          <t>Pre Delivery - Abanaki skimmers</t>
        </is>
      </c>
      <c r="H711" s="141" t="inlineStr">
        <is>
          <t>Spares</t>
        </is>
      </c>
      <c r="L711" s="141" t="inlineStr">
        <is>
          <t>PCTC</t>
        </is>
      </c>
    </row>
    <row r="712">
      <c r="A712" s="141" t="inlineStr">
        <is>
          <t>OOCL Ecuador</t>
        </is>
      </c>
      <c r="C712" s="141" t="inlineStr">
        <is>
          <t>OECU-60024/26-1</t>
        </is>
      </c>
      <c r="E712" s="141" t="inlineStr">
        <is>
          <t>Buyer Supply - J-Marine NeCST 55" Route Planner</t>
        </is>
      </c>
      <c r="H712" s="141" t="inlineStr">
        <is>
          <t>Spares</t>
        </is>
      </c>
      <c r="L712" s="141" t="inlineStr">
        <is>
          <t>PCTC</t>
        </is>
      </c>
    </row>
    <row r="713">
      <c r="A713" s="141" t="inlineStr">
        <is>
          <t>OOCL Ecuador</t>
        </is>
      </c>
      <c r="C713" s="141" t="inlineStr">
        <is>
          <t>OECU-60006/26-1</t>
        </is>
      </c>
      <c r="E713" s="141" t="inlineStr">
        <is>
          <t>FS-SIHUI-ECUADOR</t>
        </is>
      </c>
      <c r="H713" s="141" t="inlineStr">
        <is>
          <t>Others</t>
        </is>
      </c>
      <c r="L713" s="141" t="inlineStr">
        <is>
          <t>PCTC</t>
        </is>
      </c>
    </row>
    <row r="714">
      <c r="A714" s="141" t="inlineStr">
        <is>
          <t>OOCL Ecuador</t>
        </is>
      </c>
      <c r="C714" s="141" t="inlineStr">
        <is>
          <t>OECU-60014/26-1</t>
        </is>
      </c>
      <c r="E714" s="141" t="inlineStr">
        <is>
          <t>FS-ITBP MISC LAB KIT</t>
        </is>
      </c>
      <c r="H714" s="141" t="inlineStr">
        <is>
          <t>Others</t>
        </is>
      </c>
      <c r="L714" s="141" t="inlineStr">
        <is>
          <t>PCTC</t>
        </is>
      </c>
    </row>
    <row r="715">
      <c r="A715" s="141" t="inlineStr">
        <is>
          <t>OOCL Ecuador</t>
        </is>
      </c>
      <c r="C715" s="141" t="inlineStr">
        <is>
          <t>OECU-60011/26-1</t>
        </is>
      </c>
      <c r="E715" s="141" t="inlineStr">
        <is>
          <t>FS-LENOVO-Ecuador</t>
        </is>
      </c>
      <c r="H715" s="141" t="inlineStr">
        <is>
          <t>Others</t>
        </is>
      </c>
      <c r="L715" s="141" t="inlineStr">
        <is>
          <t>PCTC</t>
        </is>
      </c>
    </row>
    <row r="716">
      <c r="A716" s="141" t="inlineStr">
        <is>
          <t>OOCL Ecuador</t>
        </is>
      </c>
      <c r="C716" s="141" t="inlineStr">
        <is>
          <t>OECU-60003/26-1</t>
        </is>
      </c>
      <c r="E716" s="141" t="inlineStr">
        <is>
          <t>FS-VLINK-Accessories</t>
        </is>
      </c>
      <c r="H716" s="141" t="inlineStr">
        <is>
          <t>Others</t>
        </is>
      </c>
      <c r="L716" s="141" t="inlineStr">
        <is>
          <t>PCTC</t>
        </is>
      </c>
    </row>
    <row r="717">
      <c r="A717" s="141" t="inlineStr">
        <is>
          <t>OOCL Ecuador</t>
        </is>
      </c>
      <c r="C717" s="141" t="inlineStr">
        <is>
          <t>OECU-60013/26-1</t>
        </is>
      </c>
      <c r="E717" s="141" t="inlineStr">
        <is>
          <t>FS-ITBP Additional Item</t>
        </is>
      </c>
      <c r="H717" s="141" t="inlineStr">
        <is>
          <t>Others</t>
        </is>
      </c>
      <c r="L717" s="141" t="inlineStr">
        <is>
          <t>PCTC</t>
        </is>
      </c>
    </row>
    <row r="718">
      <c r="A718" s="141" t="inlineStr">
        <is>
          <t>OOCL Ecuador</t>
        </is>
      </c>
      <c r="C718" s="141" t="inlineStr">
        <is>
          <t>OECU-60012/26-1</t>
        </is>
      </c>
      <c r="E718" s="141" t="inlineStr">
        <is>
          <t>FS-ITBP CABLES</t>
        </is>
      </c>
      <c r="H718" s="141" t="inlineStr">
        <is>
          <t>Others</t>
        </is>
      </c>
      <c r="L718" s="141" t="inlineStr">
        <is>
          <t>PCTC</t>
        </is>
      </c>
    </row>
    <row r="719">
      <c r="A719" s="141" t="inlineStr">
        <is>
          <t>OOCL Ecuador</t>
        </is>
      </c>
      <c r="C719" s="141" t="inlineStr">
        <is>
          <t>OECU-60001/26-1</t>
        </is>
      </c>
      <c r="E719" s="141" t="inlineStr">
        <is>
          <t>Interface PO-H1945A</t>
        </is>
      </c>
      <c r="H719" s="141" t="inlineStr">
        <is>
          <t>Others</t>
        </is>
      </c>
      <c r="L719" s="141" t="inlineStr">
        <is>
          <t>PCTC</t>
        </is>
      </c>
    </row>
    <row r="720">
      <c r="A720" s="141" t="inlineStr">
        <is>
          <t>OOCL Ecuador</t>
        </is>
      </c>
      <c r="C720" s="141" t="inlineStr">
        <is>
          <t>OECU-60002/26-1</t>
        </is>
      </c>
      <c r="E720" s="141" t="inlineStr">
        <is>
          <t>FS-VLINK-H1945A</t>
        </is>
      </c>
      <c r="H720" s="141" t="inlineStr">
        <is>
          <t>Others</t>
        </is>
      </c>
      <c r="L720" s="141" t="inlineStr">
        <is>
          <t>PCTC</t>
        </is>
      </c>
    </row>
    <row r="721">
      <c r="A721" s="141" t="inlineStr">
        <is>
          <t>OOCL Ecuador</t>
        </is>
      </c>
      <c r="C721" s="141" t="inlineStr">
        <is>
          <t>OECU-60008/26-1</t>
        </is>
      </c>
      <c r="E721" s="141" t="inlineStr">
        <is>
          <t>FS-ITBP  -ECUADOR</t>
        </is>
      </c>
      <c r="H721" s="141" t="inlineStr">
        <is>
          <t>Others</t>
        </is>
      </c>
      <c r="L721" s="141" t="inlineStr">
        <is>
          <t>PCTC</t>
        </is>
      </c>
    </row>
    <row r="722">
      <c r="A722" s="141" t="inlineStr">
        <is>
          <t>OOCL Ecuador</t>
        </is>
      </c>
      <c r="C722" s="141" t="inlineStr">
        <is>
          <t>OECU-60020/26-1</t>
        </is>
      </c>
      <c r="E722" s="141" t="inlineStr">
        <is>
          <t>FS-Vlink</t>
        </is>
      </c>
      <c r="H722" s="141" t="inlineStr">
        <is>
          <t>Others</t>
        </is>
      </c>
      <c r="L722" s="141" t="inlineStr">
        <is>
          <t>PCTC</t>
        </is>
      </c>
    </row>
    <row r="723">
      <c r="A723" s="141" t="inlineStr">
        <is>
          <t>OOCL Ecuador</t>
        </is>
      </c>
      <c r="C723" s="141" t="inlineStr">
        <is>
          <t>OECU-60019/26-1</t>
        </is>
      </c>
      <c r="E723" s="141" t="inlineStr">
        <is>
          <t>FS-AST -UPDATED PO</t>
        </is>
      </c>
      <c r="H723" s="141" t="inlineStr">
        <is>
          <t>Others</t>
        </is>
      </c>
      <c r="L723" s="141" t="inlineStr">
        <is>
          <t>PCTC</t>
        </is>
      </c>
    </row>
    <row r="724">
      <c r="A724" s="141" t="inlineStr">
        <is>
          <t>OOCL Ecuador</t>
        </is>
      </c>
      <c r="C724" s="141" t="inlineStr">
        <is>
          <t>OECU-60021/26-1</t>
        </is>
      </c>
      <c r="E724" s="141" t="inlineStr">
        <is>
          <t>FS-KVH</t>
        </is>
      </c>
      <c r="H724" s="141" t="inlineStr">
        <is>
          <t>Others</t>
        </is>
      </c>
      <c r="L724" s="141" t="inlineStr">
        <is>
          <t>PCTC</t>
        </is>
      </c>
    </row>
    <row r="725" ht="19.5" customFormat="1" customHeight="1" s="100" thickBot="1">
      <c r="A725" s="142" t="inlineStr">
        <is>
          <t>OOCL Ecuador</t>
        </is>
      </c>
      <c r="B725" s="142" t="n"/>
      <c r="C725" s="142" t="inlineStr">
        <is>
          <t>OECU-60023/26</t>
        </is>
      </c>
      <c r="D725" s="142" t="n"/>
      <c r="E725" s="142" t="inlineStr">
        <is>
          <t>13600 TEU - Lashing RFP -  SEC</t>
        </is>
      </c>
      <c r="F725" s="142" t="n"/>
      <c r="G725" s="142" t="n"/>
      <c r="H725" s="142" t="inlineStr">
        <is>
          <t>Spares</t>
        </is>
      </c>
      <c r="I725" s="98" t="n"/>
      <c r="J725" s="142" t="n"/>
      <c r="K725" s="142" t="n"/>
      <c r="L725" s="142" t="inlineStr">
        <is>
          <t>PCTC</t>
        </is>
      </c>
      <c r="M725" s="142" t="n"/>
      <c r="N725" s="142" t="n"/>
      <c r="O725" s="98" t="n"/>
      <c r="P725" s="124" t="n"/>
    </row>
    <row r="726" ht="37.5" customHeight="1">
      <c r="A726" s="141" t="inlineStr">
        <is>
          <t xml:space="preserve">OOCL Chile </t>
        </is>
      </c>
      <c r="C726" s="141" t="inlineStr">
        <is>
          <t>OCHI-MVSP-60002/26-1</t>
        </is>
      </c>
      <c r="E726" s="141" t="inlineStr">
        <is>
          <t>FS-X10-SILVERPEAK</t>
        </is>
      </c>
      <c r="H726" s="141" t="inlineStr">
        <is>
          <t>Others</t>
        </is>
      </c>
      <c r="L726" s="141" t="inlineStr">
        <is>
          <t>PCTC</t>
        </is>
      </c>
    </row>
    <row r="727" ht="37.5" customHeight="1">
      <c r="A727" s="141" t="inlineStr">
        <is>
          <t xml:space="preserve">OOCL Chile </t>
        </is>
      </c>
      <c r="C727" s="141" t="inlineStr">
        <is>
          <t>OCHI-MVSP-60007/26-1</t>
        </is>
      </c>
      <c r="E727" s="141" t="inlineStr">
        <is>
          <t>FS-FortiPAM</t>
        </is>
      </c>
      <c r="H727" s="141" t="inlineStr">
        <is>
          <t>Others</t>
        </is>
      </c>
      <c r="L727" s="141" t="inlineStr">
        <is>
          <t>PCTC</t>
        </is>
      </c>
    </row>
    <row r="728" ht="37.5" customHeight="1">
      <c r="A728" s="141" t="inlineStr">
        <is>
          <t xml:space="preserve">OOCL Chile </t>
        </is>
      </c>
      <c r="C728" s="141" t="inlineStr">
        <is>
          <t>OCHI-MVSP-60003/26-1</t>
        </is>
      </c>
      <c r="E728" s="141" t="inlineStr">
        <is>
          <t>FS-Interface MTA adapter</t>
        </is>
      </c>
      <c r="H728" s="141" t="inlineStr">
        <is>
          <t>Others</t>
        </is>
      </c>
      <c r="L728" s="141" t="inlineStr">
        <is>
          <t>PCTC</t>
        </is>
      </c>
    </row>
    <row r="729">
      <c r="A729" s="141" t="inlineStr">
        <is>
          <t xml:space="preserve">OOCL Chile </t>
        </is>
      </c>
      <c r="C729" s="141" t="inlineStr">
        <is>
          <t>OCHI-60024/26-1</t>
        </is>
      </c>
      <c r="E729" s="141" t="inlineStr">
        <is>
          <t>Buyer Supply - J-Marine NeCST 55" Route Planner</t>
        </is>
      </c>
      <c r="H729" s="141" t="inlineStr">
        <is>
          <t>Spares</t>
        </is>
      </c>
      <c r="L729" s="141" t="inlineStr">
        <is>
          <t>PCTC</t>
        </is>
      </c>
    </row>
    <row r="730">
      <c r="A730" s="141" t="inlineStr">
        <is>
          <t xml:space="preserve">OOCL Chile </t>
        </is>
      </c>
      <c r="C730" s="141" t="inlineStr">
        <is>
          <t>OCHI-60018/26-1</t>
        </is>
      </c>
      <c r="E730" s="141" t="inlineStr">
        <is>
          <t>Pre Delivery - Seatab</t>
        </is>
      </c>
      <c r="H730" s="141" t="inlineStr">
        <is>
          <t>Spares</t>
        </is>
      </c>
      <c r="L730" s="141" t="inlineStr">
        <is>
          <t>PCTC</t>
        </is>
      </c>
    </row>
    <row r="731">
      <c r="A731" s="141" t="inlineStr">
        <is>
          <t xml:space="preserve">OOCL Chile </t>
        </is>
      </c>
      <c r="C731" s="141" t="inlineStr">
        <is>
          <t>OCHI-60010/26-1</t>
        </is>
      </c>
      <c r="E731" s="141" t="inlineStr">
        <is>
          <t>Pre Delivery - Abanaki skimmers</t>
        </is>
      </c>
      <c r="H731" s="141" t="inlineStr">
        <is>
          <t>Spares</t>
        </is>
      </c>
      <c r="L731" s="141" t="inlineStr">
        <is>
          <t>PCTC</t>
        </is>
      </c>
    </row>
    <row r="732">
      <c r="A732" s="141" t="inlineStr">
        <is>
          <t xml:space="preserve">OOCL Chile </t>
        </is>
      </c>
      <c r="C732" s="141" t="inlineStr">
        <is>
          <t>OCHI-60002/25-1</t>
        </is>
      </c>
      <c r="E732" s="141" t="inlineStr">
        <is>
          <t>PD - SIT Equipment</t>
        </is>
      </c>
      <c r="H732" s="141" t="inlineStr">
        <is>
          <t>Spares</t>
        </is>
      </c>
      <c r="L732" s="141" t="inlineStr">
        <is>
          <t>PCTC</t>
        </is>
      </c>
    </row>
    <row r="733">
      <c r="A733" s="141" t="inlineStr">
        <is>
          <t xml:space="preserve">OOCL Chile </t>
        </is>
      </c>
      <c r="C733" s="141" t="inlineStr">
        <is>
          <t>OCHI-60016/26-1</t>
        </is>
      </c>
      <c r="E733" s="141" t="inlineStr">
        <is>
          <t>PD - RSC Envirologic</t>
        </is>
      </c>
      <c r="H733" s="141" t="inlineStr">
        <is>
          <t>Stores</t>
        </is>
      </c>
      <c r="L733" s="141" t="inlineStr">
        <is>
          <t>PCTC</t>
        </is>
      </c>
    </row>
    <row r="734">
      <c r="A734" s="141" t="inlineStr">
        <is>
          <t xml:space="preserve">OOCL Chile </t>
        </is>
      </c>
      <c r="C734" s="141" t="inlineStr">
        <is>
          <t>OCHI-60019/26-1</t>
        </is>
      </c>
      <c r="E734" s="141" t="inlineStr">
        <is>
          <t>FS-AST -UPDATED PO</t>
        </is>
      </c>
      <c r="H734" s="141" t="inlineStr">
        <is>
          <t>Others</t>
        </is>
      </c>
      <c r="L734" s="141" t="inlineStr">
        <is>
          <t>PCTC</t>
        </is>
      </c>
    </row>
    <row r="735">
      <c r="A735" s="141" t="inlineStr">
        <is>
          <t xml:space="preserve">OOCL Chile </t>
        </is>
      </c>
      <c r="C735" s="141" t="inlineStr">
        <is>
          <t>OCHI-60012/26-1</t>
        </is>
      </c>
      <c r="E735" s="141" t="inlineStr">
        <is>
          <t>FS-ITBP CABLES</t>
        </is>
      </c>
      <c r="H735" s="141" t="inlineStr">
        <is>
          <t>Others</t>
        </is>
      </c>
      <c r="L735" s="141" t="inlineStr">
        <is>
          <t>PCTC</t>
        </is>
      </c>
    </row>
    <row r="736">
      <c r="A736" s="141" t="inlineStr">
        <is>
          <t xml:space="preserve">OOCL Chile </t>
        </is>
      </c>
      <c r="C736" s="141" t="inlineStr">
        <is>
          <t>OCHI-60015/26-1</t>
        </is>
      </c>
      <c r="E736" s="141" t="inlineStr">
        <is>
          <t>FS-ITBP MISC LAB KIT</t>
        </is>
      </c>
      <c r="H736" s="141" t="inlineStr">
        <is>
          <t>Others</t>
        </is>
      </c>
      <c r="L736" s="141" t="inlineStr">
        <is>
          <t>PCTC</t>
        </is>
      </c>
    </row>
    <row r="737">
      <c r="A737" s="141" t="inlineStr">
        <is>
          <t xml:space="preserve">OOCL Chile </t>
        </is>
      </c>
      <c r="C737" s="141" t="inlineStr">
        <is>
          <t>OCHI-60021/26-1</t>
        </is>
      </c>
      <c r="E737" s="141" t="inlineStr">
        <is>
          <t>FS-KVH</t>
        </is>
      </c>
      <c r="H737" s="141" t="inlineStr">
        <is>
          <t>Others</t>
        </is>
      </c>
      <c r="L737" s="141" t="inlineStr">
        <is>
          <t>PCTC</t>
        </is>
      </c>
    </row>
    <row r="738">
      <c r="A738" s="141" t="inlineStr">
        <is>
          <t xml:space="preserve">OOCL Chile </t>
        </is>
      </c>
      <c r="C738" s="141" t="inlineStr">
        <is>
          <t>OCHI-60006/26-1</t>
        </is>
      </c>
      <c r="E738" s="141" t="inlineStr">
        <is>
          <t>FS-SIHUI-CHILE</t>
        </is>
      </c>
      <c r="H738" s="141" t="inlineStr">
        <is>
          <t>Others</t>
        </is>
      </c>
      <c r="L738" s="141" t="inlineStr">
        <is>
          <t>PCTC</t>
        </is>
      </c>
    </row>
    <row r="739">
      <c r="A739" s="141" t="inlineStr">
        <is>
          <t xml:space="preserve">OOCL Chile </t>
        </is>
      </c>
      <c r="C739" s="141" t="inlineStr">
        <is>
          <t>OCHI-60003/26-1</t>
        </is>
      </c>
      <c r="E739" s="141" t="inlineStr">
        <is>
          <t>FS-VLINK-Accessories</t>
        </is>
      </c>
      <c r="H739" s="141" t="inlineStr">
        <is>
          <t>Others</t>
        </is>
      </c>
      <c r="L739" s="141" t="inlineStr">
        <is>
          <t>PCTC</t>
        </is>
      </c>
    </row>
    <row r="740">
      <c r="A740" s="141" t="inlineStr">
        <is>
          <t xml:space="preserve">OOCL Chile </t>
        </is>
      </c>
      <c r="C740" s="141" t="inlineStr">
        <is>
          <t>OCHI-60020/26-1</t>
        </is>
      </c>
      <c r="E740" s="141" t="inlineStr">
        <is>
          <t>FS-Vlink</t>
        </is>
      </c>
      <c r="H740" s="141" t="inlineStr">
        <is>
          <t>Others</t>
        </is>
      </c>
      <c r="L740" s="141" t="inlineStr">
        <is>
          <t>PCTC</t>
        </is>
      </c>
    </row>
    <row r="741">
      <c r="A741" s="141" t="inlineStr">
        <is>
          <t xml:space="preserve">OOCL Chile </t>
        </is>
      </c>
      <c r="C741" s="141" t="inlineStr">
        <is>
          <t>OCHI-60002/26-1</t>
        </is>
      </c>
      <c r="E741" s="141" t="inlineStr">
        <is>
          <t>FS-VLINK-H1946A</t>
        </is>
      </c>
      <c r="H741" s="141" t="inlineStr">
        <is>
          <t>Others</t>
        </is>
      </c>
      <c r="L741" s="141" t="inlineStr">
        <is>
          <t>PCTC</t>
        </is>
      </c>
    </row>
    <row r="742">
      <c r="A742" s="141" t="inlineStr">
        <is>
          <t xml:space="preserve">OOCL Chile </t>
        </is>
      </c>
      <c r="C742" s="141" t="inlineStr">
        <is>
          <t>OCHI-60014/26-1</t>
        </is>
      </c>
      <c r="E742" s="141" t="inlineStr">
        <is>
          <t>FS-ITBP Additional Item</t>
        </is>
      </c>
      <c r="H742" s="141" t="inlineStr">
        <is>
          <t>Others</t>
        </is>
      </c>
      <c r="L742" s="141" t="inlineStr">
        <is>
          <t>PCTC</t>
        </is>
      </c>
    </row>
    <row r="743">
      <c r="A743" s="141" t="inlineStr">
        <is>
          <t xml:space="preserve">OOCL Chile </t>
        </is>
      </c>
      <c r="C743" s="141" t="inlineStr">
        <is>
          <t>OCHI-60011/26-1</t>
        </is>
      </c>
      <c r="E743" s="141" t="inlineStr">
        <is>
          <t>FS-LENOVO-Chile</t>
        </is>
      </c>
      <c r="H743" s="141" t="inlineStr">
        <is>
          <t>Others</t>
        </is>
      </c>
      <c r="L743" s="141" t="inlineStr">
        <is>
          <t>PCTC</t>
        </is>
      </c>
    </row>
    <row r="744">
      <c r="A744" s="141" t="inlineStr">
        <is>
          <t xml:space="preserve">OOCL Chile </t>
        </is>
      </c>
      <c r="C744" s="141" t="inlineStr">
        <is>
          <t>OCHI-60008/26-1</t>
        </is>
      </c>
      <c r="E744" s="141" t="inlineStr">
        <is>
          <t>FS-ITBP  -CHILE</t>
        </is>
      </c>
      <c r="H744" s="141" t="inlineStr">
        <is>
          <t>Others</t>
        </is>
      </c>
      <c r="L744" s="141" t="inlineStr">
        <is>
          <t>PCTC</t>
        </is>
      </c>
    </row>
    <row r="745">
      <c r="A745" s="141" t="inlineStr">
        <is>
          <t xml:space="preserve">OOCL Chile </t>
        </is>
      </c>
      <c r="C745" s="141" t="inlineStr">
        <is>
          <t>OCHI-60001/26-1</t>
        </is>
      </c>
      <c r="E745" s="141" t="inlineStr">
        <is>
          <t>Interface PO-H1946A</t>
        </is>
      </c>
      <c r="H745" s="141" t="inlineStr">
        <is>
          <t>Others</t>
        </is>
      </c>
      <c r="L745" s="141" t="inlineStr">
        <is>
          <t>PCTC</t>
        </is>
      </c>
    </row>
    <row r="746">
      <c r="A746" s="141" t="inlineStr">
        <is>
          <t xml:space="preserve">OOCL Chile </t>
        </is>
      </c>
      <c r="C746" s="141" t="inlineStr">
        <is>
          <t>OCHI-60009/26</t>
        </is>
      </c>
      <c r="E746" s="141" t="inlineStr">
        <is>
          <t>Pre Delivery - Navis</t>
        </is>
      </c>
      <c r="H746" s="141" t="inlineStr">
        <is>
          <t>Spares</t>
        </is>
      </c>
      <c r="L746" s="141" t="inlineStr">
        <is>
          <t>PCTC</t>
        </is>
      </c>
    </row>
    <row r="747">
      <c r="A747" s="141" t="inlineStr">
        <is>
          <t xml:space="preserve">OOCL Chile </t>
        </is>
      </c>
      <c r="C747" s="141" t="inlineStr">
        <is>
          <t>OCHI-60017/26</t>
        </is>
      </c>
      <c r="E747" s="141" t="inlineStr">
        <is>
          <t>Pre Delivery - Garbage</t>
        </is>
      </c>
      <c r="H747" s="141" t="inlineStr">
        <is>
          <t>Spares</t>
        </is>
      </c>
      <c r="L747" s="141" t="inlineStr">
        <is>
          <t>PCTC</t>
        </is>
      </c>
    </row>
    <row r="748">
      <c r="A748" s="141" t="inlineStr">
        <is>
          <t xml:space="preserve">OOCL Chile </t>
        </is>
      </c>
      <c r="C748" s="141" t="inlineStr">
        <is>
          <t>OCHI-60023/26</t>
        </is>
      </c>
      <c r="E748" s="141" t="inlineStr">
        <is>
          <t>13600 TEU - Lashing RFP -  SEC</t>
        </is>
      </c>
      <c r="H748" s="141" t="inlineStr">
        <is>
          <t>Spares</t>
        </is>
      </c>
      <c r="L748" s="141" t="inlineStr">
        <is>
          <t>PCTC</t>
        </is>
      </c>
    </row>
    <row r="749" ht="19.5" customFormat="1" customHeight="1" s="100" thickBot="1">
      <c r="A749" s="142" t="inlineStr">
        <is>
          <t xml:space="preserve">OOCL Chile </t>
        </is>
      </c>
      <c r="B749" s="142" t="n"/>
      <c r="C749" s="142" t="inlineStr">
        <is>
          <t>OCHI-60025/26</t>
        </is>
      </c>
      <c r="D749" s="142" t="n"/>
      <c r="E749" s="142" t="inlineStr">
        <is>
          <t>(OOCL CHILE) Order # 1 - OC #5716281008</t>
        </is>
      </c>
      <c r="F749" s="142" t="n"/>
      <c r="G749" s="142" t="n"/>
      <c r="H749" s="142" t="inlineStr">
        <is>
          <t>Lube Oil</t>
        </is>
      </c>
      <c r="I749" s="98" t="n"/>
      <c r="J749" s="142" t="n"/>
      <c r="K749" s="142" t="n"/>
      <c r="L749" s="142" t="inlineStr">
        <is>
          <t>PCTC</t>
        </is>
      </c>
      <c r="M749" s="142" t="n"/>
      <c r="N749" s="142" t="n"/>
      <c r="O749" s="98" t="n"/>
      <c r="P749" s="124" t="n"/>
    </row>
    <row r="750">
      <c r="A750" s="141" t="inlineStr">
        <is>
          <t>OOCL Colombia</t>
        </is>
      </c>
      <c r="C750" s="141" t="inlineStr">
        <is>
          <t>OCOL-60003/26-1</t>
        </is>
      </c>
      <c r="E750" s="141" t="inlineStr">
        <is>
          <t>Pre Delivery - Abanaki Skimmer</t>
        </is>
      </c>
      <c r="H750" s="141" t="inlineStr">
        <is>
          <t>Spares</t>
        </is>
      </c>
      <c r="L750" s="141" t="inlineStr">
        <is>
          <t>PCTC</t>
        </is>
      </c>
    </row>
    <row r="751">
      <c r="A751" s="141" t="inlineStr">
        <is>
          <t>OOCL Colombia</t>
        </is>
      </c>
      <c r="C751" s="141" t="inlineStr">
        <is>
          <t>OCOL-60008/26-2</t>
        </is>
      </c>
      <c r="E751" s="141" t="inlineStr">
        <is>
          <t>PD - RSC Envirologic</t>
        </is>
      </c>
      <c r="H751" s="141" t="inlineStr">
        <is>
          <t>Stores</t>
        </is>
      </c>
      <c r="L751" s="141" t="inlineStr">
        <is>
          <t>PCTC</t>
        </is>
      </c>
    </row>
    <row r="752">
      <c r="A752" s="141" t="inlineStr">
        <is>
          <t>OOCL Colombia</t>
        </is>
      </c>
      <c r="C752" s="141" t="inlineStr">
        <is>
          <t>OCOL-60002/25-1</t>
        </is>
      </c>
      <c r="E752" s="141" t="inlineStr">
        <is>
          <t>PD - SIT Equipment</t>
        </is>
      </c>
      <c r="H752" s="141" t="inlineStr">
        <is>
          <t>Spares</t>
        </is>
      </c>
      <c r="L752" s="141" t="inlineStr">
        <is>
          <t>PCTC</t>
        </is>
      </c>
    </row>
    <row r="753">
      <c r="A753" s="141" t="inlineStr">
        <is>
          <t>OOCL Colombia</t>
        </is>
      </c>
      <c r="C753" s="141" t="inlineStr">
        <is>
          <t>OCOL-60009/26-1</t>
        </is>
      </c>
      <c r="E753" s="141" t="inlineStr">
        <is>
          <t>Pre Delivery - Garbage</t>
        </is>
      </c>
      <c r="H753" s="141" t="inlineStr">
        <is>
          <t>Spares</t>
        </is>
      </c>
      <c r="L753" s="141" t="inlineStr">
        <is>
          <t>PCTC</t>
        </is>
      </c>
    </row>
    <row r="754">
      <c r="A754" s="141" t="inlineStr">
        <is>
          <t>OOCL Colombia</t>
        </is>
      </c>
      <c r="C754" s="141" t="inlineStr">
        <is>
          <t>OCOL-60010/26-1</t>
        </is>
      </c>
      <c r="E754" s="141" t="inlineStr">
        <is>
          <t>Pre Delivery - Seatab</t>
        </is>
      </c>
      <c r="H754" s="141" t="inlineStr">
        <is>
          <t>Spares</t>
        </is>
      </c>
      <c r="L754" s="141" t="inlineStr">
        <is>
          <t>PCTC</t>
        </is>
      </c>
    </row>
    <row r="755">
      <c r="A755" s="141" t="inlineStr">
        <is>
          <t>OOCL Colombia</t>
        </is>
      </c>
      <c r="C755" s="141" t="inlineStr">
        <is>
          <t>OCOL-60013/26-1</t>
        </is>
      </c>
      <c r="E755" s="141" t="inlineStr">
        <is>
          <t>Buyer Supply - J-Marine NeCST 55" Route Planner</t>
        </is>
      </c>
      <c r="H755" s="141" t="inlineStr">
        <is>
          <t>Spares</t>
        </is>
      </c>
      <c r="L755" s="141" t="inlineStr">
        <is>
          <t>PCTC</t>
        </is>
      </c>
    </row>
    <row r="756">
      <c r="A756" s="141" t="inlineStr">
        <is>
          <t>OOCL Colombia</t>
        </is>
      </c>
      <c r="C756" s="141" t="inlineStr">
        <is>
          <t>OCOL-60002/26-1</t>
        </is>
      </c>
      <c r="E756" s="141" t="inlineStr">
        <is>
          <t>Pre Delivery - Navis</t>
        </is>
      </c>
      <c r="H756" s="141" t="inlineStr">
        <is>
          <t>Spares</t>
        </is>
      </c>
      <c r="L756" s="141" t="inlineStr">
        <is>
          <t>PCTC</t>
        </is>
      </c>
    </row>
    <row r="757">
      <c r="A757" s="141" t="inlineStr">
        <is>
          <t>OOCL Colombia</t>
        </is>
      </c>
      <c r="C757" s="141" t="inlineStr">
        <is>
          <t>OCOL-60007/26-1</t>
        </is>
      </c>
      <c r="E757" s="141" t="inlineStr">
        <is>
          <t>FS-ITBP MISC LAB KIT</t>
        </is>
      </c>
      <c r="H757" s="141" t="inlineStr">
        <is>
          <t>Others</t>
        </is>
      </c>
      <c r="L757" s="141" t="inlineStr">
        <is>
          <t>PCTC</t>
        </is>
      </c>
    </row>
    <row r="758">
      <c r="A758" s="141" t="inlineStr">
        <is>
          <t>OOCL Colombia</t>
        </is>
      </c>
      <c r="C758" s="141" t="inlineStr">
        <is>
          <t>OCOL-60004/26-1</t>
        </is>
      </c>
      <c r="E758" s="141" t="inlineStr">
        <is>
          <t>FS-LENOVO- Colombia</t>
        </is>
      </c>
      <c r="H758" s="141" t="inlineStr">
        <is>
          <t>Others</t>
        </is>
      </c>
      <c r="L758" s="141" t="inlineStr">
        <is>
          <t>PCTC</t>
        </is>
      </c>
    </row>
    <row r="759">
      <c r="A759" s="141" t="inlineStr">
        <is>
          <t>OOCL Colombia</t>
        </is>
      </c>
      <c r="C759" s="141" t="inlineStr">
        <is>
          <t>OCOL-60005/26-1</t>
        </is>
      </c>
      <c r="E759" s="141" t="inlineStr">
        <is>
          <t>FS-ITBP CABLES</t>
        </is>
      </c>
      <c r="H759" s="141" t="inlineStr">
        <is>
          <t>Others</t>
        </is>
      </c>
      <c r="L759" s="141" t="inlineStr">
        <is>
          <t>PCTC</t>
        </is>
      </c>
    </row>
    <row r="760">
      <c r="A760" s="141" t="inlineStr">
        <is>
          <t>OOCL Colombia</t>
        </is>
      </c>
      <c r="C760" s="141" t="inlineStr">
        <is>
          <t>OCOL-60001/26-1</t>
        </is>
      </c>
      <c r="E760" s="141" t="inlineStr">
        <is>
          <t>FS-ITBP  -Columbia</t>
        </is>
      </c>
      <c r="H760" s="141" t="inlineStr">
        <is>
          <t>Others</t>
        </is>
      </c>
      <c r="L760" s="141" t="inlineStr">
        <is>
          <t>PCTC</t>
        </is>
      </c>
    </row>
    <row r="761" ht="19.5" customFormat="1" customHeight="1" s="100" thickBot="1">
      <c r="A761" s="142" t="inlineStr">
        <is>
          <t>OOCL Colombia</t>
        </is>
      </c>
      <c r="B761" s="142" t="n"/>
      <c r="C761" s="142" t="inlineStr">
        <is>
          <t>OCOL-60006/26-1</t>
        </is>
      </c>
      <c r="D761" s="142" t="n"/>
      <c r="E761" s="142" t="inlineStr">
        <is>
          <t>FS-ITBP Additional Item</t>
        </is>
      </c>
      <c r="F761" s="142" t="n"/>
      <c r="G761" s="142" t="n"/>
      <c r="H761" s="142" t="inlineStr">
        <is>
          <t>Others</t>
        </is>
      </c>
      <c r="I761" s="98" t="n"/>
      <c r="J761" s="142" t="n"/>
      <c r="K761" s="142" t="n"/>
      <c r="L761" s="142" t="inlineStr">
        <is>
          <t>PCTC</t>
        </is>
      </c>
      <c r="M761" s="142" t="n"/>
      <c r="N761" s="142" t="n"/>
      <c r="O761" s="98" t="n"/>
      <c r="P761" s="124" t="n"/>
    </row>
    <row r="762" ht="37.5" customHeight="1">
      <c r="A762" s="141" t="inlineStr">
        <is>
          <t>OOCL Colombia</t>
        </is>
      </c>
      <c r="C762" s="141" t="inlineStr">
        <is>
          <t>OCOL-MVSP-60007/26-1</t>
        </is>
      </c>
      <c r="E762" s="141" t="inlineStr">
        <is>
          <t>FS-FortiPAM</t>
        </is>
      </c>
      <c r="H762" s="141" t="inlineStr">
        <is>
          <t>Others</t>
        </is>
      </c>
      <c r="L762" s="141" t="inlineStr">
        <is>
          <t>PCTC</t>
        </is>
      </c>
    </row>
    <row r="763" ht="37.5" customHeight="1">
      <c r="A763" s="141" t="inlineStr">
        <is>
          <t>OOCL Colombia</t>
        </is>
      </c>
      <c r="C763" s="141" t="inlineStr">
        <is>
          <t>OCOL-MVSP-60002/26-1</t>
        </is>
      </c>
      <c r="E763" s="141" t="inlineStr">
        <is>
          <t>FS-X10-SILVERPEAK</t>
        </is>
      </c>
      <c r="H763" s="141" t="inlineStr">
        <is>
          <t>Others</t>
        </is>
      </c>
      <c r="L763" s="141" t="inlineStr">
        <is>
          <t>PCTC</t>
        </is>
      </c>
    </row>
    <row r="764" ht="37.5" customHeight="1">
      <c r="A764" s="141" t="inlineStr">
        <is>
          <t>OOCL Colombia</t>
        </is>
      </c>
      <c r="C764" s="141" t="inlineStr">
        <is>
          <t>OCOL-MVSP-60003/26-1</t>
        </is>
      </c>
      <c r="E764" s="141" t="inlineStr">
        <is>
          <t>FS-Interface MTA adapter</t>
        </is>
      </c>
      <c r="H764" s="141" t="inlineStr">
        <is>
          <t>Others</t>
        </is>
      </c>
      <c r="L764" s="141" t="inlineStr">
        <is>
          <t>PCTC</t>
        </is>
      </c>
    </row>
    <row r="765">
      <c r="A765" s="141" t="inlineStr">
        <is>
          <t>OOCL Colombia</t>
        </is>
      </c>
      <c r="C765" s="141" t="inlineStr">
        <is>
          <t>OCOL-60012/26</t>
        </is>
      </c>
      <c r="E765" s="141" t="inlineStr">
        <is>
          <t>13600 TEU - Lashing RFP -  SEC</t>
        </is>
      </c>
      <c r="H765" s="141" t="inlineStr">
        <is>
          <t>Spares</t>
        </is>
      </c>
      <c r="L765" s="141" t="inlineStr">
        <is>
          <t>PCTC</t>
        </is>
      </c>
    </row>
    <row r="766" ht="37.5" customHeight="1">
      <c r="A766" s="141" t="inlineStr">
        <is>
          <t>OOCL Mexcio</t>
        </is>
      </c>
      <c r="C766" s="141" t="inlineStr">
        <is>
          <t>OMEX-MVSP-60007/26-1</t>
        </is>
      </c>
      <c r="E766" s="141" t="inlineStr">
        <is>
          <t>FS-FortiPAM</t>
        </is>
      </c>
      <c r="H766" s="141" t="inlineStr">
        <is>
          <t>Others</t>
        </is>
      </c>
      <c r="L766" s="141" t="inlineStr">
        <is>
          <t>PCTC</t>
        </is>
      </c>
    </row>
    <row r="767" ht="37.5" customHeight="1">
      <c r="A767" s="141" t="inlineStr">
        <is>
          <t>OOCL Mexcio</t>
        </is>
      </c>
      <c r="C767" s="141" t="inlineStr">
        <is>
          <t>OMEX-MVSP-60003/26-1</t>
        </is>
      </c>
      <c r="E767" s="141" t="inlineStr">
        <is>
          <t>FS-Interface MTA adapter</t>
        </is>
      </c>
      <c r="H767" s="141" t="inlineStr">
        <is>
          <t>Others</t>
        </is>
      </c>
      <c r="L767" s="141" t="inlineStr">
        <is>
          <t>PCTC</t>
        </is>
      </c>
    </row>
    <row r="768" ht="37.5" customHeight="1">
      <c r="A768" s="141" t="inlineStr">
        <is>
          <t>OOCL Mexcio</t>
        </is>
      </c>
      <c r="C768" s="141" t="inlineStr">
        <is>
          <t>OMEX-MVSP-60002/26-1</t>
        </is>
      </c>
      <c r="E768" s="141" t="inlineStr">
        <is>
          <t>FS-X10-SILVERPEAK</t>
        </is>
      </c>
      <c r="H768" s="141" t="inlineStr">
        <is>
          <t>Others</t>
        </is>
      </c>
      <c r="L768" s="141" t="inlineStr">
        <is>
          <t>PCTC</t>
        </is>
      </c>
    </row>
    <row r="769">
      <c r="A769" s="141" t="inlineStr">
        <is>
          <t>OOCL Mexcio</t>
        </is>
      </c>
      <c r="C769" s="141" t="inlineStr">
        <is>
          <t>OMEX-60002/25-1</t>
        </is>
      </c>
      <c r="E769" s="141" t="inlineStr">
        <is>
          <t>PD - SIT Equipment</t>
        </is>
      </c>
      <c r="H769" s="141" t="inlineStr">
        <is>
          <t>Spares</t>
        </is>
      </c>
      <c r="L769" s="141" t="inlineStr">
        <is>
          <t>PCTC</t>
        </is>
      </c>
    </row>
    <row r="770">
      <c r="A770" s="141" t="inlineStr">
        <is>
          <t>OOCL Mexcio</t>
        </is>
      </c>
      <c r="C770" s="141" t="inlineStr">
        <is>
          <t>OMEX-60010/26-1</t>
        </is>
      </c>
      <c r="E770" s="141" t="inlineStr">
        <is>
          <t>Pre Delivery - Seatab</t>
        </is>
      </c>
      <c r="H770" s="141" t="inlineStr">
        <is>
          <t>Spares</t>
        </is>
      </c>
      <c r="L770" s="141" t="inlineStr">
        <is>
          <t>PCTC</t>
        </is>
      </c>
    </row>
    <row r="771">
      <c r="A771" s="141" t="inlineStr">
        <is>
          <t>OOCL Mexcio</t>
        </is>
      </c>
      <c r="C771" s="141" t="inlineStr">
        <is>
          <t>OMEX-60013/26-1</t>
        </is>
      </c>
      <c r="E771" s="141" t="inlineStr">
        <is>
          <t>Buyer Supply - J-Marine NeCST 55" Route Planner</t>
        </is>
      </c>
      <c r="H771" s="141" t="inlineStr">
        <is>
          <t>Spares</t>
        </is>
      </c>
      <c r="L771" s="141" t="inlineStr">
        <is>
          <t>PCTC</t>
        </is>
      </c>
    </row>
    <row r="772">
      <c r="A772" s="141" t="inlineStr">
        <is>
          <t>OOCL Mexcio</t>
        </is>
      </c>
      <c r="C772" s="141" t="inlineStr">
        <is>
          <t>OMEX-60008/26-1</t>
        </is>
      </c>
      <c r="E772" s="141" t="inlineStr">
        <is>
          <t>PD - RSC Envirologic</t>
        </is>
      </c>
      <c r="H772" s="141" t="inlineStr">
        <is>
          <t>Stores</t>
        </is>
      </c>
      <c r="L772" s="141" t="inlineStr">
        <is>
          <t>PCTC</t>
        </is>
      </c>
    </row>
    <row r="773">
      <c r="A773" s="141" t="inlineStr">
        <is>
          <t>OOCL Mexcio</t>
        </is>
      </c>
      <c r="C773" s="141" t="inlineStr">
        <is>
          <t>OMEX-60003/26-1</t>
        </is>
      </c>
      <c r="E773" s="141" t="inlineStr">
        <is>
          <t>Pre Delivery - Abanaki skimmers</t>
        </is>
      </c>
      <c r="H773" s="141" t="inlineStr">
        <is>
          <t>Spares</t>
        </is>
      </c>
      <c r="L773" s="141" t="inlineStr">
        <is>
          <t>PCTC</t>
        </is>
      </c>
    </row>
    <row r="774">
      <c r="A774" s="141" t="inlineStr">
        <is>
          <t>OOCL Mexcio</t>
        </is>
      </c>
      <c r="C774" s="141" t="inlineStr">
        <is>
          <t>OMEX-60002/26-1</t>
        </is>
      </c>
      <c r="E774" s="141" t="inlineStr">
        <is>
          <t>Pre Delivery - Navis</t>
        </is>
      </c>
      <c r="H774" s="141" t="inlineStr">
        <is>
          <t>Spares</t>
        </is>
      </c>
      <c r="L774" s="141" t="inlineStr">
        <is>
          <t>PCTC</t>
        </is>
      </c>
    </row>
    <row r="775">
      <c r="A775" s="141" t="inlineStr">
        <is>
          <t>OOCL Mexcio</t>
        </is>
      </c>
      <c r="C775" s="141" t="inlineStr">
        <is>
          <t>OMEX-60009/26-1</t>
        </is>
      </c>
      <c r="E775" s="141" t="inlineStr">
        <is>
          <t>Pre Delivery - Garbage</t>
        </is>
      </c>
      <c r="H775" s="141" t="inlineStr">
        <is>
          <t>Spares</t>
        </is>
      </c>
      <c r="L775" s="141" t="inlineStr">
        <is>
          <t>PCTC</t>
        </is>
      </c>
    </row>
    <row r="776">
      <c r="A776" s="141" t="inlineStr">
        <is>
          <t>OOCL Mexcio</t>
        </is>
      </c>
      <c r="C776" s="141" t="inlineStr">
        <is>
          <t>OMEX-60005/26-1</t>
        </is>
      </c>
      <c r="E776" s="141" t="inlineStr">
        <is>
          <t>FS-ITBP CABLES</t>
        </is>
      </c>
      <c r="H776" s="141" t="inlineStr">
        <is>
          <t>Others</t>
        </is>
      </c>
      <c r="L776" s="141" t="inlineStr">
        <is>
          <t>PCTC</t>
        </is>
      </c>
    </row>
    <row r="777">
      <c r="A777" s="141" t="inlineStr">
        <is>
          <t>OOCL Mexcio</t>
        </is>
      </c>
      <c r="C777" s="141" t="inlineStr">
        <is>
          <t>OMEX-60001/26-1</t>
        </is>
      </c>
      <c r="E777" s="141" t="inlineStr">
        <is>
          <t>FS-ITBP  -Mexico</t>
        </is>
      </c>
      <c r="H777" s="141" t="inlineStr">
        <is>
          <t>Others</t>
        </is>
      </c>
      <c r="L777" s="141" t="inlineStr">
        <is>
          <t>PCTC</t>
        </is>
      </c>
    </row>
    <row r="778">
      <c r="A778" s="141" t="inlineStr">
        <is>
          <t>OOCL Mexcio</t>
        </is>
      </c>
      <c r="C778" s="141" t="inlineStr">
        <is>
          <t>OMEX-60007/26-1</t>
        </is>
      </c>
      <c r="E778" s="141" t="inlineStr">
        <is>
          <t>FS-ITBP MISC LAB KIT</t>
        </is>
      </c>
      <c r="H778" s="141" t="inlineStr">
        <is>
          <t>Others</t>
        </is>
      </c>
      <c r="L778" s="141" t="inlineStr">
        <is>
          <t>PCTC</t>
        </is>
      </c>
    </row>
    <row r="779">
      <c r="A779" s="141" t="inlineStr">
        <is>
          <t>OOCL Mexcio</t>
        </is>
      </c>
      <c r="C779" s="141" t="inlineStr">
        <is>
          <t>OMEX-60004/26-1</t>
        </is>
      </c>
      <c r="E779" s="141" t="inlineStr">
        <is>
          <t>FS-LENOVO-Mexico</t>
        </is>
      </c>
      <c r="H779" s="141" t="inlineStr">
        <is>
          <t>Others</t>
        </is>
      </c>
      <c r="L779" s="141" t="inlineStr">
        <is>
          <t>PCTC</t>
        </is>
      </c>
    </row>
    <row r="780">
      <c r="A780" s="141" t="inlineStr">
        <is>
          <t>OOCL Mexcio</t>
        </is>
      </c>
      <c r="C780" s="141" t="inlineStr">
        <is>
          <t>OMEX-60006/26-1</t>
        </is>
      </c>
      <c r="E780" s="141" t="inlineStr">
        <is>
          <t>FS-ITBP Additional Item</t>
        </is>
      </c>
      <c r="H780" s="141" t="inlineStr">
        <is>
          <t>Others</t>
        </is>
      </c>
      <c r="L780" s="141" t="inlineStr">
        <is>
          <t>PCTC</t>
        </is>
      </c>
    </row>
    <row r="781">
      <c r="A781" s="141" t="inlineStr">
        <is>
          <t>OOCL Mexcio</t>
        </is>
      </c>
      <c r="C781" s="141" t="inlineStr">
        <is>
          <t>OMEX-60012/26</t>
        </is>
      </c>
      <c r="E781" s="141" t="inlineStr">
        <is>
          <t>13600 TEU - Lashing RFP -  SEC</t>
        </is>
      </c>
      <c r="H781" s="141" t="inlineStr">
        <is>
          <t>Spares</t>
        </is>
      </c>
      <c r="L781" s="141" t="inlineStr">
        <is>
          <t>PCTC</t>
        </is>
      </c>
    </row>
  </sheetData>
  <autoFilter ref="A5:P676"/>
  <dataValidations disablePrompts="1" count="1">
    <dataValidation sqref="P6:P524" showDropDown="0" showInputMessage="1" showErrorMessage="1" allowBlank="1" type="list">
      <formula1>$R$1:$R$4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U208"/>
  <sheetViews>
    <sheetView topLeftCell="A10" zoomScale="84" zoomScaleNormal="84" workbookViewId="0">
      <selection activeCell="H18" sqref="H18"/>
    </sheetView>
  </sheetViews>
  <sheetFormatPr baseColWidth="8" defaultRowHeight="15"/>
  <cols>
    <col width="82.5703125" bestFit="1" customWidth="1" min="2" max="2"/>
    <col width="19.140625" bestFit="1" customWidth="1" min="3" max="3"/>
    <col width="17" bestFit="1" customWidth="1" min="4" max="4"/>
    <col width="10.5703125" bestFit="1" customWidth="1" min="5" max="5"/>
    <col width="12" bestFit="1" customWidth="1" min="6" max="6"/>
    <col width="11.5703125" bestFit="1" customWidth="1" min="7" max="7"/>
    <col width="15.7109375" bestFit="1" customWidth="1" min="8" max="8"/>
    <col width="7.28515625" bestFit="1" customWidth="1" min="9" max="9"/>
    <col width="11.7109375" bestFit="1" customWidth="1" min="10" max="11"/>
  </cols>
  <sheetData>
    <row r="2" ht="15" customHeight="1">
      <c r="B2" s="126" t="inlineStr">
        <is>
          <t xml:space="preserve">Goal: To identify suppliers for potential bulk discounts opportunities
1. Breakdown: Vessel Category &gt; Category &gt; Line items &gt; Suppliers 
2. Identify common items with key suppliers across vessel categories 
3. Consolidate spend items with suppliers and highlight potential areas to seek further discounts  </t>
        </is>
      </c>
    </row>
    <row r="3"/>
    <row r="4" ht="15" customHeight="1"/>
    <row r="5"/>
    <row r="6"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</row>
    <row r="7"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</row>
    <row r="8"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</row>
    <row r="9">
      <c r="B9" s="125" t="n"/>
      <c r="C9" s="125" t="n"/>
      <c r="D9" s="125" t="n"/>
      <c r="E9" s="125" t="n"/>
      <c r="F9" s="125" t="n"/>
      <c r="G9" s="125" t="n"/>
      <c r="H9" s="125" t="n"/>
      <c r="I9" s="125" t="n"/>
      <c r="J9" s="125" t="n"/>
    </row>
    <row r="10">
      <c r="B10" s="112" t="inlineStr">
        <is>
          <t>Contract Status</t>
        </is>
      </c>
      <c r="C10" t="inlineStr">
        <is>
          <t>(Multiple Items)</t>
        </is>
      </c>
    </row>
    <row r="11" ht="15" customHeight="1"/>
    <row r="12">
      <c r="B12" s="112" t="inlineStr">
        <is>
          <t>PO Values</t>
        </is>
      </c>
      <c r="C12" s="112" t="inlineStr">
        <is>
          <t>Projects</t>
        </is>
      </c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</row>
    <row r="13">
      <c r="B13" s="112" t="inlineStr">
        <is>
          <t>Row Labels</t>
        </is>
      </c>
      <c r="C13" t="inlineStr">
        <is>
          <t>Glovis Lander</t>
        </is>
      </c>
      <c r="D13" t="inlineStr">
        <is>
          <t>Glovis LightHouse</t>
        </is>
      </c>
      <c r="E13" t="inlineStr">
        <is>
          <t>Glovis Link</t>
        </is>
      </c>
      <c r="F13" t="inlineStr">
        <is>
          <t>Glovis Logos</t>
        </is>
      </c>
      <c r="G13" t="inlineStr">
        <is>
          <t>Glovis Loyal</t>
        </is>
      </c>
      <c r="H13" t="inlineStr">
        <is>
          <t>Glovis Luminous</t>
        </is>
      </c>
      <c r="I13" t="inlineStr">
        <is>
          <t>(blank)</t>
        </is>
      </c>
      <c r="J13" t="inlineStr">
        <is>
          <t>Grand Total</t>
        </is>
      </c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</row>
    <row r="14">
      <c r="B14" s="118" t="inlineStr">
        <is>
          <t>Spares</t>
        </is>
      </c>
      <c r="C14" s="144" t="n">
        <v>0</v>
      </c>
      <c r="D14" s="144" t="n">
        <v>1057357</v>
      </c>
      <c r="E14" s="144" t="n">
        <v>0</v>
      </c>
      <c r="F14" s="144" t="n">
        <v>0</v>
      </c>
      <c r="G14" s="144" t="n">
        <v>0</v>
      </c>
      <c r="H14" s="144" t="n">
        <v>0</v>
      </c>
      <c r="I14" s="144" t="n"/>
      <c r="J14" s="144" t="n">
        <v>1057357</v>
      </c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</row>
    <row r="15">
      <c r="B15" s="113" t="inlineStr">
        <is>
          <t>Air driven HP Pump - For hydraulic nuts for M/E</t>
        </is>
      </c>
      <c r="C15" s="145" t="n"/>
      <c r="D15" s="145" t="n">
        <v>0</v>
      </c>
      <c r="E15" s="145" t="n"/>
      <c r="F15" s="145" t="n"/>
      <c r="G15" s="145" t="n"/>
      <c r="H15" s="145" t="n"/>
      <c r="I15" s="145" t="n"/>
      <c r="J15" s="145" t="n">
        <v>0</v>
      </c>
    </row>
    <row r="16">
      <c r="B16" s="115" t="inlineStr">
        <is>
          <t>#N/A</t>
        </is>
      </c>
      <c r="C16" s="145" t="n"/>
      <c r="D16" s="145" t="n">
        <v>0</v>
      </c>
      <c r="E16" s="145" t="n"/>
      <c r="F16" s="145" t="n"/>
      <c r="G16" s="145" t="n"/>
      <c r="H16" s="145" t="n"/>
      <c r="I16" s="145" t="n"/>
      <c r="J16" s="145" t="n">
        <v>0</v>
      </c>
    </row>
    <row r="17">
      <c r="B17" s="113" t="inlineStr">
        <is>
          <t>Alcometer</t>
        </is>
      </c>
      <c r="C17" s="145" t="n"/>
      <c r="D17" s="145" t="n"/>
      <c r="E17" s="145" t="n">
        <v>0</v>
      </c>
      <c r="F17" s="145" t="n"/>
      <c r="G17" s="145" t="n"/>
      <c r="H17" s="145" t="n"/>
      <c r="I17" s="145" t="n"/>
      <c r="J17" s="145" t="n">
        <v>0</v>
      </c>
    </row>
    <row r="18">
      <c r="B18" s="115" t="inlineStr">
        <is>
          <t xml:space="preserve">#N/A </t>
        </is>
      </c>
      <c r="C18" s="145" t="n"/>
      <c r="D18" s="145" t="n"/>
      <c r="E18" s="145" t="n">
        <v>0</v>
      </c>
      <c r="F18" s="145" t="n"/>
      <c r="G18" s="145" t="n"/>
      <c r="H18" s="145" t="n"/>
      <c r="I18" s="145" t="n"/>
      <c r="J18" s="145" t="n">
        <v>0</v>
      </c>
    </row>
    <row r="19">
      <c r="B19" s="113" t="inlineStr">
        <is>
          <t>Bosch GLM-50 or Laser Distance Measuring Tool</t>
        </is>
      </c>
      <c r="C19" s="145" t="n"/>
      <c r="D19" s="145" t="n"/>
      <c r="E19" s="145" t="n">
        <v>0</v>
      </c>
      <c r="F19" s="145" t="n"/>
      <c r="G19" s="145" t="n"/>
      <c r="H19" s="145" t="n"/>
      <c r="I19" s="145" t="n"/>
      <c r="J19" s="145" t="n">
        <v>0</v>
      </c>
    </row>
    <row r="20">
      <c r="B20" s="115" t="inlineStr">
        <is>
          <t xml:space="preserve">#N/A </t>
        </is>
      </c>
      <c r="C20" s="145" t="n"/>
      <c r="D20" s="145" t="n"/>
      <c r="E20" s="145" t="n">
        <v>0</v>
      </c>
      <c r="F20" s="145" t="n"/>
      <c r="G20" s="145" t="n"/>
      <c r="H20" s="145" t="n"/>
      <c r="I20" s="145" t="n"/>
      <c r="J20" s="145" t="n">
        <v>0</v>
      </c>
    </row>
    <row r="21">
      <c r="B21" s="113" t="inlineStr">
        <is>
          <t>Buyer Supply - 10,800 PCTC Citadel VHF/GPS and UHF ANTENNA system</t>
        </is>
      </c>
      <c r="C21" s="145" t="n"/>
      <c r="D21" s="145" t="n">
        <v>39000</v>
      </c>
      <c r="E21" s="145" t="n"/>
      <c r="F21" s="145" t="n"/>
      <c r="G21" s="145" t="n"/>
      <c r="H21" s="145" t="n"/>
      <c r="I21" s="145" t="n"/>
      <c r="J21" s="145" t="n">
        <v>39000</v>
      </c>
    </row>
    <row r="22">
      <c r="B22" s="115" t="inlineStr">
        <is>
          <t>West Nautical Pte Ltd</t>
        </is>
      </c>
      <c r="C22" s="145" t="n"/>
      <c r="D22" s="145" t="n">
        <v>39000</v>
      </c>
      <c r="E22" s="145" t="n"/>
      <c r="F22" s="145" t="n"/>
      <c r="G22" s="145" t="n"/>
      <c r="H22" s="145" t="n"/>
      <c r="I22" s="145" t="n"/>
      <c r="J22" s="145" t="n">
        <v>39000</v>
      </c>
    </row>
    <row r="23">
      <c r="B23" s="113" t="inlineStr">
        <is>
          <t>Citadel VHF/GPS and UHF ANTENNA system</t>
        </is>
      </c>
      <c r="C23" s="145" t="n">
        <v>0</v>
      </c>
      <c r="D23" s="145" t="n">
        <v>0</v>
      </c>
      <c r="E23" s="145" t="n"/>
      <c r="F23" s="145" t="n"/>
      <c r="G23" s="145" t="n"/>
      <c r="H23" s="145" t="n"/>
      <c r="I23" s="145" t="n"/>
      <c r="J23" s="145" t="n">
        <v>0</v>
      </c>
    </row>
    <row r="24">
      <c r="B24" s="115" t="inlineStr">
        <is>
          <t xml:space="preserve">#N/A </t>
        </is>
      </c>
      <c r="C24" s="145" t="n">
        <v>0</v>
      </c>
      <c r="D24" s="145" t="n"/>
      <c r="E24" s="145" t="n"/>
      <c r="F24" s="145" t="n"/>
      <c r="G24" s="145" t="n"/>
      <c r="H24" s="145" t="n"/>
      <c r="I24" s="145" t="n"/>
      <c r="J24" s="145" t="n">
        <v>0</v>
      </c>
    </row>
    <row r="25">
      <c r="B25" s="115" t="inlineStr">
        <is>
          <t>#N/A</t>
        </is>
      </c>
      <c r="C25" s="145" t="n"/>
      <c r="D25" s="145" t="n">
        <v>0</v>
      </c>
      <c r="E25" s="145" t="n"/>
      <c r="F25" s="145" t="n"/>
      <c r="G25" s="145" t="n"/>
      <c r="H25" s="145" t="n"/>
      <c r="I25" s="145" t="n"/>
      <c r="J25" s="145" t="n">
        <v>0</v>
      </c>
    </row>
    <row r="26">
      <c r="B26" s="113" t="inlineStr">
        <is>
          <t>DF Tools</t>
        </is>
      </c>
      <c r="C26" s="145" t="n"/>
      <c r="D26" s="145" t="n"/>
      <c r="E26" s="145" t="n">
        <v>0</v>
      </c>
      <c r="F26" s="145" t="n"/>
      <c r="G26" s="145" t="n"/>
      <c r="H26" s="145" t="n"/>
      <c r="I26" s="145" t="n"/>
      <c r="J26" s="145" t="n">
        <v>0</v>
      </c>
    </row>
    <row r="27">
      <c r="B27" s="115" t="inlineStr">
        <is>
          <t xml:space="preserve">#N/A </t>
        </is>
      </c>
      <c r="C27" s="145" t="n"/>
      <c r="D27" s="145" t="n"/>
      <c r="E27" s="145" t="n">
        <v>0</v>
      </c>
      <c r="F27" s="145" t="n"/>
      <c r="G27" s="145" t="n"/>
      <c r="H27" s="145" t="n"/>
      <c r="I27" s="145" t="n"/>
      <c r="J27" s="145" t="n">
        <v>0</v>
      </c>
    </row>
    <row r="28">
      <c r="B28" s="113" t="inlineStr">
        <is>
          <t>Domestic refrigerators 200 litres for rec rooms to be added to stores supplies</t>
        </is>
      </c>
      <c r="C28" s="145" t="n"/>
      <c r="D28" s="145" t="n"/>
      <c r="E28" s="145" t="n">
        <v>0</v>
      </c>
      <c r="F28" s="145" t="n"/>
      <c r="G28" s="145" t="n"/>
      <c r="H28" s="145" t="n"/>
      <c r="I28" s="145" t="n"/>
      <c r="J28" s="145" t="n">
        <v>0</v>
      </c>
    </row>
    <row r="29">
      <c r="B29" s="115" t="inlineStr">
        <is>
          <t xml:space="preserve">#N/A </t>
        </is>
      </c>
      <c r="C29" s="145" t="n"/>
      <c r="D29" s="145" t="n"/>
      <c r="E29" s="145" t="n">
        <v>0</v>
      </c>
      <c r="F29" s="145" t="n"/>
      <c r="G29" s="145" t="n"/>
      <c r="H29" s="145" t="n"/>
      <c r="I29" s="145" t="n"/>
      <c r="J29" s="145" t="n">
        <v>0</v>
      </c>
    </row>
    <row r="30">
      <c r="B30" s="113" t="inlineStr">
        <is>
          <t>EV Lance</t>
        </is>
      </c>
      <c r="C30" s="145" t="n"/>
      <c r="D30" s="145" t="n"/>
      <c r="E30" s="145" t="n">
        <v>0</v>
      </c>
      <c r="F30" s="145" t="n"/>
      <c r="G30" s="145" t="n"/>
      <c r="H30" s="145" t="n"/>
      <c r="I30" s="145" t="n"/>
      <c r="J30" s="145" t="n">
        <v>0</v>
      </c>
    </row>
    <row r="31">
      <c r="B31" s="115" t="inlineStr">
        <is>
          <t xml:space="preserve">#N/A </t>
        </is>
      </c>
      <c r="C31" s="145" t="n"/>
      <c r="D31" s="145" t="n"/>
      <c r="E31" s="145" t="n">
        <v>0</v>
      </c>
      <c r="F31" s="145" t="n"/>
      <c r="G31" s="145" t="n"/>
      <c r="H31" s="145" t="n"/>
      <c r="I31" s="145" t="n"/>
      <c r="J31" s="145" t="n">
        <v>0</v>
      </c>
    </row>
    <row r="32">
      <c r="B32" s="113" t="inlineStr">
        <is>
          <t>FLIR ESPro and E6 Pro</t>
        </is>
      </c>
      <c r="C32" s="145" t="n"/>
      <c r="D32" s="145" t="n"/>
      <c r="E32" s="145" t="n"/>
      <c r="F32" s="145" t="n"/>
      <c r="G32" s="145" t="n">
        <v>0</v>
      </c>
      <c r="H32" s="145" t="n"/>
      <c r="I32" s="145" t="n"/>
      <c r="J32" s="145" t="n">
        <v>0</v>
      </c>
    </row>
    <row r="33">
      <c r="B33" s="115" t="inlineStr">
        <is>
          <t xml:space="preserve">#N/A </t>
        </is>
      </c>
      <c r="C33" s="145" t="n"/>
      <c r="D33" s="145" t="n"/>
      <c r="E33" s="145" t="n"/>
      <c r="F33" s="145" t="n"/>
      <c r="G33" s="145" t="n">
        <v>0</v>
      </c>
      <c r="H33" s="145" t="n"/>
      <c r="I33" s="145" t="n"/>
      <c r="J33" s="145" t="n">
        <v>0</v>
      </c>
    </row>
    <row r="34">
      <c r="B34" s="113" t="inlineStr">
        <is>
          <t>FS-ITBP  -luminous</t>
        </is>
      </c>
      <c r="C34" s="145" t="n"/>
      <c r="D34" s="145" t="n"/>
      <c r="E34" s="145" t="n"/>
      <c r="F34" s="145" t="n"/>
      <c r="G34" s="145" t="n"/>
      <c r="H34" s="145" t="n">
        <v>0</v>
      </c>
      <c r="I34" s="145" t="n"/>
      <c r="J34" s="145" t="n">
        <v>0</v>
      </c>
    </row>
    <row r="35">
      <c r="B35" s="115" t="inlineStr">
        <is>
          <t xml:space="preserve">#N/A </t>
        </is>
      </c>
      <c r="C35" s="145" t="n"/>
      <c r="D35" s="145" t="n"/>
      <c r="E35" s="145" t="n"/>
      <c r="F35" s="145" t="n"/>
      <c r="G35" s="145" t="n"/>
      <c r="H35" s="145" t="n">
        <v>0</v>
      </c>
      <c r="I35" s="145" t="n"/>
      <c r="J35" s="145" t="n">
        <v>0</v>
      </c>
    </row>
    <row r="36">
      <c r="B36" s="113" t="inlineStr">
        <is>
          <t>FS-ITBP Additional Item</t>
        </is>
      </c>
      <c r="C36" s="145" t="n"/>
      <c r="D36" s="145" t="n"/>
      <c r="E36" s="145" t="n"/>
      <c r="F36" s="145" t="n"/>
      <c r="G36" s="145" t="n">
        <v>0</v>
      </c>
      <c r="H36" s="145" t="n">
        <v>0</v>
      </c>
      <c r="I36" s="145" t="n"/>
      <c r="J36" s="145" t="n">
        <v>0</v>
      </c>
    </row>
    <row r="37">
      <c r="B37" s="115" t="inlineStr">
        <is>
          <t xml:space="preserve">#N/A </t>
        </is>
      </c>
      <c r="C37" s="145" t="n"/>
      <c r="D37" s="145" t="n"/>
      <c r="E37" s="145" t="n"/>
      <c r="F37" s="145" t="n"/>
      <c r="G37" s="145" t="n">
        <v>0</v>
      </c>
      <c r="H37" s="145" t="n">
        <v>0</v>
      </c>
      <c r="I37" s="145" t="n"/>
      <c r="J37" s="145" t="n">
        <v>0</v>
      </c>
    </row>
    <row r="38">
      <c r="B38" s="113" t="inlineStr">
        <is>
          <t>FS-ITBP CABLES</t>
        </is>
      </c>
      <c r="C38" s="145" t="n"/>
      <c r="D38" s="145" t="n"/>
      <c r="E38" s="145" t="n"/>
      <c r="F38" s="145" t="n"/>
      <c r="G38" s="145" t="n">
        <v>0</v>
      </c>
      <c r="H38" s="145" t="n">
        <v>0</v>
      </c>
      <c r="I38" s="145" t="n"/>
      <c r="J38" s="145" t="n">
        <v>0</v>
      </c>
    </row>
    <row r="39">
      <c r="B39" s="115" t="inlineStr">
        <is>
          <t xml:space="preserve">#N/A </t>
        </is>
      </c>
      <c r="C39" s="145" t="n"/>
      <c r="D39" s="145" t="n"/>
      <c r="E39" s="145" t="n"/>
      <c r="F39" s="145" t="n"/>
      <c r="G39" s="145" t="n">
        <v>0</v>
      </c>
      <c r="H39" s="145" t="n">
        <v>0</v>
      </c>
      <c r="I39" s="145" t="n"/>
      <c r="J39" s="145" t="n">
        <v>0</v>
      </c>
    </row>
    <row r="40">
      <c r="B40" s="113" t="inlineStr">
        <is>
          <t>FS-ITBP MISC LAB KIT</t>
        </is>
      </c>
      <c r="C40" s="145" t="n"/>
      <c r="D40" s="145" t="n"/>
      <c r="E40" s="145" t="n"/>
      <c r="F40" s="145" t="n"/>
      <c r="G40" s="145" t="n">
        <v>0</v>
      </c>
      <c r="H40" s="145" t="n">
        <v>0</v>
      </c>
      <c r="I40" s="145" t="n"/>
      <c r="J40" s="145" t="n">
        <v>0</v>
      </c>
    </row>
    <row r="41">
      <c r="B41" s="115" t="inlineStr">
        <is>
          <t xml:space="preserve">#N/A </t>
        </is>
      </c>
      <c r="C41" s="145" t="n"/>
      <c r="D41" s="145" t="n"/>
      <c r="E41" s="145" t="n"/>
      <c r="F41" s="145" t="n"/>
      <c r="G41" s="145" t="n">
        <v>0</v>
      </c>
      <c r="H41" s="145" t="n">
        <v>0</v>
      </c>
      <c r="I41" s="145" t="n"/>
      <c r="J41" s="145" t="n">
        <v>0</v>
      </c>
    </row>
    <row r="42">
      <c r="B42" s="113" t="inlineStr">
        <is>
          <t>FS-KVH-GSI</t>
        </is>
      </c>
      <c r="C42" s="145" t="n"/>
      <c r="D42" s="145" t="n"/>
      <c r="E42" s="145" t="n"/>
      <c r="F42" s="145" t="n"/>
      <c r="G42" s="145" t="n"/>
      <c r="H42" s="145" t="n">
        <v>0</v>
      </c>
      <c r="I42" s="145" t="n"/>
      <c r="J42" s="145" t="n">
        <v>0</v>
      </c>
    </row>
    <row r="43">
      <c r="B43" s="115" t="inlineStr">
        <is>
          <t xml:space="preserve">#N/A </t>
        </is>
      </c>
      <c r="C43" s="145" t="n"/>
      <c r="D43" s="145" t="n"/>
      <c r="E43" s="145" t="n"/>
      <c r="F43" s="145" t="n"/>
      <c r="G43" s="145" t="n"/>
      <c r="H43" s="145" t="n">
        <v>0</v>
      </c>
      <c r="I43" s="145" t="n"/>
      <c r="J43" s="145" t="n">
        <v>0</v>
      </c>
    </row>
    <row r="44">
      <c r="B44" s="113" t="inlineStr">
        <is>
          <t>FS-LENOVO-Luminous</t>
        </is>
      </c>
      <c r="C44" s="145" t="n"/>
      <c r="D44" s="145" t="n"/>
      <c r="E44" s="145" t="n"/>
      <c r="F44" s="145" t="n"/>
      <c r="G44" s="145" t="n"/>
      <c r="H44" s="145" t="n">
        <v>0</v>
      </c>
      <c r="I44" s="145" t="n"/>
      <c r="J44" s="145" t="n">
        <v>0</v>
      </c>
    </row>
    <row r="45">
      <c r="B45" s="115" t="inlineStr">
        <is>
          <t xml:space="preserve">#N/A </t>
        </is>
      </c>
      <c r="C45" s="145" t="n"/>
      <c r="D45" s="145" t="n"/>
      <c r="E45" s="145" t="n"/>
      <c r="F45" s="145" t="n"/>
      <c r="G45" s="145" t="n"/>
      <c r="H45" s="145" t="n">
        <v>0</v>
      </c>
      <c r="I45" s="145" t="n"/>
      <c r="J45" s="145" t="n">
        <v>0</v>
      </c>
    </row>
    <row r="46">
      <c r="B46" s="113" t="inlineStr">
        <is>
          <t>FS-VLINK CABLE</t>
        </is>
      </c>
      <c r="C46" s="145" t="n"/>
      <c r="D46" s="145" t="n"/>
      <c r="E46" s="145" t="n"/>
      <c r="F46" s="145" t="n"/>
      <c r="G46" s="145" t="n">
        <v>0</v>
      </c>
      <c r="H46" s="145" t="n"/>
      <c r="I46" s="145" t="n"/>
      <c r="J46" s="145" t="n">
        <v>0</v>
      </c>
    </row>
    <row r="47">
      <c r="B47" s="115" t="inlineStr">
        <is>
          <t xml:space="preserve">#N/A </t>
        </is>
      </c>
      <c r="C47" s="145" t="n"/>
      <c r="D47" s="145" t="n"/>
      <c r="E47" s="145" t="n"/>
      <c r="F47" s="145" t="n"/>
      <c r="G47" s="145" t="n">
        <v>0</v>
      </c>
      <c r="H47" s="145" t="n"/>
      <c r="I47" s="145" t="n"/>
      <c r="J47" s="145" t="n">
        <v>0</v>
      </c>
    </row>
    <row r="48">
      <c r="B48" s="113" t="inlineStr">
        <is>
          <t>FS-X10-SILVERPEAK</t>
        </is>
      </c>
      <c r="C48" s="145" t="n"/>
      <c r="D48" s="145" t="n"/>
      <c r="E48" s="145" t="n"/>
      <c r="F48" s="145" t="n"/>
      <c r="G48" s="145" t="n"/>
      <c r="H48" s="145" t="n">
        <v>0</v>
      </c>
      <c r="I48" s="145" t="n"/>
      <c r="J48" s="145" t="n">
        <v>0</v>
      </c>
    </row>
    <row r="49">
      <c r="B49" s="115" t="inlineStr">
        <is>
          <t xml:space="preserve">#N/A </t>
        </is>
      </c>
      <c r="C49" s="145" t="n"/>
      <c r="D49" s="145" t="n"/>
      <c r="E49" s="145" t="n"/>
      <c r="F49" s="145" t="n"/>
      <c r="G49" s="145" t="n"/>
      <c r="H49" s="145" t="n">
        <v>0</v>
      </c>
      <c r="I49" s="145" t="n"/>
      <c r="J49" s="145" t="n">
        <v>0</v>
      </c>
    </row>
    <row r="50">
      <c r="B50" s="113" t="inlineStr">
        <is>
          <t>Garbage Compactor</t>
        </is>
      </c>
      <c r="C50" s="145" t="n"/>
      <c r="D50" s="145" t="n">
        <v>4350</v>
      </c>
      <c r="E50" s="145" t="n"/>
      <c r="F50" s="145" t="n"/>
      <c r="G50" s="145" t="n"/>
      <c r="H50" s="145" t="n"/>
      <c r="I50" s="145" t="n"/>
      <c r="J50" s="145" t="n">
        <v>4350</v>
      </c>
    </row>
    <row r="51">
      <c r="B51" s="115" t="inlineStr">
        <is>
          <t>Vessel Link Marine Supply &amp; Service Ltd</t>
        </is>
      </c>
      <c r="C51" s="145" t="n"/>
      <c r="D51" s="145" t="n">
        <v>4350</v>
      </c>
      <c r="E51" s="145" t="n"/>
      <c r="F51" s="145" t="n"/>
      <c r="G51" s="145" t="n"/>
      <c r="H51" s="145" t="n"/>
      <c r="I51" s="145" t="n"/>
      <c r="J51" s="145" t="n">
        <v>4350</v>
      </c>
    </row>
    <row r="52">
      <c r="B52" s="113" t="inlineStr">
        <is>
          <t>Gas Cylinders</t>
        </is>
      </c>
      <c r="C52" s="145" t="n"/>
      <c r="D52" s="145" t="n">
        <v>0</v>
      </c>
      <c r="E52" s="145" t="n"/>
      <c r="F52" s="145" t="n"/>
      <c r="G52" s="145" t="n"/>
      <c r="H52" s="145" t="n"/>
      <c r="I52" s="145" t="n"/>
      <c r="J52" s="145" t="n">
        <v>0</v>
      </c>
    </row>
    <row r="53">
      <c r="B53" s="115" t="inlineStr">
        <is>
          <t>#N/A</t>
        </is>
      </c>
      <c r="C53" s="145" t="n"/>
      <c r="D53" s="145" t="n">
        <v>0</v>
      </c>
      <c r="E53" s="145" t="n"/>
      <c r="F53" s="145" t="n"/>
      <c r="G53" s="145" t="n"/>
      <c r="H53" s="145" t="n"/>
      <c r="I53" s="145" t="n"/>
      <c r="J53" s="145" t="n">
        <v>0</v>
      </c>
    </row>
    <row r="54">
      <c r="B54" s="113" t="inlineStr">
        <is>
          <t>Gas meters</t>
        </is>
      </c>
      <c r="C54" s="145" t="n"/>
      <c r="D54" s="145" t="n"/>
      <c r="E54" s="145" t="n">
        <v>0</v>
      </c>
      <c r="F54" s="145" t="n"/>
      <c r="G54" s="145" t="n"/>
      <c r="H54" s="145" t="n"/>
      <c r="I54" s="145" t="n"/>
      <c r="J54" s="145" t="n">
        <v>0</v>
      </c>
    </row>
    <row r="55">
      <c r="B55" s="115" t="inlineStr">
        <is>
          <t xml:space="preserve">#N/A </t>
        </is>
      </c>
      <c r="C55" s="145" t="n"/>
      <c r="D55" s="145" t="n"/>
      <c r="E55" s="145" t="n">
        <v>0</v>
      </c>
      <c r="F55" s="145" t="n"/>
      <c r="G55" s="145" t="n"/>
      <c r="H55" s="145" t="n"/>
      <c r="I55" s="145" t="n"/>
      <c r="J55" s="145" t="n">
        <v>0</v>
      </c>
    </row>
    <row r="56">
      <c r="B56" s="113" t="inlineStr">
        <is>
          <t>Glycol</t>
        </is>
      </c>
      <c r="C56" s="145" t="n"/>
      <c r="D56" s="145" t="n"/>
      <c r="E56" s="145" t="n">
        <v>0</v>
      </c>
      <c r="F56" s="145" t="n"/>
      <c r="G56" s="145" t="n"/>
      <c r="H56" s="145" t="n"/>
      <c r="I56" s="145" t="n"/>
      <c r="J56" s="145" t="n">
        <v>0</v>
      </c>
    </row>
    <row r="57">
      <c r="B57" s="115" t="inlineStr">
        <is>
          <t xml:space="preserve">#N/A </t>
        </is>
      </c>
      <c r="C57" s="145" t="n"/>
      <c r="D57" s="145" t="n"/>
      <c r="E57" s="145" t="n">
        <v>0</v>
      </c>
      <c r="F57" s="145" t="n"/>
      <c r="G57" s="145" t="n"/>
      <c r="H57" s="145" t="n"/>
      <c r="I57" s="145" t="n"/>
      <c r="J57" s="145" t="n">
        <v>0</v>
      </c>
    </row>
    <row r="58">
      <c r="B58" s="113" t="inlineStr">
        <is>
          <t>Jonghap - PCTC Loose Fittings Procurement</t>
        </is>
      </c>
      <c r="C58" s="145" t="n"/>
      <c r="D58" s="145" t="n">
        <v>486174</v>
      </c>
      <c r="E58" s="145" t="n"/>
      <c r="F58" s="145" t="n"/>
      <c r="G58" s="145" t="n"/>
      <c r="H58" s="145" t="n"/>
      <c r="I58" s="145" t="n"/>
      <c r="J58" s="145" t="n">
        <v>486174</v>
      </c>
    </row>
    <row r="59">
      <c r="B59" s="115" t="inlineStr">
        <is>
          <t>Jonghap Maritime Engineering Inc.</t>
        </is>
      </c>
      <c r="C59" s="145" t="n"/>
      <c r="D59" s="145" t="n">
        <v>486174</v>
      </c>
      <c r="E59" s="145" t="n"/>
      <c r="F59" s="145" t="n"/>
      <c r="G59" s="145" t="n"/>
      <c r="H59" s="145" t="n"/>
      <c r="I59" s="145" t="n"/>
      <c r="J59" s="145" t="n">
        <v>486174</v>
      </c>
    </row>
    <row r="60">
      <c r="B60" s="113" t="inlineStr">
        <is>
          <t>Main Engine - Additional Spares</t>
        </is>
      </c>
      <c r="C60" s="145" t="n"/>
      <c r="D60" s="145" t="n">
        <v>0</v>
      </c>
      <c r="E60" s="145" t="n"/>
      <c r="F60" s="145" t="n"/>
      <c r="G60" s="145" t="n"/>
      <c r="H60" s="145" t="n"/>
      <c r="I60" s="145" t="n"/>
      <c r="J60" s="145" t="n">
        <v>0</v>
      </c>
    </row>
    <row r="61">
      <c r="B61" s="115" t="inlineStr">
        <is>
          <t>#N/A</t>
        </is>
      </c>
      <c r="C61" s="145" t="n"/>
      <c r="D61" s="145" t="n">
        <v>0</v>
      </c>
      <c r="E61" s="145" t="n"/>
      <c r="F61" s="145" t="n"/>
      <c r="G61" s="145" t="n"/>
      <c r="H61" s="145" t="n"/>
      <c r="I61" s="145" t="n"/>
      <c r="J61" s="145" t="n">
        <v>0</v>
      </c>
    </row>
    <row r="62">
      <c r="B62" s="113" t="inlineStr">
        <is>
          <t xml:space="preserve">Manual chain blocks </t>
        </is>
      </c>
      <c r="C62" s="145" t="n"/>
      <c r="D62" s="145" t="n"/>
      <c r="E62" s="145" t="n">
        <v>0</v>
      </c>
      <c r="F62" s="145" t="n"/>
      <c r="G62" s="145" t="n"/>
      <c r="H62" s="145" t="n"/>
      <c r="I62" s="145" t="n"/>
      <c r="J62" s="145" t="n">
        <v>0</v>
      </c>
    </row>
    <row r="63">
      <c r="B63" s="115" t="inlineStr">
        <is>
          <t xml:space="preserve">#N/A </t>
        </is>
      </c>
      <c r="C63" s="145" t="n"/>
      <c r="D63" s="145" t="n"/>
      <c r="E63" s="145" t="n">
        <v>0</v>
      </c>
      <c r="F63" s="145" t="n"/>
      <c r="G63" s="145" t="n"/>
      <c r="H63" s="145" t="n"/>
      <c r="I63" s="145" t="n"/>
      <c r="J63" s="145" t="n">
        <v>0</v>
      </c>
    </row>
    <row r="64">
      <c r="B64" s="113" t="inlineStr">
        <is>
          <t>Mooring Rope</t>
        </is>
      </c>
      <c r="C64" s="145" t="n"/>
      <c r="D64" s="145" t="n">
        <v>80788</v>
      </c>
      <c r="E64" s="145" t="n"/>
      <c r="F64" s="145" t="n"/>
      <c r="G64" s="145" t="n"/>
      <c r="H64" s="145" t="n"/>
      <c r="I64" s="145" t="n"/>
      <c r="J64" s="145" t="n">
        <v>80788</v>
      </c>
    </row>
    <row r="65">
      <c r="B65" s="115" t="inlineStr">
        <is>
          <t>XINGLUN ROPE CABLE CO.,LTD</t>
        </is>
      </c>
      <c r="C65" s="145" t="n"/>
      <c r="D65" s="145" t="n">
        <v>80788</v>
      </c>
      <c r="E65" s="145" t="n"/>
      <c r="F65" s="145" t="n"/>
      <c r="G65" s="145" t="n"/>
      <c r="H65" s="145" t="n"/>
      <c r="I65" s="145" t="n"/>
      <c r="J65" s="145" t="n">
        <v>80788</v>
      </c>
    </row>
    <row r="66">
      <c r="B66" s="113" t="inlineStr">
        <is>
          <t>Ozone sterliser</t>
        </is>
      </c>
      <c r="C66" s="145" t="n"/>
      <c r="D66" s="145" t="n"/>
      <c r="E66" s="145" t="n">
        <v>0</v>
      </c>
      <c r="F66" s="145" t="n"/>
      <c r="G66" s="145" t="n"/>
      <c r="H66" s="145" t="n"/>
      <c r="I66" s="145" t="n"/>
      <c r="J66" s="145" t="n">
        <v>0</v>
      </c>
    </row>
    <row r="67">
      <c r="B67" s="115" t="inlineStr">
        <is>
          <t xml:space="preserve">#N/A </t>
        </is>
      </c>
      <c r="C67" s="145" t="n"/>
      <c r="D67" s="145" t="n"/>
      <c r="E67" s="145" t="n">
        <v>0</v>
      </c>
      <c r="F67" s="145" t="n"/>
      <c r="G67" s="145" t="n"/>
      <c r="H67" s="145" t="n"/>
      <c r="I67" s="145" t="n"/>
      <c r="J67" s="145" t="n">
        <v>0</v>
      </c>
    </row>
    <row r="68">
      <c r="B68" s="113" t="inlineStr">
        <is>
          <t>PD - RSC Envirologic</t>
        </is>
      </c>
      <c r="C68" s="145" t="n">
        <v>0</v>
      </c>
      <c r="D68" s="145" t="n"/>
      <c r="E68" s="145" t="n">
        <v>0</v>
      </c>
      <c r="F68" s="145" t="n">
        <v>0</v>
      </c>
      <c r="G68" s="145" t="n">
        <v>0</v>
      </c>
      <c r="H68" s="145" t="n">
        <v>0</v>
      </c>
      <c r="I68" s="145" t="n"/>
      <c r="J68" s="145" t="n">
        <v>0</v>
      </c>
    </row>
    <row r="69">
      <c r="B69" s="115" t="inlineStr">
        <is>
          <t xml:space="preserve">#N/A </t>
        </is>
      </c>
      <c r="C69" s="145" t="n">
        <v>0</v>
      </c>
      <c r="D69" s="145" t="n"/>
      <c r="E69" s="145" t="n">
        <v>0</v>
      </c>
      <c r="F69" s="145" t="n">
        <v>0</v>
      </c>
      <c r="G69" s="145" t="n">
        <v>0</v>
      </c>
      <c r="H69" s="145" t="n">
        <v>0</v>
      </c>
      <c r="I69" s="145" t="n"/>
      <c r="J69" s="145" t="n">
        <v>0</v>
      </c>
    </row>
    <row r="70">
      <c r="B70" s="113" t="inlineStr">
        <is>
          <t>Pre Delivery - Cryogenic PPE</t>
        </is>
      </c>
      <c r="C70" s="145" t="n"/>
      <c r="D70" s="145" t="n"/>
      <c r="E70" s="145" t="n"/>
      <c r="F70" s="145" t="n"/>
      <c r="G70" s="145" t="n">
        <v>0</v>
      </c>
      <c r="H70" s="145" t="n">
        <v>0</v>
      </c>
      <c r="I70" s="145" t="n"/>
      <c r="J70" s="145" t="n">
        <v>0</v>
      </c>
    </row>
    <row r="71">
      <c r="B71" s="115" t="inlineStr">
        <is>
          <t xml:space="preserve">#N/A </t>
        </is>
      </c>
      <c r="C71" s="145" t="n"/>
      <c r="D71" s="145" t="n"/>
      <c r="E71" s="145" t="n"/>
      <c r="F71" s="145" t="n"/>
      <c r="G71" s="145" t="n">
        <v>0</v>
      </c>
      <c r="H71" s="145" t="n">
        <v>0</v>
      </c>
      <c r="I71" s="145" t="n"/>
      <c r="J71" s="145" t="n">
        <v>0</v>
      </c>
    </row>
    <row r="72">
      <c r="B72" s="113" t="inlineStr">
        <is>
          <t>Pre Delivery - FLIR Camera</t>
        </is>
      </c>
      <c r="C72" s="145" t="n"/>
      <c r="D72" s="145" t="n"/>
      <c r="E72" s="145" t="n"/>
      <c r="F72" s="145" t="n"/>
      <c r="G72" s="145" t="n"/>
      <c r="H72" s="145" t="n">
        <v>0</v>
      </c>
      <c r="I72" s="145" t="n"/>
      <c r="J72" s="145" t="n">
        <v>0</v>
      </c>
    </row>
    <row r="73">
      <c r="B73" s="115" t="inlineStr">
        <is>
          <t xml:space="preserve">#N/A </t>
        </is>
      </c>
      <c r="C73" s="145" t="n"/>
      <c r="D73" s="145" t="n"/>
      <c r="E73" s="145" t="n"/>
      <c r="F73" s="145" t="n"/>
      <c r="G73" s="145" t="n"/>
      <c r="H73" s="145" t="n">
        <v>0</v>
      </c>
      <c r="I73" s="145" t="n"/>
      <c r="J73" s="145" t="n">
        <v>0</v>
      </c>
    </row>
    <row r="74">
      <c r="B74" s="113" t="inlineStr">
        <is>
          <t>Pre Delivery - Garbage Compactor</t>
        </is>
      </c>
      <c r="C74" s="145" t="n">
        <v>0</v>
      </c>
      <c r="D74" s="145" t="n"/>
      <c r="E74" s="145" t="n"/>
      <c r="F74" s="145" t="n">
        <v>0</v>
      </c>
      <c r="G74" s="145" t="n">
        <v>0</v>
      </c>
      <c r="H74" s="145" t="n">
        <v>0</v>
      </c>
      <c r="I74" s="145" t="n"/>
      <c r="J74" s="145" t="n">
        <v>0</v>
      </c>
    </row>
    <row r="75">
      <c r="B75" s="115" t="inlineStr">
        <is>
          <t xml:space="preserve">#N/A </t>
        </is>
      </c>
      <c r="C75" s="145" t="n">
        <v>0</v>
      </c>
      <c r="D75" s="145" t="n"/>
      <c r="E75" s="145" t="n"/>
      <c r="F75" s="145" t="n">
        <v>0</v>
      </c>
      <c r="G75" s="145" t="n">
        <v>0</v>
      </c>
      <c r="H75" s="145" t="n">
        <v>0</v>
      </c>
      <c r="I75" s="145" t="n"/>
      <c r="J75" s="145" t="n">
        <v>0</v>
      </c>
    </row>
    <row r="76">
      <c r="B76" s="113" t="inlineStr">
        <is>
          <t>Pre Delivery - LNG Bunkering Equipment</t>
        </is>
      </c>
      <c r="C76" s="145" t="n">
        <v>0</v>
      </c>
      <c r="D76" s="145" t="n"/>
      <c r="E76" s="145" t="n"/>
      <c r="F76" s="145" t="n"/>
      <c r="G76" s="145" t="n"/>
      <c r="H76" s="145" t="n">
        <v>0</v>
      </c>
      <c r="I76" s="145" t="n"/>
      <c r="J76" s="145" t="n">
        <v>0</v>
      </c>
    </row>
    <row r="77">
      <c r="B77" s="115" t="inlineStr">
        <is>
          <t xml:space="preserve">#N/A </t>
        </is>
      </c>
      <c r="C77" s="145" t="n">
        <v>0</v>
      </c>
      <c r="D77" s="145" t="n"/>
      <c r="E77" s="145" t="n"/>
      <c r="F77" s="145" t="n"/>
      <c r="G77" s="145" t="n"/>
      <c r="H77" s="145" t="n">
        <v>0</v>
      </c>
      <c r="I77" s="145" t="n"/>
      <c r="J77" s="145" t="n">
        <v>0</v>
      </c>
    </row>
    <row r="78">
      <c r="B78" s="113" t="inlineStr">
        <is>
          <t>Pre Delivery - Sample Cooler</t>
        </is>
      </c>
      <c r="C78" s="145" t="n">
        <v>0</v>
      </c>
      <c r="D78" s="145" t="n">
        <v>10858</v>
      </c>
      <c r="E78" s="145" t="n">
        <v>0</v>
      </c>
      <c r="F78" s="145" t="n">
        <v>0</v>
      </c>
      <c r="G78" s="145" t="n">
        <v>0</v>
      </c>
      <c r="H78" s="145" t="n">
        <v>0</v>
      </c>
      <c r="I78" s="145" t="n"/>
      <c r="J78" s="145" t="n">
        <v>10858</v>
      </c>
    </row>
    <row r="79">
      <c r="B79" s="115" t="inlineStr">
        <is>
          <t xml:space="preserve">#N/A </t>
        </is>
      </c>
      <c r="C79" s="145" t="n">
        <v>0</v>
      </c>
      <c r="D79" s="145" t="n"/>
      <c r="E79" s="145" t="n">
        <v>0</v>
      </c>
      <c r="F79" s="145" t="n">
        <v>0</v>
      </c>
      <c r="G79" s="145" t="n">
        <v>0</v>
      </c>
      <c r="H79" s="145" t="n">
        <v>0</v>
      </c>
      <c r="I79" s="145" t="n"/>
      <c r="J79" s="145" t="n">
        <v>0</v>
      </c>
    </row>
    <row r="80">
      <c r="B80" s="115" t="inlineStr">
        <is>
          <t>Drew Marine USA, Inc</t>
        </is>
      </c>
      <c r="C80" s="145" t="n"/>
      <c r="D80" s="145" t="n">
        <v>10858</v>
      </c>
      <c r="E80" s="145" t="n"/>
      <c r="F80" s="145" t="n"/>
      <c r="G80" s="145" t="n"/>
      <c r="H80" s="145" t="n"/>
      <c r="I80" s="145" t="n"/>
      <c r="J80" s="145" t="n">
        <v>10858</v>
      </c>
    </row>
    <row r="81">
      <c r="B81" s="113" t="inlineStr">
        <is>
          <t>Pre Delivery - Seatab</t>
        </is>
      </c>
      <c r="C81" s="145" t="n">
        <v>0</v>
      </c>
      <c r="D81" s="145" t="n"/>
      <c r="E81" s="145" t="n"/>
      <c r="F81" s="145" t="n"/>
      <c r="G81" s="145" t="n"/>
      <c r="H81" s="145" t="n">
        <v>0</v>
      </c>
      <c r="I81" s="145" t="n"/>
      <c r="J81" s="145" t="n">
        <v>0</v>
      </c>
    </row>
    <row r="82">
      <c r="B82" s="115" t="inlineStr">
        <is>
          <t xml:space="preserve">#N/A </t>
        </is>
      </c>
      <c r="C82" s="145" t="n">
        <v>0</v>
      </c>
      <c r="D82" s="145" t="n"/>
      <c r="E82" s="145" t="n"/>
      <c r="F82" s="145" t="n"/>
      <c r="G82" s="145" t="n"/>
      <c r="H82" s="145" t="n">
        <v>0</v>
      </c>
      <c r="I82" s="145" t="n"/>
      <c r="J82" s="145" t="n">
        <v>0</v>
      </c>
    </row>
    <row r="83">
      <c r="B83" s="113" t="inlineStr">
        <is>
          <t>Publications</t>
        </is>
      </c>
      <c r="C83" s="145" t="n"/>
      <c r="D83" s="145" t="n"/>
      <c r="E83" s="145" t="n">
        <v>0</v>
      </c>
      <c r="F83" s="145" t="n"/>
      <c r="G83" s="145" t="n"/>
      <c r="H83" s="145" t="n"/>
      <c r="I83" s="145" t="n"/>
      <c r="J83" s="145" t="n">
        <v>0</v>
      </c>
    </row>
    <row r="84">
      <c r="B84" s="115" t="inlineStr">
        <is>
          <t xml:space="preserve">#N/A </t>
        </is>
      </c>
      <c r="C84" s="145" t="n"/>
      <c r="D84" s="145" t="n"/>
      <c r="E84" s="145" t="n">
        <v>0</v>
      </c>
      <c r="F84" s="145" t="n"/>
      <c r="G84" s="145" t="n"/>
      <c r="H84" s="145" t="n"/>
      <c r="I84" s="145" t="n"/>
      <c r="J84" s="145" t="n">
        <v>0</v>
      </c>
    </row>
    <row r="85">
      <c r="B85" s="113" t="inlineStr">
        <is>
          <t>Receptacles</t>
        </is>
      </c>
      <c r="C85" s="145" t="n"/>
      <c r="D85" s="145" t="n">
        <v>0</v>
      </c>
      <c r="E85" s="145" t="n">
        <v>0</v>
      </c>
      <c r="F85" s="145" t="n"/>
      <c r="G85" s="145" t="n"/>
      <c r="H85" s="145" t="n"/>
      <c r="I85" s="145" t="n"/>
      <c r="J85" s="145" t="n">
        <v>0</v>
      </c>
    </row>
    <row r="86">
      <c r="B86" s="115" t="inlineStr">
        <is>
          <t xml:space="preserve">#N/A </t>
        </is>
      </c>
      <c r="C86" s="145" t="n"/>
      <c r="D86" s="145" t="n"/>
      <c r="E86" s="145" t="n">
        <v>0</v>
      </c>
      <c r="F86" s="145" t="n"/>
      <c r="G86" s="145" t="n"/>
      <c r="H86" s="145" t="n"/>
      <c r="I86" s="145" t="n"/>
      <c r="J86" s="145" t="n">
        <v>0</v>
      </c>
    </row>
    <row r="87">
      <c r="B87" s="115" t="inlineStr">
        <is>
          <t>#N/A</t>
        </is>
      </c>
      <c r="C87" s="145" t="n"/>
      <c r="D87" s="145" t="n">
        <v>0</v>
      </c>
      <c r="E87" s="145" t="n"/>
      <c r="F87" s="145" t="n"/>
      <c r="G87" s="145" t="n"/>
      <c r="H87" s="145" t="n"/>
      <c r="I87" s="145" t="n"/>
      <c r="J87" s="145" t="n">
        <v>0</v>
      </c>
    </row>
    <row r="88">
      <c r="B88" s="113" t="inlineStr">
        <is>
          <t>Reefer cable and plugs extensions</t>
        </is>
      </c>
      <c r="C88" s="145" t="n"/>
      <c r="D88" s="145" t="n">
        <v>0</v>
      </c>
      <c r="E88" s="145" t="n">
        <v>0</v>
      </c>
      <c r="F88" s="145" t="n"/>
      <c r="G88" s="145" t="n"/>
      <c r="H88" s="145" t="n"/>
      <c r="I88" s="145" t="n"/>
      <c r="J88" s="145" t="n">
        <v>0</v>
      </c>
    </row>
    <row r="89">
      <c r="B89" s="115" t="inlineStr">
        <is>
          <t xml:space="preserve">#N/A </t>
        </is>
      </c>
      <c r="C89" s="145" t="n"/>
      <c r="D89" s="145" t="n"/>
      <c r="E89" s="145" t="n">
        <v>0</v>
      </c>
      <c r="F89" s="145" t="n"/>
      <c r="G89" s="145" t="n"/>
      <c r="H89" s="145" t="n"/>
      <c r="I89" s="145" t="n"/>
      <c r="J89" s="145" t="n">
        <v>0</v>
      </c>
    </row>
    <row r="90">
      <c r="B90" s="115" t="inlineStr">
        <is>
          <t>#N/A</t>
        </is>
      </c>
      <c r="C90" s="145" t="n"/>
      <c r="D90" s="145" t="n">
        <v>0</v>
      </c>
      <c r="E90" s="145" t="n"/>
      <c r="F90" s="145" t="n"/>
      <c r="G90" s="145" t="n"/>
      <c r="H90" s="145" t="n"/>
      <c r="I90" s="145" t="n"/>
      <c r="J90" s="145" t="n">
        <v>0</v>
      </c>
    </row>
    <row r="91">
      <c r="B91" s="113" t="inlineStr">
        <is>
          <t>Reliability - Donghwa Spares for BOG Compressor</t>
        </is>
      </c>
      <c r="C91" s="145" t="n"/>
      <c r="D91" s="145" t="n">
        <v>7060</v>
      </c>
      <c r="E91" s="145" t="n">
        <v>0</v>
      </c>
      <c r="F91" s="145" t="n">
        <v>0</v>
      </c>
      <c r="G91" s="145" t="n">
        <v>0</v>
      </c>
      <c r="H91" s="145" t="n"/>
      <c r="I91" s="145" t="n"/>
      <c r="J91" s="145" t="n">
        <v>7060</v>
      </c>
    </row>
    <row r="92">
      <c r="B92" s="115" t="inlineStr">
        <is>
          <t xml:space="preserve">#N/A </t>
        </is>
      </c>
      <c r="C92" s="145" t="n"/>
      <c r="D92" s="145" t="n"/>
      <c r="E92" s="145" t="n">
        <v>0</v>
      </c>
      <c r="F92" s="145" t="n">
        <v>0</v>
      </c>
      <c r="G92" s="145" t="n">
        <v>0</v>
      </c>
      <c r="H92" s="145" t="n"/>
      <c r="I92" s="145" t="n"/>
      <c r="J92" s="145" t="n">
        <v>0</v>
      </c>
    </row>
    <row r="93">
      <c r="B93" s="115" t="inlineStr">
        <is>
          <t>DONGHWA ENTEC CO. ,LTD</t>
        </is>
      </c>
      <c r="C93" s="145" t="n"/>
      <c r="D93" s="145" t="n">
        <v>7060</v>
      </c>
      <c r="E93" s="145" t="n"/>
      <c r="F93" s="145" t="n"/>
      <c r="G93" s="145" t="n"/>
      <c r="H93" s="145" t="n"/>
      <c r="I93" s="145" t="n"/>
      <c r="J93" s="145" t="n">
        <v>7060</v>
      </c>
    </row>
    <row r="94">
      <c r="B94" s="113" t="inlineStr">
        <is>
          <t>Reliability HP Pump Skid</t>
        </is>
      </c>
      <c r="C94" s="145" t="n"/>
      <c r="D94" s="145" t="n">
        <v>0</v>
      </c>
      <c r="E94" s="145" t="n"/>
      <c r="F94" s="145" t="n"/>
      <c r="G94" s="145" t="n"/>
      <c r="H94" s="145" t="n"/>
      <c r="I94" s="145" t="n"/>
      <c r="J94" s="145" t="n">
        <v>0</v>
      </c>
    </row>
    <row r="95" ht="15.75" customHeight="1" thickBot="1">
      <c r="B95" s="115" t="inlineStr">
        <is>
          <t>#N/A</t>
        </is>
      </c>
      <c r="C95" s="145" t="n"/>
      <c r="D95" s="145" t="n">
        <v>0</v>
      </c>
      <c r="E95" s="145" t="n"/>
      <c r="F95" s="145" t="n"/>
      <c r="G95" s="145" t="n"/>
      <c r="H95" s="145" t="n"/>
      <c r="I95" s="145" t="n"/>
      <c r="J95" s="145" t="n">
        <v>0</v>
      </c>
    </row>
    <row r="96">
      <c r="B96" s="113" t="inlineStr">
        <is>
          <t>Reliability Nitrogen Generator</t>
        </is>
      </c>
      <c r="C96" s="145" t="n"/>
      <c r="D96" s="145" t="n">
        <v>12020</v>
      </c>
      <c r="E96" s="145" t="n"/>
      <c r="F96" s="145" t="n"/>
      <c r="G96" s="145" t="n"/>
      <c r="H96" s="145" t="n"/>
      <c r="I96" s="145" t="n"/>
      <c r="J96" s="145" t="n">
        <v>12020</v>
      </c>
    </row>
    <row r="97">
      <c r="B97" s="115" t="inlineStr">
        <is>
          <t>Air Products AS</t>
        </is>
      </c>
      <c r="C97" s="145" t="n"/>
      <c r="D97" s="145" t="n">
        <v>12020</v>
      </c>
      <c r="E97" s="145" t="n"/>
      <c r="F97" s="145" t="n"/>
      <c r="G97" s="145" t="n"/>
      <c r="H97" s="145" t="n"/>
      <c r="I97" s="145" t="n"/>
      <c r="J97" s="145" t="n">
        <v>12020</v>
      </c>
    </row>
    <row r="98">
      <c r="B98" s="113" t="inlineStr">
        <is>
          <t>Reliability RO-RO Equipment (Main &amp; Centre Ramp spares + inner Ramp spares)</t>
        </is>
      </c>
      <c r="C98" s="145" t="n"/>
      <c r="D98" s="145" t="n">
        <v>0</v>
      </c>
      <c r="E98" s="145" t="n"/>
      <c r="F98" s="145" t="n"/>
      <c r="G98" s="145" t="n"/>
      <c r="H98" s="145" t="n"/>
      <c r="I98" s="145" t="n"/>
      <c r="J98" s="145" t="n">
        <v>0</v>
      </c>
    </row>
    <row r="99">
      <c r="B99" s="115" t="inlineStr">
        <is>
          <t>#N/A</t>
        </is>
      </c>
      <c r="C99" s="145" t="n"/>
      <c r="D99" s="145" t="n">
        <v>0</v>
      </c>
      <c r="E99" s="145" t="n"/>
      <c r="F99" s="145" t="n"/>
      <c r="G99" s="145" t="n"/>
      <c r="H99" s="145" t="n"/>
      <c r="I99" s="145" t="n"/>
      <c r="J99" s="145" t="n">
        <v>0</v>
      </c>
    </row>
    <row r="100">
      <c r="B100" s="113" t="inlineStr">
        <is>
          <t>Reliability Spares - 10,8K CEU SWS - GVT- Eltronic</t>
        </is>
      </c>
      <c r="C100" s="145" t="n"/>
      <c r="D100" s="145" t="n"/>
      <c r="E100" s="145" t="n">
        <v>0</v>
      </c>
      <c r="F100" s="145" t="n">
        <v>0</v>
      </c>
      <c r="G100" s="145" t="n">
        <v>0</v>
      </c>
      <c r="H100" s="145" t="n"/>
      <c r="I100" s="145" t="n"/>
      <c r="J100" s="145" t="n">
        <v>0</v>
      </c>
    </row>
    <row r="101">
      <c r="B101" s="115" t="inlineStr">
        <is>
          <t xml:space="preserve">#N/A </t>
        </is>
      </c>
      <c r="C101" s="145" t="n"/>
      <c r="D101" s="145" t="n"/>
      <c r="E101" s="145" t="n">
        <v>0</v>
      </c>
      <c r="F101" s="145" t="n">
        <v>0</v>
      </c>
      <c r="G101" s="145" t="n">
        <v>0</v>
      </c>
      <c r="H101" s="145" t="n"/>
      <c r="I101" s="145" t="n"/>
      <c r="J101" s="145" t="n">
        <v>0</v>
      </c>
    </row>
    <row r="102">
      <c r="B102" s="113" t="inlineStr">
        <is>
          <t>Reliability Spares - Fire detection system</t>
        </is>
      </c>
      <c r="C102" s="145" t="n">
        <v>0</v>
      </c>
      <c r="D102" s="145" t="n">
        <v>9933</v>
      </c>
      <c r="E102" s="145" t="n">
        <v>0</v>
      </c>
      <c r="F102" s="145" t="n">
        <v>0</v>
      </c>
      <c r="G102" s="145" t="n">
        <v>0</v>
      </c>
      <c r="H102" s="145" t="n">
        <v>0</v>
      </c>
      <c r="I102" s="145" t="n"/>
      <c r="J102" s="145" t="n">
        <v>9933</v>
      </c>
    </row>
    <row r="103">
      <c r="B103" s="115" t="inlineStr">
        <is>
          <t xml:space="preserve">#N/A </t>
        </is>
      </c>
      <c r="C103" s="145" t="n">
        <v>0</v>
      </c>
      <c r="D103" s="145" t="n"/>
      <c r="E103" s="145" t="n">
        <v>0</v>
      </c>
      <c r="F103" s="145" t="n">
        <v>0</v>
      </c>
      <c r="G103" s="145" t="n">
        <v>0</v>
      </c>
      <c r="H103" s="145" t="n">
        <v>0</v>
      </c>
      <c r="I103" s="145" t="n"/>
      <c r="J103" s="145" t="n">
        <v>0</v>
      </c>
    </row>
    <row r="104">
      <c r="B104" s="115" t="inlineStr">
        <is>
          <t>Consilium Marine and Safety Canada</t>
        </is>
      </c>
      <c r="C104" s="145" t="n"/>
      <c r="D104" s="145" t="n">
        <v>9933</v>
      </c>
      <c r="E104" s="145" t="n"/>
      <c r="F104" s="145" t="n"/>
      <c r="G104" s="145" t="n"/>
      <c r="H104" s="145" t="n"/>
      <c r="I104" s="145" t="n"/>
      <c r="J104" s="145" t="n">
        <v>9933</v>
      </c>
    </row>
    <row r="105">
      <c r="B105" s="113" t="inlineStr">
        <is>
          <t>Reliability Spares - PCTC-Seaspan - Boilers QUOT26012103</t>
        </is>
      </c>
      <c r="C105" s="145" t="n">
        <v>0</v>
      </c>
      <c r="D105" s="145" t="n">
        <v>23968</v>
      </c>
      <c r="E105" s="145" t="n">
        <v>0</v>
      </c>
      <c r="F105" s="145" t="n">
        <v>0</v>
      </c>
      <c r="G105" s="145" t="n">
        <v>0</v>
      </c>
      <c r="H105" s="145" t="n">
        <v>0</v>
      </c>
      <c r="I105" s="145" t="n"/>
      <c r="J105" s="145" t="n">
        <v>23968</v>
      </c>
    </row>
    <row r="106">
      <c r="B106" s="115" t="inlineStr">
        <is>
          <t xml:space="preserve">#N/A </t>
        </is>
      </c>
      <c r="C106" s="145" t="n">
        <v>0</v>
      </c>
      <c r="D106" s="145" t="n"/>
      <c r="E106" s="145" t="n">
        <v>0</v>
      </c>
      <c r="F106" s="145" t="n">
        <v>0</v>
      </c>
      <c r="G106" s="145" t="n">
        <v>0</v>
      </c>
      <c r="H106" s="145" t="n">
        <v>0</v>
      </c>
      <c r="I106" s="145" t="n"/>
      <c r="J106" s="145" t="n">
        <v>0</v>
      </c>
    </row>
    <row r="107">
      <c r="B107" s="115" t="inlineStr">
        <is>
          <t>Kangrim Industries Company Limited</t>
        </is>
      </c>
      <c r="C107" s="145" t="n"/>
      <c r="D107" s="145" t="n">
        <v>23968</v>
      </c>
      <c r="E107" s="145" t="n"/>
      <c r="F107" s="145" t="n"/>
      <c r="G107" s="145" t="n"/>
      <c r="H107" s="145" t="n"/>
      <c r="I107" s="145" t="n"/>
      <c r="J107" s="145" t="n">
        <v>23968</v>
      </c>
    </row>
    <row r="108">
      <c r="B108" s="113" t="inlineStr">
        <is>
          <t>Reliabiltiy Spares - Gas Detection System</t>
        </is>
      </c>
      <c r="C108" s="145" t="n">
        <v>0</v>
      </c>
      <c r="D108" s="145" t="n">
        <v>28136</v>
      </c>
      <c r="E108" s="145" t="n">
        <v>0</v>
      </c>
      <c r="F108" s="145" t="n">
        <v>0</v>
      </c>
      <c r="G108" s="145" t="n">
        <v>0</v>
      </c>
      <c r="H108" s="145" t="n">
        <v>0</v>
      </c>
      <c r="I108" s="145" t="n"/>
      <c r="J108" s="145" t="n">
        <v>28136</v>
      </c>
    </row>
    <row r="109">
      <c r="B109" s="115" t="inlineStr">
        <is>
          <t xml:space="preserve">#N/A </t>
        </is>
      </c>
      <c r="C109" s="145" t="n">
        <v>0</v>
      </c>
      <c r="D109" s="145" t="n"/>
      <c r="E109" s="145" t="n">
        <v>0</v>
      </c>
      <c r="F109" s="145" t="n">
        <v>0</v>
      </c>
      <c r="G109" s="145" t="n">
        <v>0</v>
      </c>
      <c r="H109" s="145" t="n">
        <v>0</v>
      </c>
      <c r="I109" s="145" t="n"/>
      <c r="J109" s="145" t="n">
        <v>0</v>
      </c>
    </row>
    <row r="110">
      <c r="B110" s="115" t="inlineStr">
        <is>
          <t>Consilium Marine and Safety Canada</t>
        </is>
      </c>
      <c r="C110" s="145" t="n"/>
      <c r="D110" s="145" t="n">
        <v>28136</v>
      </c>
      <c r="E110" s="145" t="n"/>
      <c r="F110" s="145" t="n"/>
      <c r="G110" s="145" t="n"/>
      <c r="H110" s="145" t="n"/>
      <c r="I110" s="145" t="n"/>
      <c r="J110" s="145" t="n">
        <v>28136</v>
      </c>
    </row>
    <row r="111">
      <c r="B111" s="113" t="inlineStr">
        <is>
          <t>Seatab</t>
        </is>
      </c>
      <c r="C111" s="145" t="n"/>
      <c r="D111" s="145" t="n">
        <v>3887</v>
      </c>
      <c r="E111" s="145" t="n"/>
      <c r="F111" s="145" t="n"/>
      <c r="G111" s="145" t="n"/>
      <c r="H111" s="145" t="n"/>
      <c r="I111" s="145" t="n"/>
      <c r="J111" s="145" t="n">
        <v>3887</v>
      </c>
    </row>
    <row r="112">
      <c r="B112" s="115" t="inlineStr">
        <is>
          <t>OneOcean AS</t>
        </is>
      </c>
      <c r="C112" s="145" t="n"/>
      <c r="D112" s="145" t="n">
        <v>3887</v>
      </c>
      <c r="E112" s="145" t="n"/>
      <c r="F112" s="145" t="n"/>
      <c r="G112" s="145" t="n"/>
      <c r="H112" s="145" t="n"/>
      <c r="I112" s="145" t="n"/>
      <c r="J112" s="145" t="n">
        <v>3887</v>
      </c>
    </row>
    <row r="113">
      <c r="B113" s="113" t="inlineStr">
        <is>
          <t>Service: LNG OPERATION MANUAL Development</t>
        </is>
      </c>
      <c r="C113" s="145" t="n"/>
      <c r="D113" s="145" t="n"/>
      <c r="E113" s="145" t="n"/>
      <c r="F113" s="145" t="n"/>
      <c r="G113" s="145" t="n">
        <v>0</v>
      </c>
      <c r="H113" s="145" t="n">
        <v>0</v>
      </c>
      <c r="I113" s="145" t="n"/>
      <c r="J113" s="145" t="n">
        <v>0</v>
      </c>
    </row>
    <row r="114">
      <c r="B114" s="115" t="inlineStr">
        <is>
          <t xml:space="preserve">#N/A </t>
        </is>
      </c>
      <c r="C114" s="145" t="n"/>
      <c r="D114" s="145" t="n"/>
      <c r="E114" s="145" t="n"/>
      <c r="F114" s="145" t="n"/>
      <c r="G114" s="145" t="n">
        <v>0</v>
      </c>
      <c r="H114" s="145" t="n">
        <v>0</v>
      </c>
      <c r="I114" s="145" t="n"/>
      <c r="J114" s="145" t="n">
        <v>0</v>
      </c>
    </row>
    <row r="115" ht="15.75" customHeight="1" thickBot="1">
      <c r="B115" s="116" t="inlineStr">
        <is>
          <t>Shipyard Extra (buyer Supply) - QCDC -GSI</t>
        </is>
      </c>
      <c r="C115" s="146" t="n"/>
      <c r="D115" s="146" t="n"/>
      <c r="E115" s="146" t="n"/>
      <c r="F115" s="146" t="n"/>
      <c r="G115" s="146" t="n"/>
      <c r="H115" s="146" t="n">
        <v>0</v>
      </c>
      <c r="I115" s="146" t="n"/>
      <c r="J115" s="146" t="n">
        <v>0</v>
      </c>
    </row>
    <row r="116">
      <c r="B116" s="115" t="inlineStr">
        <is>
          <t xml:space="preserve">#N/A </t>
        </is>
      </c>
      <c r="C116" s="145" t="n"/>
      <c r="D116" s="145" t="n"/>
      <c r="E116" s="145" t="n"/>
      <c r="F116" s="145" t="n"/>
      <c r="G116" s="145" t="n"/>
      <c r="H116" s="145" t="n">
        <v>0</v>
      </c>
      <c r="I116" s="145" t="n"/>
      <c r="J116" s="145" t="n">
        <v>0</v>
      </c>
    </row>
    <row r="117">
      <c r="B117" s="113" t="inlineStr">
        <is>
          <t>Shipyard Extra Buyer Supply - HiNAS SVM 10800 A-Q-2025-09-02_R0</t>
        </is>
      </c>
      <c r="C117" s="145" t="n"/>
      <c r="D117" s="145" t="n">
        <v>63600</v>
      </c>
      <c r="E117" s="145" t="n"/>
      <c r="F117" s="145" t="n"/>
      <c r="G117" s="145" t="n"/>
      <c r="H117" s="145" t="n"/>
      <c r="I117" s="145" t="n"/>
      <c r="J117" s="145" t="n">
        <v>63600</v>
      </c>
    </row>
    <row r="118">
      <c r="B118" s="115" t="inlineStr">
        <is>
          <t>Avikus Co., Ltd.</t>
        </is>
      </c>
      <c r="C118" s="145" t="n"/>
      <c r="D118" s="145" t="n">
        <v>63600</v>
      </c>
      <c r="E118" s="145" t="n"/>
      <c r="F118" s="145" t="n"/>
      <c r="G118" s="145" t="n"/>
      <c r="H118" s="145" t="n"/>
      <c r="I118" s="145" t="n"/>
      <c r="J118" s="145" t="n">
        <v>63600</v>
      </c>
    </row>
    <row r="119">
      <c r="B119" s="113" t="inlineStr">
        <is>
          <t>Shipyard Extra Buyers Supply - Hinas SVM SEASPAN 10.8K PCTC</t>
        </is>
      </c>
      <c r="C119" s="145" t="n"/>
      <c r="D119" s="145" t="n"/>
      <c r="E119" s="145" t="n">
        <v>0</v>
      </c>
      <c r="F119" s="145" t="n">
        <v>0</v>
      </c>
      <c r="G119" s="145" t="n">
        <v>0</v>
      </c>
      <c r="H119" s="145" t="n">
        <v>0</v>
      </c>
      <c r="I119" s="145" t="n"/>
      <c r="J119" s="145" t="n">
        <v>0</v>
      </c>
    </row>
    <row r="120">
      <c r="B120" s="115" t="inlineStr">
        <is>
          <t xml:space="preserve">#N/A </t>
        </is>
      </c>
      <c r="C120" s="145" t="n"/>
      <c r="D120" s="145" t="n"/>
      <c r="E120" s="145" t="n">
        <v>0</v>
      </c>
      <c r="F120" s="145" t="n">
        <v>0</v>
      </c>
      <c r="G120" s="145" t="n">
        <v>0</v>
      </c>
      <c r="H120" s="145" t="n">
        <v>0</v>
      </c>
      <c r="I120" s="145" t="n"/>
      <c r="J120" s="145" t="n">
        <v>0</v>
      </c>
    </row>
    <row r="121">
      <c r="B121" s="113" t="inlineStr">
        <is>
          <t>Shipyard Extra Buyers Supply - Tripods and Spray Pipes</t>
        </is>
      </c>
      <c r="C121" s="145" t="n"/>
      <c r="D121" s="145" t="n"/>
      <c r="E121" s="145" t="n"/>
      <c r="F121" s="145" t="n"/>
      <c r="G121" s="145" t="n"/>
      <c r="H121" s="145" t="n">
        <v>0</v>
      </c>
      <c r="I121" s="145" t="n"/>
      <c r="J121" s="145" t="n">
        <v>0</v>
      </c>
    </row>
    <row r="122" ht="15.75" customHeight="1" thickBot="1">
      <c r="B122" s="115" t="inlineStr">
        <is>
          <t xml:space="preserve">#N/A </t>
        </is>
      </c>
      <c r="C122" s="145" t="n"/>
      <c r="D122" s="145" t="n"/>
      <c r="E122" s="145" t="n"/>
      <c r="F122" s="145" t="n"/>
      <c r="G122" s="145" t="n"/>
      <c r="H122" s="145" t="n">
        <v>0</v>
      </c>
      <c r="I122" s="145" t="n"/>
      <c r="J122" s="145" t="n">
        <v>0</v>
      </c>
    </row>
    <row r="123">
      <c r="B123" s="113" t="inlineStr">
        <is>
          <t>SHIPYARD EXTRA ONWER SUPPLY - Abanaki Skimmers</t>
        </is>
      </c>
      <c r="C123" s="145" t="n"/>
      <c r="D123" s="145" t="n"/>
      <c r="E123" s="145" t="n"/>
      <c r="F123" s="145" t="n"/>
      <c r="G123" s="145" t="n"/>
      <c r="H123" s="145" t="n">
        <v>0</v>
      </c>
      <c r="I123" s="145" t="n"/>
      <c r="J123" s="145" t="n">
        <v>0</v>
      </c>
    </row>
    <row r="124">
      <c r="B124" s="115" t="inlineStr">
        <is>
          <t xml:space="preserve">#N/A </t>
        </is>
      </c>
      <c r="C124" s="145" t="n"/>
      <c r="D124" s="145" t="n"/>
      <c r="E124" s="145" t="n"/>
      <c r="F124" s="145" t="n"/>
      <c r="G124" s="145" t="n"/>
      <c r="H124" s="145" t="n">
        <v>0</v>
      </c>
      <c r="I124" s="145" t="n"/>
      <c r="J124" s="145" t="n">
        <v>0</v>
      </c>
    </row>
    <row r="125">
      <c r="B125" s="113" t="inlineStr">
        <is>
          <t>Shipyard Extra Owner supply - Captains Eye</t>
        </is>
      </c>
      <c r="C125" s="145" t="n">
        <v>0</v>
      </c>
      <c r="D125" s="145" t="n">
        <v>224200</v>
      </c>
      <c r="E125" s="145" t="n">
        <v>0</v>
      </c>
      <c r="F125" s="145" t="n">
        <v>0</v>
      </c>
      <c r="G125" s="145" t="n">
        <v>0</v>
      </c>
      <c r="H125" s="145" t="n">
        <v>0</v>
      </c>
      <c r="I125" s="145" t="n"/>
      <c r="J125" s="145" t="n">
        <v>224200</v>
      </c>
    </row>
    <row r="126">
      <c r="B126" s="115" t="inlineStr">
        <is>
          <t xml:space="preserve">#N/A </t>
        </is>
      </c>
      <c r="C126" s="145" t="n">
        <v>0</v>
      </c>
      <c r="D126" s="145" t="n"/>
      <c r="E126" s="145" t="n">
        <v>0</v>
      </c>
      <c r="F126" s="145" t="n">
        <v>0</v>
      </c>
      <c r="G126" s="145" t="n">
        <v>0</v>
      </c>
      <c r="H126" s="145" t="n">
        <v>0</v>
      </c>
      <c r="I126" s="145" t="n"/>
      <c r="J126" s="145" t="n">
        <v>0</v>
      </c>
    </row>
    <row r="127">
      <c r="B127" s="115" t="inlineStr">
        <is>
          <t>Captain's Eye</t>
        </is>
      </c>
      <c r="C127" s="145" t="n"/>
      <c r="D127" s="145" t="n">
        <v>224200</v>
      </c>
      <c r="E127" s="145" t="n"/>
      <c r="F127" s="145" t="n"/>
      <c r="G127" s="145" t="n"/>
      <c r="H127" s="145" t="n"/>
      <c r="I127" s="145" t="n"/>
      <c r="J127" s="145" t="n">
        <v>224200</v>
      </c>
    </row>
    <row r="128">
      <c r="B128" s="113" t="inlineStr">
        <is>
          <t>SHIPYARD EXTRA OWNER SUPPLY - SWS-10.8k CEU extra cost for SMiG application</t>
        </is>
      </c>
      <c r="C128" s="145" t="n"/>
      <c r="D128" s="145" t="n">
        <v>19300</v>
      </c>
      <c r="E128" s="145" t="n"/>
      <c r="F128" s="145" t="n"/>
      <c r="G128" s="145" t="n"/>
      <c r="H128" s="145" t="n"/>
      <c r="I128" s="145" t="n"/>
      <c r="J128" s="145" t="n">
        <v>19300</v>
      </c>
    </row>
    <row r="129">
      <c r="B129" s="115" t="inlineStr">
        <is>
          <t>Consilium Marine and Safety Canada</t>
        </is>
      </c>
      <c r="C129" s="145" t="n"/>
      <c r="D129" s="145" t="n">
        <v>19300</v>
      </c>
      <c r="E129" s="145" t="n"/>
      <c r="F129" s="145" t="n"/>
      <c r="G129" s="145" t="n"/>
      <c r="H129" s="145" t="n"/>
      <c r="I129" s="145" t="n"/>
      <c r="J129" s="145" t="n">
        <v>19300</v>
      </c>
    </row>
    <row r="130">
      <c r="B130" s="113" t="inlineStr">
        <is>
          <t>SHIPYARD EXTRA OWNER SUPPLY- Abanaki Skimmers</t>
        </is>
      </c>
      <c r="C130" s="145" t="n">
        <v>0</v>
      </c>
      <c r="D130" s="145" t="n">
        <v>10325</v>
      </c>
      <c r="E130" s="145" t="n">
        <v>0</v>
      </c>
      <c r="F130" s="145" t="n">
        <v>0</v>
      </c>
      <c r="G130" s="145" t="n">
        <v>0</v>
      </c>
      <c r="H130" s="145" t="n"/>
      <c r="I130" s="145" t="n"/>
      <c r="J130" s="145" t="n">
        <v>10325</v>
      </c>
    </row>
    <row r="131">
      <c r="B131" s="115" t="inlineStr">
        <is>
          <t xml:space="preserve">#N/A </t>
        </is>
      </c>
      <c r="C131" s="145" t="n">
        <v>0</v>
      </c>
      <c r="D131" s="145" t="n"/>
      <c r="E131" s="145" t="n">
        <v>0</v>
      </c>
      <c r="F131" s="145" t="n">
        <v>0</v>
      </c>
      <c r="G131" s="145" t="n">
        <v>0</v>
      </c>
      <c r="H131" s="145" t="n"/>
      <c r="I131" s="145" t="n"/>
      <c r="J131" s="145" t="n">
        <v>0</v>
      </c>
    </row>
    <row r="132">
      <c r="B132" s="115" t="inlineStr">
        <is>
          <t>Hermont Marine Inc</t>
        </is>
      </c>
      <c r="C132" s="145" t="n"/>
      <c r="D132" s="145" t="n">
        <v>10325</v>
      </c>
      <c r="E132" s="145" t="n"/>
      <c r="F132" s="145" t="n"/>
      <c r="G132" s="145" t="n"/>
      <c r="H132" s="145" t="n"/>
      <c r="I132" s="145" t="n"/>
      <c r="J132" s="145" t="n">
        <v>10325</v>
      </c>
    </row>
    <row r="133">
      <c r="B133" s="113" t="inlineStr">
        <is>
          <t>Stanchions</t>
        </is>
      </c>
      <c r="C133" s="145" t="n">
        <v>0</v>
      </c>
      <c r="D133" s="145" t="n"/>
      <c r="E133" s="145" t="n">
        <v>0</v>
      </c>
      <c r="F133" s="145" t="n"/>
      <c r="G133" s="145" t="n"/>
      <c r="H133" s="145" t="n"/>
      <c r="I133" s="145" t="n"/>
      <c r="J133" s="145" t="n">
        <v>0</v>
      </c>
    </row>
    <row r="134">
      <c r="B134" s="115" t="inlineStr">
        <is>
          <t xml:space="preserve">#N/A </t>
        </is>
      </c>
      <c r="C134" s="145" t="n">
        <v>0</v>
      </c>
      <c r="D134" s="145" t="n"/>
      <c r="E134" s="145" t="n">
        <v>0</v>
      </c>
      <c r="F134" s="145" t="n"/>
      <c r="G134" s="145" t="n"/>
      <c r="H134" s="145" t="n"/>
      <c r="I134" s="145" t="n"/>
      <c r="J134" s="145" t="n">
        <v>0</v>
      </c>
    </row>
    <row r="135">
      <c r="B135" s="113" t="inlineStr">
        <is>
          <t>Suez light</t>
        </is>
      </c>
      <c r="C135" s="145" t="n"/>
      <c r="D135" s="145" t="n"/>
      <c r="E135" s="145" t="n">
        <v>0</v>
      </c>
      <c r="F135" s="145" t="n"/>
      <c r="G135" s="145" t="n"/>
      <c r="H135" s="145" t="n"/>
      <c r="I135" s="145" t="n"/>
      <c r="J135" s="145" t="n">
        <v>0</v>
      </c>
    </row>
    <row r="136">
      <c r="B136" s="115" t="inlineStr">
        <is>
          <t xml:space="preserve">#N/A </t>
        </is>
      </c>
      <c r="C136" s="145" t="n"/>
      <c r="D136" s="145" t="n"/>
      <c r="E136" s="145" t="n">
        <v>0</v>
      </c>
      <c r="F136" s="145" t="n"/>
      <c r="G136" s="145" t="n"/>
      <c r="H136" s="145" t="n"/>
      <c r="I136" s="145" t="n"/>
      <c r="J136" s="145" t="n">
        <v>0</v>
      </c>
    </row>
    <row r="137">
      <c r="B137" s="113" t="inlineStr">
        <is>
          <t>Thermal Stop PO</t>
        </is>
      </c>
      <c r="C137" s="145" t="n"/>
      <c r="D137" s="145" t="n">
        <v>0</v>
      </c>
      <c r="E137" s="145" t="n">
        <v>0</v>
      </c>
      <c r="F137" s="145" t="n"/>
      <c r="G137" s="145" t="n"/>
      <c r="H137" s="145" t="n"/>
      <c r="I137" s="145" t="n"/>
      <c r="J137" s="145" t="n">
        <v>0</v>
      </c>
    </row>
    <row r="138">
      <c r="B138" s="115" t="inlineStr">
        <is>
          <t xml:space="preserve">#N/A </t>
        </is>
      </c>
      <c r="C138" s="145" t="n"/>
      <c r="D138" s="145" t="n"/>
      <c r="E138" s="145" t="n">
        <v>0</v>
      </c>
      <c r="F138" s="145" t="n"/>
      <c r="G138" s="145" t="n"/>
      <c r="H138" s="145" t="n"/>
      <c r="I138" s="145" t="n"/>
      <c r="J138" s="145" t="n">
        <v>0</v>
      </c>
    </row>
    <row r="139">
      <c r="B139" s="115" t="inlineStr">
        <is>
          <t>#N/A</t>
        </is>
      </c>
      <c r="C139" s="145" t="n"/>
      <c r="D139" s="145" t="n">
        <v>0</v>
      </c>
      <c r="E139" s="145" t="n"/>
      <c r="F139" s="145" t="n"/>
      <c r="G139" s="145" t="n"/>
      <c r="H139" s="145" t="n"/>
      <c r="I139" s="145" t="n"/>
      <c r="J139" s="145" t="n">
        <v>0</v>
      </c>
    </row>
    <row r="140">
      <c r="B140" s="113" t="inlineStr">
        <is>
          <t>Trelleborg Safe lanes</t>
        </is>
      </c>
      <c r="C140" s="145" t="n"/>
      <c r="D140" s="145" t="n">
        <v>0</v>
      </c>
      <c r="E140" s="145" t="n"/>
      <c r="F140" s="145" t="n"/>
      <c r="G140" s="145" t="n"/>
      <c r="H140" s="145" t="n"/>
      <c r="I140" s="145" t="n"/>
      <c r="J140" s="145" t="n">
        <v>0</v>
      </c>
    </row>
    <row r="141">
      <c r="B141" s="115" t="inlineStr">
        <is>
          <t>#N/A</t>
        </is>
      </c>
      <c r="C141" s="145" t="n"/>
      <c r="D141" s="145" t="n">
        <v>0</v>
      </c>
      <c r="E141" s="145" t="n"/>
      <c r="F141" s="145" t="n"/>
      <c r="G141" s="145" t="n"/>
      <c r="H141" s="145" t="n"/>
      <c r="I141" s="145" t="n"/>
      <c r="J141" s="145" t="n">
        <v>0</v>
      </c>
    </row>
    <row r="142">
      <c r="B142" s="113" t="inlineStr">
        <is>
          <t>UHF Radio (Handheld)</t>
        </is>
      </c>
      <c r="C142" s="145" t="n"/>
      <c r="D142" s="145" t="n">
        <v>32128</v>
      </c>
      <c r="E142" s="145" t="n"/>
      <c r="F142" s="145" t="n"/>
      <c r="G142" s="145" t="n"/>
      <c r="H142" s="145" t="n"/>
      <c r="I142" s="145" t="n"/>
      <c r="J142" s="145" t="n">
        <v>32128</v>
      </c>
    </row>
    <row r="143">
      <c r="B143" s="115" t="inlineStr">
        <is>
          <t>Vessel Link Marine Supply &amp; Service Ltd</t>
        </is>
      </c>
      <c r="C143" s="145" t="n"/>
      <c r="D143" s="145" t="n">
        <v>32128</v>
      </c>
      <c r="E143" s="145" t="n"/>
      <c r="F143" s="145" t="n"/>
      <c r="G143" s="145" t="n"/>
      <c r="H143" s="145" t="n"/>
      <c r="I143" s="145" t="n"/>
      <c r="J143" s="145" t="n">
        <v>32128</v>
      </c>
    </row>
    <row r="144">
      <c r="B144" s="113" t="inlineStr">
        <is>
          <t>VISWA Line Samplers</t>
        </is>
      </c>
      <c r="C144" s="145" t="n"/>
      <c r="D144" s="145" t="n">
        <v>1630</v>
      </c>
      <c r="E144" s="145" t="n"/>
      <c r="F144" s="145" t="n"/>
      <c r="G144" s="145" t="n"/>
      <c r="H144" s="145" t="n"/>
      <c r="I144" s="145" t="n"/>
      <c r="J144" s="145" t="n">
        <v>1630</v>
      </c>
    </row>
    <row r="145">
      <c r="B145" s="115" t="inlineStr">
        <is>
          <t>Viswam Limited</t>
        </is>
      </c>
      <c r="C145" s="145" t="n"/>
      <c r="D145" s="145" t="n">
        <v>1630</v>
      </c>
      <c r="E145" s="145" t="n"/>
      <c r="F145" s="145" t="n"/>
      <c r="G145" s="145" t="n"/>
      <c r="H145" s="145" t="n"/>
      <c r="I145" s="145" t="n"/>
      <c r="J145" s="145" t="n">
        <v>1630</v>
      </c>
    </row>
    <row r="146">
      <c r="B146" s="113" t="inlineStr">
        <is>
          <t>Welding machine in Workshop 440 v</t>
        </is>
      </c>
      <c r="C146" s="145" t="n"/>
      <c r="D146" s="145" t="n"/>
      <c r="E146" s="145" t="n">
        <v>0</v>
      </c>
      <c r="F146" s="145" t="n"/>
      <c r="G146" s="145" t="n"/>
      <c r="H146" s="145" t="n"/>
      <c r="I146" s="145" t="n"/>
      <c r="J146" s="145" t="n">
        <v>0</v>
      </c>
    </row>
    <row r="147">
      <c r="B147" s="115" t="inlineStr">
        <is>
          <t xml:space="preserve">#N/A </t>
        </is>
      </c>
      <c r="C147" s="145" t="n"/>
      <c r="D147" s="145" t="n"/>
      <c r="E147" s="145" t="n">
        <v>0</v>
      </c>
      <c r="F147" s="145" t="n"/>
      <c r="G147" s="145" t="n"/>
      <c r="H147" s="145" t="n"/>
      <c r="I147" s="145" t="n"/>
      <c r="J147" s="145" t="n">
        <v>0</v>
      </c>
    </row>
    <row r="148">
      <c r="B148" s="113" t="inlineStr">
        <is>
          <t>(blank)</t>
        </is>
      </c>
      <c r="C148" s="145" t="n"/>
      <c r="D148" s="145" t="n"/>
      <c r="E148" s="145" t="n">
        <v>0</v>
      </c>
      <c r="F148" s="145" t="n"/>
      <c r="G148" s="145" t="n"/>
      <c r="H148" s="145" t="n"/>
      <c r="I148" s="145" t="n"/>
      <c r="J148" s="145" t="n">
        <v>0</v>
      </c>
    </row>
    <row r="149">
      <c r="B149" s="115" t="inlineStr">
        <is>
          <t xml:space="preserve">#N/A </t>
        </is>
      </c>
      <c r="C149" s="145" t="n"/>
      <c r="D149" s="145" t="n"/>
      <c r="E149" s="145" t="n">
        <v>0</v>
      </c>
      <c r="F149" s="145" t="n"/>
      <c r="G149" s="145" t="n"/>
      <c r="H149" s="145" t="n"/>
      <c r="I149" s="145" t="n"/>
      <c r="J149" s="145" t="n">
        <v>0</v>
      </c>
    </row>
    <row r="150">
      <c r="B150" s="113" t="inlineStr">
        <is>
          <t>Manuals for all equipment- priority for BWTS, STP, OWS, EMGCY AC, EMCY GEN</t>
        </is>
      </c>
      <c r="C150" s="145" t="n"/>
      <c r="D150" s="145" t="n"/>
      <c r="E150" s="145" t="n">
        <v>0</v>
      </c>
      <c r="F150" s="145" t="n"/>
      <c r="G150" s="145" t="n"/>
      <c r="H150" s="145" t="n"/>
      <c r="I150" s="145" t="n"/>
      <c r="J150" s="145" t="n">
        <v>0</v>
      </c>
    </row>
    <row r="151">
      <c r="B151" s="115" t="inlineStr">
        <is>
          <t xml:space="preserve">#N/A </t>
        </is>
      </c>
      <c r="C151" s="145" t="n"/>
      <c r="D151" s="145" t="n"/>
      <c r="E151" s="145" t="n">
        <v>0</v>
      </c>
      <c r="F151" s="145" t="n"/>
      <c r="G151" s="145" t="n"/>
      <c r="H151" s="145" t="n"/>
      <c r="I151" s="145" t="n"/>
      <c r="J151" s="145" t="n">
        <v>0</v>
      </c>
    </row>
    <row r="152">
      <c r="B152" s="113" t="inlineStr">
        <is>
          <t>Shipyard Extra Buyer Supply - Hinas SVM SEASPAN 10.8K PCTC</t>
        </is>
      </c>
      <c r="C152" s="145" t="n">
        <v>0</v>
      </c>
      <c r="D152" s="145" t="n"/>
      <c r="E152" s="145" t="n"/>
      <c r="F152" s="145" t="n"/>
      <c r="G152" s="145" t="n"/>
      <c r="H152" s="145" t="n"/>
      <c r="I152" s="145" t="n"/>
      <c r="J152" s="145" t="n">
        <v>0</v>
      </c>
    </row>
    <row r="153">
      <c r="B153" s="115" t="inlineStr">
        <is>
          <t xml:space="preserve">#N/A </t>
        </is>
      </c>
      <c r="C153" s="145" t="n">
        <v>0</v>
      </c>
      <c r="D153" s="145" t="n"/>
      <c r="E153" s="145" t="n"/>
      <c r="F153" s="145" t="n"/>
      <c r="G153" s="145" t="n"/>
      <c r="H153" s="145" t="n"/>
      <c r="I153" s="145" t="n"/>
      <c r="J153" s="145" t="n">
        <v>0</v>
      </c>
    </row>
    <row r="154">
      <c r="B154" s="113" t="inlineStr">
        <is>
          <t>Pre Delivery - Spray Pipes</t>
        </is>
      </c>
      <c r="C154" s="145" t="n">
        <v>0</v>
      </c>
      <c r="D154" s="145" t="n"/>
      <c r="E154" s="145" t="n"/>
      <c r="F154" s="145" t="n"/>
      <c r="G154" s="145" t="n"/>
      <c r="H154" s="145" t="n"/>
      <c r="I154" s="145" t="n"/>
      <c r="J154" s="145" t="n">
        <v>0</v>
      </c>
    </row>
    <row r="155">
      <c r="B155" s="115" t="inlineStr">
        <is>
          <t xml:space="preserve">#N/A </t>
        </is>
      </c>
      <c r="C155" s="145" t="n">
        <v>0</v>
      </c>
      <c r="D155" s="145" t="n"/>
      <c r="E155" s="145" t="n"/>
      <c r="F155" s="145" t="n"/>
      <c r="G155" s="145" t="n"/>
      <c r="H155" s="145" t="n"/>
      <c r="I155" s="145" t="n"/>
      <c r="J155" s="145" t="n">
        <v>0</v>
      </c>
    </row>
    <row r="156">
      <c r="B156" s="113" t="inlineStr">
        <is>
          <t>Pre Delivery - QCDC</t>
        </is>
      </c>
      <c r="C156" s="145" t="n">
        <v>0</v>
      </c>
      <c r="D156" s="145" t="n"/>
      <c r="E156" s="145" t="n"/>
      <c r="F156" s="145" t="n"/>
      <c r="G156" s="145" t="n"/>
      <c r="H156" s="145" t="n"/>
      <c r="I156" s="145" t="n"/>
      <c r="J156" s="145" t="n">
        <v>0</v>
      </c>
    </row>
    <row r="157">
      <c r="B157" s="115" t="inlineStr">
        <is>
          <t xml:space="preserve">#N/A </t>
        </is>
      </c>
      <c r="C157" s="145" t="n">
        <v>0</v>
      </c>
      <c r="D157" s="145" t="n"/>
      <c r="E157" s="145" t="n"/>
      <c r="F157" s="145" t="n"/>
      <c r="G157" s="145" t="n"/>
      <c r="H157" s="145" t="n"/>
      <c r="I157" s="145" t="n"/>
      <c r="J157" s="145" t="n">
        <v>0</v>
      </c>
    </row>
    <row r="158">
      <c r="B158" s="113" t="inlineStr">
        <is>
          <t>Reliability Spares - 10,8K CEU SWS - GVT- Korval</t>
        </is>
      </c>
      <c r="C158" s="145" t="n">
        <v>0</v>
      </c>
      <c r="D158" s="145" t="n"/>
      <c r="E158" s="145" t="n"/>
      <c r="F158" s="145" t="n"/>
      <c r="G158" s="145" t="n"/>
      <c r="H158" s="145" t="n"/>
      <c r="I158" s="145" t="n"/>
      <c r="J158" s="145" t="n">
        <v>0</v>
      </c>
    </row>
    <row r="159">
      <c r="B159" s="115" t="inlineStr">
        <is>
          <t xml:space="preserve">#N/A </t>
        </is>
      </c>
      <c r="C159" s="145" t="n">
        <v>0</v>
      </c>
      <c r="D159" s="145" t="n"/>
      <c r="E159" s="145" t="n"/>
      <c r="F159" s="145" t="n"/>
      <c r="G159" s="145" t="n"/>
      <c r="H159" s="145" t="n"/>
      <c r="I159" s="145" t="n"/>
      <c r="J159" s="145" t="n">
        <v>0</v>
      </c>
    </row>
    <row r="160">
      <c r="B160" s="113" t="inlineStr">
        <is>
          <t>PCTC Loose Fittings Procurement</t>
        </is>
      </c>
      <c r="C160" s="145" t="n">
        <v>0</v>
      </c>
      <c r="D160" s="145" t="n"/>
      <c r="E160" s="145" t="n"/>
      <c r="F160" s="145" t="n"/>
      <c r="G160" s="145" t="n"/>
      <c r="H160" s="145" t="n"/>
      <c r="I160" s="145" t="n"/>
      <c r="J160" s="145" t="n">
        <v>0</v>
      </c>
    </row>
    <row r="161">
      <c r="B161" s="115" t="inlineStr">
        <is>
          <t xml:space="preserve">#N/A </t>
        </is>
      </c>
      <c r="C161" s="145" t="n">
        <v>0</v>
      </c>
      <c r="D161" s="145" t="n"/>
      <c r="E161" s="145" t="n"/>
      <c r="F161" s="145" t="n"/>
      <c r="G161" s="145" t="n"/>
      <c r="H161" s="145" t="n"/>
      <c r="I161" s="145" t="n"/>
      <c r="J161" s="145" t="n">
        <v>0</v>
      </c>
    </row>
    <row r="162">
      <c r="B162" s="113" t="inlineStr">
        <is>
          <t>Shipyard Extra (Owner supply) - 10800 CEU LNG PCTC _x0013_ Consilium SMiG Integration</t>
        </is>
      </c>
      <c r="C162" s="145" t="n">
        <v>0</v>
      </c>
      <c r="D162" s="145" t="n"/>
      <c r="E162" s="145" t="n">
        <v>0</v>
      </c>
      <c r="F162" s="145" t="n"/>
      <c r="G162" s="145" t="n"/>
      <c r="H162" s="145" t="n"/>
      <c r="I162" s="145" t="n"/>
      <c r="J162" s="145" t="n">
        <v>0</v>
      </c>
    </row>
    <row r="163">
      <c r="B163" s="115" t="inlineStr">
        <is>
          <t xml:space="preserve">#N/A </t>
        </is>
      </c>
      <c r="C163" s="145" t="n">
        <v>0</v>
      </c>
      <c r="D163" s="145" t="n"/>
      <c r="E163" s="145" t="n">
        <v>0</v>
      </c>
      <c r="F163" s="145" t="n"/>
      <c r="G163" s="145" t="n"/>
      <c r="H163" s="145" t="n"/>
      <c r="I163" s="145" t="n"/>
      <c r="J163" s="145" t="n">
        <v>0</v>
      </c>
    </row>
    <row r="164">
      <c r="B164" s="113" t="inlineStr">
        <is>
          <t>Citadel Items</t>
        </is>
      </c>
      <c r="C164" s="145" t="n">
        <v>0</v>
      </c>
      <c r="D164" s="145" t="n"/>
      <c r="E164" s="145" t="n">
        <v>0</v>
      </c>
      <c r="F164" s="145" t="n"/>
      <c r="G164" s="145" t="n"/>
      <c r="H164" s="145" t="n"/>
      <c r="I164" s="145" t="n"/>
      <c r="J164" s="145" t="n">
        <v>0</v>
      </c>
    </row>
    <row r="165">
      <c r="B165" s="115" t="inlineStr">
        <is>
          <t xml:space="preserve">#N/A </t>
        </is>
      </c>
      <c r="C165" s="145" t="n">
        <v>0</v>
      </c>
      <c r="D165" s="145" t="n"/>
      <c r="E165" s="145" t="n">
        <v>0</v>
      </c>
      <c r="F165" s="145" t="n"/>
      <c r="G165" s="145" t="n"/>
      <c r="H165" s="145" t="n"/>
      <c r="I165" s="145" t="n"/>
      <c r="J165" s="145" t="n">
        <v>0</v>
      </c>
    </row>
    <row r="166">
      <c r="B166" s="113" t="inlineStr">
        <is>
          <t>Reliability Spares - PCTC-Seaspan - Boilers QUOT26012103_R00</t>
        </is>
      </c>
      <c r="C166" s="145" t="n"/>
      <c r="D166" s="145" t="n"/>
      <c r="E166" s="145" t="n">
        <v>0</v>
      </c>
      <c r="F166" s="145" t="n"/>
      <c r="G166" s="145" t="n"/>
      <c r="H166" s="145" t="n"/>
      <c r="I166" s="145" t="n"/>
      <c r="J166" s="145" t="n">
        <v>0</v>
      </c>
    </row>
    <row r="167">
      <c r="B167" s="115" t="inlineStr">
        <is>
          <t xml:space="preserve">#N/A </t>
        </is>
      </c>
      <c r="C167" s="145" t="n"/>
      <c r="D167" s="145" t="n"/>
      <c r="E167" s="145" t="n">
        <v>0</v>
      </c>
      <c r="F167" s="145" t="n"/>
      <c r="G167" s="145" t="n"/>
      <c r="H167" s="145" t="n"/>
      <c r="I167" s="145" t="n"/>
      <c r="J167" s="145" t="n">
        <v>0</v>
      </c>
    </row>
    <row r="168">
      <c r="B168" s="113" t="inlineStr">
        <is>
          <t xml:space="preserve">Main Engine  </t>
        </is>
      </c>
      <c r="C168" s="145" t="n"/>
      <c r="D168" s="145" t="n"/>
      <c r="E168" s="145" t="n">
        <v>0</v>
      </c>
      <c r="F168" s="145" t="n"/>
      <c r="G168" s="145" t="n"/>
      <c r="H168" s="145" t="n"/>
      <c r="I168" s="145" t="n"/>
      <c r="J168" s="145" t="n">
        <v>0</v>
      </c>
    </row>
    <row r="169">
      <c r="B169" s="115" t="inlineStr">
        <is>
          <t xml:space="preserve">#N/A </t>
        </is>
      </c>
      <c r="C169" s="145" t="n"/>
      <c r="D169" s="145" t="n"/>
      <c r="E169" s="145" t="n">
        <v>0</v>
      </c>
      <c r="F169" s="145" t="n"/>
      <c r="G169" s="145" t="n"/>
      <c r="H169" s="145" t="n"/>
      <c r="I169" s="145" t="n"/>
      <c r="J169" s="145" t="n">
        <v>0</v>
      </c>
    </row>
    <row r="170">
      <c r="B170" s="113" t="inlineStr">
        <is>
          <t>Aux. Engine</t>
        </is>
      </c>
      <c r="C170" s="145" t="n"/>
      <c r="D170" s="145" t="n"/>
      <c r="E170" s="145" t="n">
        <v>0</v>
      </c>
      <c r="F170" s="145" t="n"/>
      <c r="G170" s="145" t="n"/>
      <c r="H170" s="145" t="n"/>
      <c r="I170" s="145" t="n"/>
      <c r="J170" s="145" t="n">
        <v>0</v>
      </c>
    </row>
    <row r="171">
      <c r="B171" s="115" t="inlineStr">
        <is>
          <t xml:space="preserve">#N/A </t>
        </is>
      </c>
      <c r="C171" s="145" t="n"/>
      <c r="D171" s="145" t="n"/>
      <c r="E171" s="145" t="n">
        <v>0</v>
      </c>
      <c r="F171" s="145" t="n"/>
      <c r="G171" s="145" t="n"/>
      <c r="H171" s="145" t="n"/>
      <c r="I171" s="145" t="n"/>
      <c r="J171" s="145" t="n">
        <v>0</v>
      </c>
    </row>
    <row r="172">
      <c r="B172" s="113" t="inlineStr">
        <is>
          <t>RO-RO Equipment (Main &amp; Centre Ramp spares + inner Ramp spares)</t>
        </is>
      </c>
      <c r="C172" s="145" t="n"/>
      <c r="D172" s="145" t="n"/>
      <c r="E172" s="145" t="n">
        <v>0</v>
      </c>
      <c r="F172" s="145" t="n"/>
      <c r="G172" s="145" t="n"/>
      <c r="H172" s="145" t="n"/>
      <c r="I172" s="145" t="n"/>
      <c r="J172" s="145" t="n">
        <v>0</v>
      </c>
    </row>
    <row r="173">
      <c r="B173" s="115" t="inlineStr">
        <is>
          <t xml:space="preserve">#N/A </t>
        </is>
      </c>
      <c r="C173" s="145" t="n"/>
      <c r="D173" s="145" t="n"/>
      <c r="E173" s="145" t="n">
        <v>0</v>
      </c>
      <c r="F173" s="145" t="n"/>
      <c r="G173" s="145" t="n"/>
      <c r="H173" s="145" t="n"/>
      <c r="I173" s="145" t="n"/>
      <c r="J173" s="145" t="n">
        <v>0</v>
      </c>
    </row>
    <row r="174">
      <c r="B174" s="113" t="inlineStr">
        <is>
          <t>HP Pump Skid</t>
        </is>
      </c>
      <c r="C174" s="145" t="n"/>
      <c r="D174" s="145" t="n"/>
      <c r="E174" s="145" t="n">
        <v>0</v>
      </c>
      <c r="F174" s="145" t="n"/>
      <c r="G174" s="145" t="n"/>
      <c r="H174" s="145" t="n"/>
      <c r="I174" s="145" t="n"/>
      <c r="J174" s="145" t="n">
        <v>0</v>
      </c>
    </row>
    <row r="175">
      <c r="B175" s="115" t="inlineStr">
        <is>
          <t xml:space="preserve">#N/A </t>
        </is>
      </c>
      <c r="C175" s="145" t="n"/>
      <c r="D175" s="145" t="n"/>
      <c r="E175" s="145" t="n">
        <v>0</v>
      </c>
      <c r="F175" s="145" t="n"/>
      <c r="G175" s="145" t="n"/>
      <c r="H175" s="145" t="n"/>
      <c r="I175" s="145" t="n"/>
      <c r="J175" s="145" t="n">
        <v>0</v>
      </c>
    </row>
    <row r="176">
      <c r="B176" s="113" t="inlineStr">
        <is>
          <t>Nitrogen Generator</t>
        </is>
      </c>
      <c r="C176" s="145" t="n"/>
      <c r="D176" s="145" t="n"/>
      <c r="E176" s="145" t="n">
        <v>0</v>
      </c>
      <c r="F176" s="145" t="n"/>
      <c r="G176" s="145" t="n"/>
      <c r="H176" s="145" t="n"/>
      <c r="I176" s="145" t="n"/>
      <c r="J176" s="145" t="n">
        <v>0</v>
      </c>
    </row>
    <row r="177">
      <c r="B177" s="115" t="inlineStr">
        <is>
          <t xml:space="preserve">#N/A </t>
        </is>
      </c>
      <c r="C177" s="145" t="n"/>
      <c r="D177" s="145" t="n"/>
      <c r="E177" s="145" t="n">
        <v>0</v>
      </c>
      <c r="F177" s="145" t="n"/>
      <c r="G177" s="145" t="n"/>
      <c r="H177" s="145" t="n"/>
      <c r="I177" s="145" t="n"/>
      <c r="J177" s="145" t="n">
        <v>0</v>
      </c>
    </row>
    <row r="178">
      <c r="B178" s="113" t="inlineStr">
        <is>
          <t xml:space="preserve">RSC Lube oil - qty </t>
        </is>
      </c>
      <c r="C178" s="145" t="n"/>
      <c r="D178" s="145" t="n"/>
      <c r="E178" s="145" t="n">
        <v>0</v>
      </c>
      <c r="F178" s="145" t="n"/>
      <c r="G178" s="145" t="n"/>
      <c r="H178" s="145" t="n"/>
      <c r="I178" s="145" t="n"/>
      <c r="J178" s="145" t="n">
        <v>0</v>
      </c>
    </row>
    <row r="179">
      <c r="B179" s="115" t="inlineStr">
        <is>
          <t xml:space="preserve">#N/A </t>
        </is>
      </c>
      <c r="C179" s="145" t="n"/>
      <c r="D179" s="145" t="n"/>
      <c r="E179" s="145" t="n">
        <v>0</v>
      </c>
      <c r="F179" s="145" t="n"/>
      <c r="G179" s="145" t="n"/>
      <c r="H179" s="145" t="n"/>
      <c r="I179" s="145" t="n"/>
      <c r="J179" s="145" t="n">
        <v>0</v>
      </c>
    </row>
    <row r="180">
      <c r="B180" s="113" t="inlineStr">
        <is>
          <t xml:space="preserve">QC DC </t>
        </is>
      </c>
      <c r="C180" s="145" t="n"/>
      <c r="D180" s="145" t="n"/>
      <c r="E180" s="145" t="n">
        <v>0</v>
      </c>
      <c r="F180" s="145" t="n"/>
      <c r="G180" s="145" t="n"/>
      <c r="H180" s="145" t="n"/>
      <c r="I180" s="145" t="n"/>
      <c r="J180" s="145" t="n">
        <v>0</v>
      </c>
    </row>
    <row r="181">
      <c r="B181" s="115" t="inlineStr">
        <is>
          <t xml:space="preserve">#N/A </t>
        </is>
      </c>
      <c r="C181" s="145" t="n"/>
      <c r="D181" s="145" t="n"/>
      <c r="E181" s="145" t="n">
        <v>0</v>
      </c>
      <c r="F181" s="145" t="n"/>
      <c r="G181" s="145" t="n"/>
      <c r="H181" s="145" t="n"/>
      <c r="I181" s="145" t="n"/>
      <c r="J181" s="145" t="n">
        <v>0</v>
      </c>
    </row>
    <row r="182">
      <c r="B182" s="113" t="inlineStr">
        <is>
          <t>Breathing air compressor</t>
        </is>
      </c>
      <c r="C182" s="145" t="n"/>
      <c r="D182" s="145" t="n"/>
      <c r="E182" s="145" t="n">
        <v>0</v>
      </c>
      <c r="F182" s="145" t="n"/>
      <c r="G182" s="145" t="n"/>
      <c r="H182" s="145" t="n"/>
      <c r="I182" s="145" t="n"/>
      <c r="J182" s="145" t="n">
        <v>0</v>
      </c>
    </row>
    <row r="183">
      <c r="B183" s="115" t="inlineStr">
        <is>
          <t xml:space="preserve">#N/A </t>
        </is>
      </c>
      <c r="C183" s="145" t="n"/>
      <c r="D183" s="145" t="n"/>
      <c r="E183" s="145" t="n">
        <v>0</v>
      </c>
      <c r="F183" s="145" t="n"/>
      <c r="G183" s="145" t="n"/>
      <c r="H183" s="145" t="n"/>
      <c r="I183" s="145" t="n"/>
      <c r="J183" s="145" t="n">
        <v>0</v>
      </c>
    </row>
    <row r="184">
      <c r="B184" s="113" t="inlineStr">
        <is>
          <t>Item no 11, loose equipment for emergency operation of roro equipment</t>
        </is>
      </c>
      <c r="C184" s="145" t="n"/>
      <c r="D184" s="145" t="n"/>
      <c r="E184" s="145" t="n">
        <v>0</v>
      </c>
      <c r="F184" s="145" t="n"/>
      <c r="G184" s="145" t="n"/>
      <c r="H184" s="145" t="n"/>
      <c r="I184" s="145" t="n"/>
      <c r="J184" s="145" t="n">
        <v>0</v>
      </c>
    </row>
    <row r="185">
      <c r="B185" s="115" t="inlineStr">
        <is>
          <t xml:space="preserve">#N/A </t>
        </is>
      </c>
      <c r="C185" s="145" t="n"/>
      <c r="D185" s="145" t="n"/>
      <c r="E185" s="145" t="n">
        <v>0</v>
      </c>
      <c r="F185" s="145" t="n"/>
      <c r="G185" s="145" t="n"/>
      <c r="H185" s="145" t="n"/>
      <c r="I185" s="145" t="n"/>
      <c r="J185" s="145" t="n">
        <v>0</v>
      </c>
    </row>
    <row r="186">
      <c r="B186" s="113" t="inlineStr">
        <is>
          <t>Service Car and Forlift</t>
        </is>
      </c>
      <c r="C186" s="145" t="n"/>
      <c r="D186" s="145" t="n"/>
      <c r="E186" s="145" t="n">
        <v>0</v>
      </c>
      <c r="F186" s="145" t="n"/>
      <c r="G186" s="145" t="n"/>
      <c r="H186" s="145" t="n"/>
      <c r="I186" s="145" t="n"/>
      <c r="J186" s="145" t="n">
        <v>0</v>
      </c>
    </row>
    <row r="187">
      <c r="B187" s="115" t="inlineStr">
        <is>
          <t xml:space="preserve">#N/A </t>
        </is>
      </c>
      <c r="C187" s="145" t="n"/>
      <c r="D187" s="145" t="n"/>
      <c r="E187" s="145" t="n">
        <v>0</v>
      </c>
      <c r="F187" s="145" t="n"/>
      <c r="G187" s="145" t="n"/>
      <c r="H187" s="145" t="n"/>
      <c r="I187" s="145" t="n"/>
      <c r="J187" s="145" t="n">
        <v>0</v>
      </c>
    </row>
    <row r="188">
      <c r="B188" s="113" t="inlineStr">
        <is>
          <t>DF Tools for Methanol Project</t>
        </is>
      </c>
      <c r="C188" s="145" t="n"/>
      <c r="D188" s="145" t="n"/>
      <c r="E188" s="145" t="n">
        <v>0</v>
      </c>
      <c r="F188" s="145" t="n"/>
      <c r="G188" s="145" t="n"/>
      <c r="H188" s="145" t="n"/>
      <c r="I188" s="145" t="n"/>
      <c r="J188" s="145" t="n">
        <v>0</v>
      </c>
    </row>
    <row r="189">
      <c r="B189" s="115" t="inlineStr">
        <is>
          <t xml:space="preserve">#N/A </t>
        </is>
      </c>
      <c r="C189" s="145" t="n"/>
      <c r="D189" s="145" t="n"/>
      <c r="E189" s="145" t="n">
        <v>0</v>
      </c>
      <c r="F189" s="145" t="n"/>
      <c r="G189" s="145" t="n"/>
      <c r="H189" s="145" t="n"/>
      <c r="I189" s="145" t="n"/>
      <c r="J189" s="145" t="n">
        <v>0</v>
      </c>
    </row>
    <row r="190">
      <c r="B190" s="113" t="inlineStr">
        <is>
          <t>Shipyard Extra (owner supply) 10800 CEU LNG PCTC _x0013_ Consilium SMiG Integration</t>
        </is>
      </c>
      <c r="C190" s="145" t="n"/>
      <c r="D190" s="145" t="n"/>
      <c r="E190" s="145" t="n"/>
      <c r="F190" s="145" t="n">
        <v>0</v>
      </c>
      <c r="G190" s="145" t="n"/>
      <c r="H190" s="145" t="n"/>
      <c r="I190" s="145" t="n"/>
      <c r="J190" s="145" t="n">
        <v>0</v>
      </c>
    </row>
    <row r="191">
      <c r="B191" s="115" t="inlineStr">
        <is>
          <t xml:space="preserve">#N/A </t>
        </is>
      </c>
      <c r="C191" s="145" t="n"/>
      <c r="D191" s="145" t="n"/>
      <c r="E191" s="145" t="n"/>
      <c r="F191" s="145" t="n">
        <v>0</v>
      </c>
      <c r="G191" s="145" t="n"/>
      <c r="H191" s="145" t="n"/>
      <c r="I191" s="145" t="n"/>
      <c r="J191" s="145" t="n">
        <v>0</v>
      </c>
    </row>
    <row r="192">
      <c r="B192" s="113" t="inlineStr">
        <is>
          <t>FS-KVH-SWS-LOYAL</t>
        </is>
      </c>
      <c r="C192" s="145" t="n"/>
      <c r="D192" s="145" t="n"/>
      <c r="E192" s="145" t="n"/>
      <c r="F192" s="145" t="n"/>
      <c r="G192" s="145" t="n">
        <v>0</v>
      </c>
      <c r="H192" s="145" t="n"/>
      <c r="I192" s="145" t="n"/>
      <c r="J192" s="145" t="n">
        <v>0</v>
      </c>
    </row>
    <row r="193">
      <c r="B193" s="115" t="inlineStr">
        <is>
          <t xml:space="preserve">#N/A </t>
        </is>
      </c>
      <c r="C193" s="145" t="n"/>
      <c r="D193" s="145" t="n"/>
      <c r="E193" s="145" t="n"/>
      <c r="F193" s="145" t="n"/>
      <c r="G193" s="145" t="n">
        <v>0</v>
      </c>
      <c r="H193" s="145" t="n"/>
      <c r="I193" s="145" t="n"/>
      <c r="J193" s="145" t="n">
        <v>0</v>
      </c>
    </row>
    <row r="194">
      <c r="B194" s="113" t="inlineStr">
        <is>
          <t>FS-AST-LOYOL</t>
        </is>
      </c>
      <c r="C194" s="145" t="n"/>
      <c r="D194" s="145" t="n"/>
      <c r="E194" s="145" t="n"/>
      <c r="F194" s="145" t="n"/>
      <c r="G194" s="145" t="n">
        <v>0</v>
      </c>
      <c r="H194" s="145" t="n"/>
      <c r="I194" s="145" t="n"/>
      <c r="J194" s="145" t="n">
        <v>0</v>
      </c>
    </row>
    <row r="195">
      <c r="B195" s="115" t="inlineStr">
        <is>
          <t xml:space="preserve">#N/A </t>
        </is>
      </c>
      <c r="C195" s="145" t="n"/>
      <c r="D195" s="145" t="n"/>
      <c r="E195" s="145" t="n"/>
      <c r="F195" s="145" t="n"/>
      <c r="G195" s="145" t="n">
        <v>0</v>
      </c>
      <c r="H195" s="145" t="n"/>
      <c r="I195" s="145" t="n"/>
      <c r="J195" s="145" t="n">
        <v>0</v>
      </c>
    </row>
    <row r="196">
      <c r="B196" s="113" t="inlineStr">
        <is>
          <t>FS-ITBP  -LOYAL</t>
        </is>
      </c>
      <c r="C196" s="145" t="n"/>
      <c r="D196" s="145" t="n"/>
      <c r="E196" s="145" t="n"/>
      <c r="F196" s="145" t="n"/>
      <c r="G196" s="145" t="n">
        <v>0</v>
      </c>
      <c r="H196" s="145" t="n"/>
      <c r="I196" s="145" t="n"/>
      <c r="J196" s="145" t="n">
        <v>0</v>
      </c>
    </row>
    <row r="197">
      <c r="B197" s="115" t="inlineStr">
        <is>
          <t xml:space="preserve">#N/A </t>
        </is>
      </c>
      <c r="C197" s="145" t="n"/>
      <c r="D197" s="145" t="n"/>
      <c r="E197" s="145" t="n"/>
      <c r="F197" s="145" t="n"/>
      <c r="G197" s="145" t="n">
        <v>0</v>
      </c>
      <c r="H197" s="145" t="n"/>
      <c r="I197" s="145" t="n"/>
      <c r="J197" s="145" t="n">
        <v>0</v>
      </c>
    </row>
    <row r="198">
      <c r="B198" s="113" t="inlineStr">
        <is>
          <t>SHIPYARD EXTRA OWNER SUPLPY - 10800 CEU LNG PCTC _x0013_ Consilium SMiG Integration</t>
        </is>
      </c>
      <c r="C198" s="145" t="n"/>
      <c r="D198" s="145" t="n"/>
      <c r="E198" s="145" t="n"/>
      <c r="F198" s="145" t="n"/>
      <c r="G198" s="145" t="n">
        <v>0</v>
      </c>
      <c r="H198" s="145" t="n"/>
      <c r="I198" s="145" t="n"/>
      <c r="J198" s="145" t="n">
        <v>0</v>
      </c>
    </row>
    <row r="199">
      <c r="B199" s="115" t="inlineStr">
        <is>
          <t xml:space="preserve">#N/A </t>
        </is>
      </c>
      <c r="C199" s="145" t="n"/>
      <c r="D199" s="145" t="n"/>
      <c r="E199" s="145" t="n"/>
      <c r="F199" s="145" t="n"/>
      <c r="G199" s="145" t="n">
        <v>0</v>
      </c>
      <c r="H199" s="145" t="n"/>
      <c r="I199" s="145" t="n"/>
      <c r="J199" s="145" t="n">
        <v>0</v>
      </c>
    </row>
    <row r="200">
      <c r="B200" s="113" t="inlineStr">
        <is>
          <t>FS-LENOVO-Loyal</t>
        </is>
      </c>
      <c r="C200" s="145" t="n"/>
      <c r="D200" s="145" t="n"/>
      <c r="E200" s="145" t="n"/>
      <c r="F200" s="145" t="n"/>
      <c r="G200" s="145" t="n">
        <v>0</v>
      </c>
      <c r="H200" s="145" t="n"/>
      <c r="I200" s="145" t="n"/>
      <c r="J200" s="145" t="n">
        <v>0</v>
      </c>
    </row>
    <row r="201">
      <c r="B201" s="115" t="inlineStr">
        <is>
          <t xml:space="preserve">#N/A </t>
        </is>
      </c>
      <c r="C201" s="145" t="n"/>
      <c r="D201" s="145" t="n"/>
      <c r="E201" s="145" t="n"/>
      <c r="F201" s="145" t="n"/>
      <c r="G201" s="145" t="n">
        <v>0</v>
      </c>
      <c r="H201" s="145" t="n"/>
      <c r="I201" s="145" t="n"/>
      <c r="J201" s="145" t="n">
        <v>0</v>
      </c>
    </row>
    <row r="202">
      <c r="B202" s="66" t="inlineStr">
        <is>
          <t>Lube Oil</t>
        </is>
      </c>
      <c r="C202" s="145" t="n">
        <v>0</v>
      </c>
      <c r="D202" s="145" t="n">
        <v>475728</v>
      </c>
      <c r="E202" s="145" t="n">
        <v>0</v>
      </c>
      <c r="F202" s="145" t="n"/>
      <c r="G202" s="145" t="n"/>
      <c r="H202" s="145" t="n"/>
      <c r="I202" s="145" t="n"/>
      <c r="J202" s="145" t="n">
        <v>475728</v>
      </c>
    </row>
    <row r="203">
      <c r="B203" s="66" t="inlineStr">
        <is>
          <t>Others</t>
        </is>
      </c>
      <c r="C203" s="145" t="n">
        <v>0</v>
      </c>
      <c r="D203" s="145" t="n">
        <v>116109</v>
      </c>
      <c r="E203" s="145" t="n">
        <v>0</v>
      </c>
      <c r="F203" s="145" t="n">
        <v>0</v>
      </c>
      <c r="G203" s="145" t="n"/>
      <c r="H203" s="145" t="n"/>
      <c r="I203" s="145" t="n">
        <v>0</v>
      </c>
      <c r="J203" s="145" t="n">
        <v>116109</v>
      </c>
    </row>
    <row r="204">
      <c r="B204" s="66" t="inlineStr">
        <is>
          <t>Stores</t>
        </is>
      </c>
      <c r="C204" s="145" t="n">
        <v>0</v>
      </c>
      <c r="D204" s="145" t="n">
        <v>95887</v>
      </c>
      <c r="E204" s="145" t="n">
        <v>0</v>
      </c>
      <c r="F204" s="145" t="n">
        <v>0</v>
      </c>
      <c r="G204" s="145" t="n">
        <v>0</v>
      </c>
      <c r="H204" s="145" t="n">
        <v>0</v>
      </c>
      <c r="I204" s="145" t="n"/>
      <c r="J204" s="145" t="n">
        <v>95887</v>
      </c>
    </row>
    <row r="205">
      <c r="B205" s="66" t="inlineStr">
        <is>
          <t>Chemicals</t>
        </is>
      </c>
      <c r="C205" s="145" t="n"/>
      <c r="D205" s="145" t="n">
        <v>82399</v>
      </c>
      <c r="E205" s="145" t="n"/>
      <c r="F205" s="145" t="n"/>
      <c r="G205" s="145" t="n"/>
      <c r="H205" s="145" t="n"/>
      <c r="I205" s="145" t="n"/>
      <c r="J205" s="145" t="n">
        <v>82399</v>
      </c>
    </row>
    <row r="206">
      <c r="B206" s="66" t="inlineStr">
        <is>
          <t>Alfa Laval</t>
        </is>
      </c>
      <c r="C206" s="145" t="n"/>
      <c r="D206" s="145" t="n">
        <v>0</v>
      </c>
      <c r="E206" s="145" t="n"/>
      <c r="F206" s="145" t="n"/>
      <c r="G206" s="145" t="n"/>
      <c r="H206" s="145" t="n"/>
      <c r="I206" s="145" t="n"/>
      <c r="J206" s="145" t="n">
        <v>0</v>
      </c>
    </row>
    <row r="207">
      <c r="B207" s="66" t="inlineStr">
        <is>
          <t>CSSC Nanjing</t>
        </is>
      </c>
      <c r="C207" s="145" t="n"/>
      <c r="D207" s="145" t="n">
        <v>0</v>
      </c>
      <c r="E207" s="145" t="n"/>
      <c r="F207" s="145" t="n"/>
      <c r="G207" s="145" t="n"/>
      <c r="H207" s="145" t="n"/>
      <c r="I207" s="145" t="n"/>
      <c r="J207" s="145" t="n">
        <v>0</v>
      </c>
    </row>
    <row r="208">
      <c r="B208" s="66" t="inlineStr">
        <is>
          <t>Grand Total</t>
        </is>
      </c>
      <c r="C208" s="145" t="n">
        <v>0</v>
      </c>
      <c r="D208" s="145" t="n">
        <v>1827480</v>
      </c>
      <c r="E208" s="145" t="n">
        <v>0</v>
      </c>
      <c r="F208" s="145" t="n">
        <v>0</v>
      </c>
      <c r="G208" s="145" t="n">
        <v>0</v>
      </c>
      <c r="H208" s="145" t="n">
        <v>0</v>
      </c>
      <c r="I208" s="145" t="n">
        <v>0</v>
      </c>
      <c r="J208" s="145" t="n">
        <v>1827480</v>
      </c>
    </row>
  </sheetData>
  <mergeCells count="1">
    <mergeCell ref="B2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zoomScaleNormal="100" workbookViewId="0">
      <pane ySplit="4" topLeftCell="A5" activePane="bottomLeft" state="frozen"/>
      <selection pane="bottomLeft" activeCell="K22" sqref="K22"/>
    </sheetView>
  </sheetViews>
  <sheetFormatPr baseColWidth="8" defaultColWidth="8.5703125" defaultRowHeight="15"/>
  <cols>
    <col width="22" customWidth="1" min="1" max="1"/>
    <col width="20" customWidth="1" min="2" max="2"/>
    <col width="13" customWidth="1" min="3" max="3"/>
    <col width="14" customWidth="1" min="4" max="4"/>
    <col width="16" customWidth="1" min="5" max="5"/>
    <col width="17" customWidth="1" min="6" max="6"/>
    <col width="16" customWidth="1" min="7" max="7"/>
    <col width="12" customWidth="1" min="8" max="11"/>
  </cols>
  <sheetData>
    <row r="1" ht="42" customHeight="1">
      <c r="A1" s="127" t="inlineStr">
        <is>
          <t>🚢  Newbuild PO Summary</t>
        </is>
      </c>
    </row>
    <row r="2" hidden="1" ht="19.5" customHeight="1">
      <c r="A2" s="128" t="inlineStr">
        <is>
          <t>Vessel names and shipyards pull automatically from each vessel sheet. All counts update live.</t>
        </is>
      </c>
    </row>
    <row r="3" ht="9.75" customHeight="1"/>
    <row r="4" ht="30" customHeight="1">
      <c r="A4" s="1" t="inlineStr">
        <is>
          <t>Vessel Name</t>
        </is>
      </c>
      <c r="B4" s="1" t="inlineStr">
        <is>
          <t>Shipyard</t>
        </is>
      </c>
      <c r="C4" s="2" t="inlineStr">
        <is>
          <t>Not Created</t>
        </is>
      </c>
      <c r="D4" s="3" t="inlineStr">
        <is>
          <t>To Be Created</t>
        </is>
      </c>
      <c r="E4" s="4" t="inlineStr">
        <is>
          <t>Pending Approval</t>
        </is>
      </c>
      <c r="F4" s="5" t="inlineStr">
        <is>
          <t>Approved &amp; Issued</t>
        </is>
      </c>
      <c r="G4" s="6" t="inlineStr">
        <is>
          <t>Pending Delivery</t>
        </is>
      </c>
      <c r="H4" s="7" t="inlineStr">
        <is>
          <t>Delivered</t>
        </is>
      </c>
      <c r="I4" s="1" t="inlineStr">
        <is>
          <t>Total POs</t>
        </is>
      </c>
      <c r="J4" s="8" t="inlineStr">
        <is>
          <t>% Issued</t>
        </is>
      </c>
      <c r="K4" s="7" t="inlineStr">
        <is>
          <t>% Delivered</t>
        </is>
      </c>
    </row>
    <row r="5" ht="21.75" customHeight="1">
      <c r="A5" s="9">
        <f>'Glovis Lighthouse'!C2</f>
        <v/>
      </c>
      <c r="B5" s="10">
        <f>'Glovis Lighthouse'!C3</f>
        <v/>
      </c>
      <c r="C5" s="11">
        <f>COUNTIF('Glovis Lighthouse'!E35:E140,"Not Created")</f>
        <v/>
      </c>
      <c r="D5" s="11">
        <f>COUNTIF('Glovis Lighthouse'!E35:E73,"To Be Created")</f>
        <v/>
      </c>
      <c r="E5" s="11">
        <f>COUNTIF('Glovis Lighthouse'!E35:E73,"Pending Approval")</f>
        <v/>
      </c>
      <c r="F5" s="11">
        <f>COUNTIF('Glovis Lighthouse'!E35:E73,"Approved &amp; Issued")</f>
        <v/>
      </c>
      <c r="G5" s="11">
        <f>COUNTIF('Glovis Lighthouse'!E35:E73,"Pending Delivery")</f>
        <v/>
      </c>
      <c r="H5" s="11">
        <f>COUNTIF('Glovis Lighthouse'!E35:E73,"Delivered")</f>
        <v/>
      </c>
      <c r="I5" s="12">
        <f>COUNTA('Glovis Lighthouse'!B35:B73)</f>
        <v/>
      </c>
      <c r="J5" s="13">
        <f>IF(I5&gt;0,(F5+G5)/I5,0)</f>
        <v/>
      </c>
      <c r="K5" s="13">
        <f>IF(I5&gt;0,H5/I5,0)</f>
        <v/>
      </c>
    </row>
    <row r="6" ht="21.75" customHeight="1">
      <c r="A6" s="14">
        <f>'Glovis Link'!C2</f>
        <v/>
      </c>
      <c r="B6" s="15">
        <f>'Glovis Link'!C3</f>
        <v/>
      </c>
      <c r="C6" s="16">
        <f>COUNTIF('Glovis Link'!E11:E151,"Not Created")</f>
        <v/>
      </c>
      <c r="D6" s="16">
        <f>COUNTIF('Glovis Link'!E11:E113,"To Be Created")</f>
        <v/>
      </c>
      <c r="E6" s="16">
        <f>COUNTIF('Glovis Link'!E11:E113,"Pending Approval")</f>
        <v/>
      </c>
      <c r="F6" s="16">
        <f>COUNTIF('Glovis Link'!E11:E113,"Approved &amp; Issued")</f>
        <v/>
      </c>
      <c r="G6" s="16">
        <f>COUNTIF('Glovis Link'!E11:E113,"Pending Delivery")</f>
        <v/>
      </c>
      <c r="H6" s="16">
        <f>COUNTIF('Glovis Link'!E11:E113,"Delivered")</f>
        <v/>
      </c>
      <c r="I6" s="17">
        <f>COUNTA('Glovis Link'!B11:B113)</f>
        <v/>
      </c>
      <c r="J6" s="18">
        <f>IF(I6&gt;0,(F6+G6)/I6,0)</f>
        <v/>
      </c>
      <c r="K6" s="18">
        <f>IF(I6&gt;0,H6/I6,0)</f>
        <v/>
      </c>
    </row>
    <row r="7" ht="21.75" customHeight="1">
      <c r="A7" s="9">
        <f>'Glovis Logos'!C2</f>
        <v/>
      </c>
      <c r="B7" s="10">
        <f>'Glovis Logos'!C3</f>
        <v/>
      </c>
      <c r="C7" s="11">
        <f>COUNTIF('Glovis Logos'!E11:E151,"Not Created")</f>
        <v/>
      </c>
      <c r="D7" s="11">
        <f>COUNTIF('Glovis Logos'!E11:E113,"To Be Created")</f>
        <v/>
      </c>
      <c r="E7" s="11">
        <f>COUNTIF('Glovis Logos'!E11:E113,"Pending Approval")</f>
        <v/>
      </c>
      <c r="F7" s="11">
        <f>COUNTIF('Glovis Logos'!E11:E113,"Approved &amp; Issued")</f>
        <v/>
      </c>
      <c r="G7" s="11">
        <f>COUNTIF('Glovis Logos'!E11:E113,"Pending Delivery")</f>
        <v/>
      </c>
      <c r="H7" s="11">
        <f>COUNTIF('Glovis Logos'!E11:E113,"Delivered")</f>
        <v/>
      </c>
      <c r="I7" s="12">
        <f>COUNTA('Glovis Logos'!B11:B113)</f>
        <v/>
      </c>
      <c r="J7" s="13">
        <f>IF(I7&gt;0,(F7+G7)/I7,0)</f>
        <v/>
      </c>
      <c r="K7" s="13">
        <f>IF(I7&gt;0,H7/I7,0)</f>
        <v/>
      </c>
    </row>
    <row r="8" ht="21.75" customHeight="1">
      <c r="A8" s="14">
        <f>'Glovis Loyal'!C2</f>
        <v/>
      </c>
      <c r="B8" s="15">
        <f>'Glovis Loyal'!C3</f>
        <v/>
      </c>
      <c r="C8" s="16">
        <f>COUNTIF('Glovis Loyal'!E11:E151,"Not Created")</f>
        <v/>
      </c>
      <c r="D8" s="16">
        <f>COUNTIF('Glovis Loyal'!E11:E111,"To Be Created")</f>
        <v/>
      </c>
      <c r="E8" s="16">
        <f>COUNTIF('Glovis Loyal'!E11:E111,"Pending Approval")</f>
        <v/>
      </c>
      <c r="F8" s="16">
        <f>COUNTIF('Glovis Loyal'!E11:E111,"Approved &amp; Issued")</f>
        <v/>
      </c>
      <c r="G8" s="16">
        <f>COUNTIF('Glovis Loyal'!E11:E111,"Pending Delivery")</f>
        <v/>
      </c>
      <c r="H8" s="16">
        <f>COUNTIF('Glovis Loyal'!E11:E111,"Delivered")</f>
        <v/>
      </c>
      <c r="I8" s="17">
        <f>COUNTA('Glovis Loyal'!B11:B111)</f>
        <v/>
      </c>
      <c r="J8" s="18">
        <f>IF(I8&gt;0,(F8+G8)/I8,0)</f>
        <v/>
      </c>
      <c r="K8" s="18">
        <f>IF(I8&gt;0,H8/I8,0)</f>
        <v/>
      </c>
    </row>
    <row r="9" ht="21.75" customHeight="1">
      <c r="A9" s="9">
        <f>'Glovis Lander'!C2</f>
        <v/>
      </c>
      <c r="B9" s="10">
        <f>'Glovis Lander'!C3</f>
        <v/>
      </c>
      <c r="C9" s="11">
        <f>COUNTIF('Glovis Lander'!F11:F150,"Not Created")</f>
        <v/>
      </c>
      <c r="D9" s="11">
        <f>COUNTIF('Glovis Lander'!F11:F110,"To Be Created")</f>
        <v/>
      </c>
      <c r="E9" s="11">
        <f>COUNTIF('Glovis Lander'!F11:F110,"Pending Approval")</f>
        <v/>
      </c>
      <c r="F9" s="11">
        <f>COUNTIF('Glovis Lander'!F11:F110,"Approved &amp; Issued")</f>
        <v/>
      </c>
      <c r="G9" s="11">
        <f>COUNTIF('Glovis Lander'!F11:F110,"Pending Delivery")</f>
        <v/>
      </c>
      <c r="H9" s="11">
        <f>COUNTIF('Glovis Lander'!F11:F110,"Delivered")</f>
        <v/>
      </c>
      <c r="I9" s="12">
        <f>COUNTA('Glovis Lander'!B11:B110)</f>
        <v/>
      </c>
      <c r="J9" s="13">
        <f>IF(I9&gt;0,(F9+G9)/I9,0)</f>
        <v/>
      </c>
      <c r="K9" s="13">
        <f>IF(I9&gt;0,H9/I9,0)</f>
        <v/>
      </c>
    </row>
    <row r="10" ht="21.75" customHeight="1">
      <c r="A10" s="14">
        <f>'Glovis Luminous'!C2</f>
        <v/>
      </c>
      <c r="B10" s="15">
        <f>'Glovis Luminous'!C3</f>
        <v/>
      </c>
      <c r="C10" s="16">
        <f>COUNTIF('Glovis Luminous'!E11:E150,"Not Created")</f>
        <v/>
      </c>
      <c r="D10" s="16">
        <f>COUNTIF('Glovis Luminous'!E11:E110,"To Be Created")</f>
        <v/>
      </c>
      <c r="E10" s="16">
        <f>COUNTIF('Glovis Luminous'!E11:E110,"Pending Approval")</f>
        <v/>
      </c>
      <c r="F10" s="16">
        <f>COUNTIF('Glovis Luminous'!E11:E110,"Approved &amp; Issued")</f>
        <v/>
      </c>
      <c r="G10" s="16">
        <f>COUNTIF('Glovis Luminous'!E11:E110,"Pending Delivery")</f>
        <v/>
      </c>
      <c r="H10" s="16">
        <f>COUNTIF('Glovis Luminous'!E11:E110,"Delivered")</f>
        <v/>
      </c>
      <c r="I10" s="17">
        <f>COUNTA('Glovis Luminous'!B11:B110)</f>
        <v/>
      </c>
      <c r="J10" s="18">
        <f>IF(I10&gt;0,(F10+G10)/I10,0)</f>
        <v/>
      </c>
      <c r="K10" s="18">
        <f>IF(I10&gt;0,H10/I10,0)</f>
        <v/>
      </c>
    </row>
    <row r="11" ht="21.75" customHeight="1">
      <c r="A11" s="9">
        <f>'Vessel 7'!C2</f>
        <v/>
      </c>
      <c r="B11" s="10">
        <f>'Vessel 7'!C3</f>
        <v/>
      </c>
      <c r="C11" s="11">
        <f>COUNTIF('Vessel 7'!E11:E150,"Not Created")</f>
        <v/>
      </c>
      <c r="D11" s="11">
        <f>COUNTIF('Vessel 7'!E11:E110,"To Be Created")</f>
        <v/>
      </c>
      <c r="E11" s="11">
        <f>COUNTIF('Vessel 7'!E11:E110,"Pending Approval")</f>
        <v/>
      </c>
      <c r="F11" s="11">
        <f>COUNTIF('Vessel 7'!E11:E110,"Approved &amp; Issued")</f>
        <v/>
      </c>
      <c r="G11" s="11">
        <f>COUNTIF('Vessel 7'!E11:E110,"Pending Delivery")</f>
        <v/>
      </c>
      <c r="H11" s="11">
        <f>COUNTIF('Vessel 7'!E11:E110,"Delivered")</f>
        <v/>
      </c>
      <c r="I11" s="12">
        <f>COUNTA('Vessel 7'!B11:B110)</f>
        <v/>
      </c>
      <c r="J11" s="13">
        <f>IF(I11&gt;0,(F11+G11)/I11,0)</f>
        <v/>
      </c>
      <c r="K11" s="13">
        <f>IF(I11&gt;0,H11/I11,0)</f>
        <v/>
      </c>
    </row>
    <row r="12" ht="21.75" customHeight="1">
      <c r="A12" s="14">
        <f>'Vessel 8'!C2</f>
        <v/>
      </c>
      <c r="B12" s="15">
        <f>'Vessel 8'!C3</f>
        <v/>
      </c>
      <c r="C12" s="16">
        <f>COUNTIF('Vessel 8'!E11:E150,"Not Created")</f>
        <v/>
      </c>
      <c r="D12" s="16">
        <f>COUNTIF('Vessel 8'!E11:E110,"To Be Created")</f>
        <v/>
      </c>
      <c r="E12" s="16">
        <f>COUNTIF('Vessel 8'!E11:E110,"Pending Approval")</f>
        <v/>
      </c>
      <c r="F12" s="16">
        <f>COUNTIF('Vessel 8'!E11:E110,"Approved &amp; Issued")</f>
        <v/>
      </c>
      <c r="G12" s="16">
        <f>COUNTIF('Vessel 8'!E11:E110,"Pending Delivery")</f>
        <v/>
      </c>
      <c r="H12" s="16">
        <f>COUNTIF('Vessel 8'!E11:E110,"Delivered")</f>
        <v/>
      </c>
      <c r="I12" s="17">
        <f>COUNTA('Vessel 8'!B11:B110)</f>
        <v/>
      </c>
      <c r="J12" s="18">
        <f>IF(I12&gt;0,(F12+G12)/I12,0)</f>
        <v/>
      </c>
      <c r="K12" s="18">
        <f>IF(I12&gt;0,H12/I12,0)</f>
        <v/>
      </c>
    </row>
    <row r="13" ht="25.5" customHeight="1">
      <c r="A13" s="19" t="inlineStr">
        <is>
          <t>FLEET TOTAL</t>
        </is>
      </c>
      <c r="B13" s="20" t="n"/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1">
        <f>IF(I13&gt;0,(F13+G13)/I13,0)</f>
        <v/>
      </c>
      <c r="K13" s="21">
        <f>IF(I13&gt;0,H13/I13,0)</f>
        <v/>
      </c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P139"/>
  <sheetViews>
    <sheetView showGridLines="0" zoomScale="89" zoomScaleNormal="89" workbookViewId="0">
      <pane ySplit="10" topLeftCell="A12" activePane="bottomLeft" state="frozen"/>
      <selection pane="bottomLeft" activeCell="C12" sqref="C12"/>
    </sheetView>
  </sheetViews>
  <sheetFormatPr baseColWidth="8" defaultColWidth="8.5703125" defaultRowHeight="15"/>
  <cols>
    <col width="5" customWidth="1" min="1" max="1"/>
    <col width="19.85546875" customWidth="1" min="2" max="2"/>
    <col width="28" customWidth="1" min="3" max="5"/>
    <col width="16" customWidth="1" min="6" max="6"/>
    <col width="20" customWidth="1" min="7" max="8"/>
    <col width="16" customWidth="1" min="9" max="9"/>
    <col width="58.5703125" bestFit="1" customWidth="1" min="10" max="10"/>
    <col width="42" customWidth="1" min="11" max="11"/>
    <col width="4" customWidth="1" min="12" max="13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Lander</t>
        </is>
      </c>
      <c r="D2" s="147" t="n"/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GSI: Guangzhou United International Shipping Agency Co., Ltd</t>
        </is>
      </c>
      <c r="D3" s="147" t="n"/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>
        <v>46212</v>
      </c>
      <c r="D4" s="53" t="n"/>
      <c r="E4" s="132" t="inlineStr">
        <is>
          <t>← Enter date as: 01-Jun-2025</t>
        </is>
      </c>
    </row>
    <row r="5" ht="34.5" customHeight="1">
      <c r="E5" s="94" t="inlineStr">
        <is>
          <t>PO Number</t>
        </is>
      </c>
      <c r="F5" s="94" t="inlineStr">
        <is>
          <t>PO Name</t>
        </is>
      </c>
      <c r="G5" s="94" t="inlineStr">
        <is>
          <t>Category</t>
        </is>
      </c>
      <c r="H5" s="94" t="inlineStr">
        <is>
          <t>Status</t>
        </is>
      </c>
      <c r="I5" s="94" t="inlineStr">
        <is>
          <t>PO Issue Date</t>
        </is>
      </c>
      <c r="J5" s="94" t="inlineStr">
        <is>
          <t>Req. Delivery Date</t>
        </is>
      </c>
      <c r="K5" s="94" t="inlineStr">
        <is>
          <t>Reason / Remarks</t>
        </is>
      </c>
      <c r="L5" s="94" t="inlineStr">
        <is>
          <t>Responsible</t>
        </is>
      </c>
      <c r="M5" s="94" t="inlineStr">
        <is>
          <t>Supplier Name</t>
        </is>
      </c>
      <c r="N5" s="94" t="inlineStr">
        <is>
          <t>Po Currency</t>
        </is>
      </c>
      <c r="O5" s="94" t="inlineStr">
        <is>
          <t>Po Value</t>
        </is>
      </c>
      <c r="P5" s="94" t="inlineStr">
        <is>
          <t>Contract Status</t>
        </is>
      </c>
    </row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5" t="n"/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28" t="n"/>
      <c r="I6" s="1" t="inlineStr">
        <is>
          <t>Total POs</t>
        </is>
      </c>
      <c r="J6" s="8" t="inlineStr">
        <is>
          <t>% Issued</t>
        </is>
      </c>
      <c r="K6" s="7" t="inlineStr">
        <is>
          <t>% Delivered</t>
        </is>
      </c>
    </row>
    <row r="7" ht="21.75" customHeight="1">
      <c r="A7" s="29">
        <f>COUNTIF(F11:F110,"Not Created")</f>
        <v/>
      </c>
      <c r="B7" s="29">
        <f>COUNTIF(F11:F110,"To Be Created")</f>
        <v/>
      </c>
      <c r="C7" s="29">
        <f>COUNTIF(F11:F110,"Pending Approval")</f>
        <v/>
      </c>
      <c r="D7" s="29" t="n"/>
      <c r="E7" s="29">
        <f>COUNTIF(F11:F110,"Approved &amp; Issued")</f>
        <v/>
      </c>
      <c r="F7" s="29">
        <f>COUNTIF(F11:F110,"Pending Delivery")</f>
        <v/>
      </c>
      <c r="G7" s="29">
        <f>COUNTIF(F11:F110,"Delivered")</f>
        <v/>
      </c>
      <c r="H7" s="29" t="n"/>
      <c r="I7" s="29">
        <f>COUNTA(B11:B110)</f>
        <v/>
      </c>
      <c r="J7" s="30">
        <f>IF(I7&gt;0,(E7+F7)/I7,0)</f>
        <v/>
      </c>
      <c r="K7" s="30">
        <f>IF(I7&gt;0,G7/I7,0)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  <c r="J9" s="147" t="n"/>
      <c r="K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n"/>
      <c r="I10" s="1" t="inlineStr">
        <is>
          <t>Req. Delivery Date</t>
        </is>
      </c>
      <c r="J10" s="1" t="inlineStr">
        <is>
          <t>Reason / Remarks</t>
        </is>
      </c>
    </row>
    <row r="11" hidden="1" ht="18" customHeight="1">
      <c r="A11" s="46" t="n">
        <v>1</v>
      </c>
      <c r="B11" s="47" t="inlineStr">
        <is>
          <t>GLAN-60031/26-1</t>
        </is>
      </c>
      <c r="C11" s="47" t="inlineStr">
        <is>
          <t>Reliabiltiy Spares - Gas Detection System</t>
        </is>
      </c>
      <c r="D11" s="47" t="inlineStr">
        <is>
          <t>Gas Detection System</t>
        </is>
      </c>
      <c r="E11" s="48" t="inlineStr">
        <is>
          <t>Spares</t>
        </is>
      </c>
      <c r="F11" s="48" t="inlineStr">
        <is>
          <t>Pending Delivery</t>
        </is>
      </c>
      <c r="G11" s="49" t="inlineStr">
        <is>
          <t>06-03-2026</t>
        </is>
      </c>
      <c r="H11" s="49" t="n"/>
      <c r="I11" s="49" t="n"/>
      <c r="J11" s="47" t="inlineStr">
        <is>
          <t>To advise Shipping Address</t>
        </is>
      </c>
    </row>
    <row r="12" ht="18" customHeight="1">
      <c r="A12" s="46" t="n">
        <v>2</v>
      </c>
      <c r="B12" s="50" t="inlineStr">
        <is>
          <t>GLAN-60024/26-1</t>
        </is>
      </c>
      <c r="C12" s="50" t="inlineStr">
        <is>
          <t>FS-ITBP MISC LAB KIT</t>
        </is>
      </c>
      <c r="D12" s="50" t="inlineStr">
        <is>
          <t>IT Equipment - ITBP Lab Kit</t>
        </is>
      </c>
      <c r="E12" s="51" t="inlineStr">
        <is>
          <t>Others</t>
        </is>
      </c>
      <c r="F12" s="51" t="inlineStr">
        <is>
          <t>Pending Delivery</t>
        </is>
      </c>
      <c r="G12" s="52" t="inlineStr">
        <is>
          <t>24-02-2026</t>
        </is>
      </c>
      <c r="H12" s="52" t="n"/>
      <c r="I12" s="52" t="n"/>
      <c r="J12" s="50" t="inlineStr">
        <is>
          <t>IT Po</t>
        </is>
      </c>
    </row>
    <row r="13" ht="18" customHeight="1">
      <c r="A13" s="46" t="n">
        <v>3</v>
      </c>
      <c r="B13" s="47" t="inlineStr">
        <is>
          <t>GLAN-60004/26-1</t>
        </is>
      </c>
      <c r="C13" s="47" t="inlineStr">
        <is>
          <t>FS-VLINK-2411005</t>
        </is>
      </c>
      <c r="D13" s="47" t="inlineStr">
        <is>
          <t>Communications - VLINK</t>
        </is>
      </c>
      <c r="E13" s="48" t="inlineStr">
        <is>
          <t>Others</t>
        </is>
      </c>
      <c r="F13" s="48" t="inlineStr">
        <is>
          <t>Pending Delivery</t>
        </is>
      </c>
      <c r="G13" s="49" t="inlineStr">
        <is>
          <t>19-01-2026</t>
        </is>
      </c>
      <c r="H13" s="49" t="n"/>
      <c r="I13" s="49" t="n"/>
      <c r="J13" s="47" t="inlineStr">
        <is>
          <t>IT Po</t>
        </is>
      </c>
    </row>
    <row r="14" hidden="1" ht="18" customHeight="1">
      <c r="A14" s="46" t="n">
        <v>4</v>
      </c>
      <c r="B14" s="50" t="inlineStr">
        <is>
          <t>GLAN-60022/26-1</t>
        </is>
      </c>
      <c r="C14" s="50" t="inlineStr">
        <is>
          <t>Shipyard Extra Buyer Supply - Hinas SVM SEASPAN 10.8K PCTC</t>
        </is>
      </c>
      <c r="D14" s="50" t="inlineStr">
        <is>
          <t>Navigation - HiNAS SVM</t>
        </is>
      </c>
      <c r="E14" s="51" t="inlineStr">
        <is>
          <t>Spares</t>
        </is>
      </c>
      <c r="F14" s="51" t="inlineStr">
        <is>
          <t>Pending Delivery</t>
        </is>
      </c>
      <c r="G14" s="52" t="inlineStr">
        <is>
          <t>17-02-2026</t>
        </is>
      </c>
      <c r="H14" s="52" t="n"/>
      <c r="I14" s="52" t="n"/>
      <c r="J14" s="50" t="inlineStr">
        <is>
          <t>Status Awaited from Hinas</t>
        </is>
      </c>
    </row>
    <row r="15" hidden="1" ht="18" customHeight="1">
      <c r="A15" s="46" t="n">
        <v>5</v>
      </c>
      <c r="B15" s="47" t="inlineStr">
        <is>
          <t>GLAN-60017/26-1</t>
        </is>
      </c>
      <c r="C15" s="47" t="inlineStr">
        <is>
          <t>Pre Delivery - Garbage Compactor</t>
        </is>
      </c>
      <c r="D15" s="47" t="inlineStr">
        <is>
          <t>Garbage Compactor</t>
        </is>
      </c>
      <c r="E15" s="48" t="inlineStr">
        <is>
          <t>Spares</t>
        </is>
      </c>
      <c r="F15" s="48" t="inlineStr">
        <is>
          <t>Delivered</t>
        </is>
      </c>
      <c r="G15" s="49" t="inlineStr">
        <is>
          <t>06-02-2026</t>
        </is>
      </c>
      <c r="H15" s="49" t="n"/>
      <c r="I15" s="49" t="n"/>
      <c r="J15" s="47" t="inlineStr">
        <is>
          <t>As per POD from V-Link</t>
        </is>
      </c>
    </row>
    <row r="16" ht="18" customHeight="1">
      <c r="A16" s="46" t="n">
        <v>6</v>
      </c>
      <c r="B16" s="50" t="inlineStr">
        <is>
          <t>GLAN-60007/26-1</t>
        </is>
      </c>
      <c r="C16" s="50" t="inlineStr">
        <is>
          <t>FS-X10-LANDER</t>
        </is>
      </c>
      <c r="D16" s="50" t="inlineStr">
        <is>
          <t>IT Equipment - X10 System</t>
        </is>
      </c>
      <c r="E16" s="51" t="inlineStr">
        <is>
          <t>Others</t>
        </is>
      </c>
      <c r="F16" s="51" t="inlineStr">
        <is>
          <t>Pending Delivery</t>
        </is>
      </c>
      <c r="G16" s="52" t="inlineStr">
        <is>
          <t>21-01-2026</t>
        </is>
      </c>
      <c r="H16" s="52" t="n"/>
      <c r="I16" s="52" t="n"/>
      <c r="J16" s="50" t="inlineStr">
        <is>
          <t>IT Po</t>
        </is>
      </c>
    </row>
    <row r="17" ht="18" customHeight="1">
      <c r="A17" s="46" t="n">
        <v>7</v>
      </c>
      <c r="B17" s="47" t="inlineStr">
        <is>
          <t>GLAN-60002/26-1</t>
        </is>
      </c>
      <c r="C17" s="47" t="inlineStr">
        <is>
          <t>Interface PO -24110005</t>
        </is>
      </c>
      <c r="D17" s="47" t="inlineStr">
        <is>
          <t>IT Equipment - Interface / Integration</t>
        </is>
      </c>
      <c r="E17" s="48" t="inlineStr">
        <is>
          <t>Others</t>
        </is>
      </c>
      <c r="F17" s="48" t="inlineStr">
        <is>
          <t>Pending Delivery</t>
        </is>
      </c>
      <c r="G17" s="49" t="inlineStr">
        <is>
          <t>14-01-2026</t>
        </is>
      </c>
      <c r="H17" s="49" t="n"/>
      <c r="I17" s="49" t="n"/>
      <c r="J17" s="47" t="inlineStr">
        <is>
          <t>IT Po</t>
        </is>
      </c>
    </row>
    <row r="18" ht="18" customHeight="1">
      <c r="A18" s="46" t="n">
        <v>8</v>
      </c>
      <c r="B18" s="50" t="inlineStr">
        <is>
          <t>GLAN-60012/26-1</t>
        </is>
      </c>
      <c r="C18" s="50" t="inlineStr">
        <is>
          <t>Predelivery - Additional Grades</t>
        </is>
      </c>
      <c r="D18" s="50" t="inlineStr">
        <is>
          <t>Lubricants</t>
        </is>
      </c>
      <c r="E18" s="51" t="inlineStr">
        <is>
          <t>Lube Oil</t>
        </is>
      </c>
      <c r="F18" s="51" t="inlineStr">
        <is>
          <t>Pending Delivery</t>
        </is>
      </c>
      <c r="G18" s="52" t="inlineStr">
        <is>
          <t>23-01-2026</t>
        </is>
      </c>
      <c r="H18" s="52" t="n"/>
      <c r="I18" s="52" t="n"/>
      <c r="J18" s="50" t="inlineStr">
        <is>
          <t>As per Delivery date Total Delivery date is pending</t>
        </is>
      </c>
    </row>
    <row r="19" ht="18" customHeight="1">
      <c r="A19" s="46" t="n">
        <v>9</v>
      </c>
      <c r="B19" s="47" t="inlineStr">
        <is>
          <t>GLAN-60026/26-1</t>
        </is>
      </c>
      <c r="C19" s="47" t="inlineStr">
        <is>
          <t>Predelivery Lubes - Order # 2 (5713853485)</t>
        </is>
      </c>
      <c r="D19" s="47" t="inlineStr">
        <is>
          <t>Lubricants</t>
        </is>
      </c>
      <c r="E19" s="48" t="inlineStr">
        <is>
          <t>Lube Oil</t>
        </is>
      </c>
      <c r="F19" s="48" t="inlineStr">
        <is>
          <t>Delivered</t>
        </is>
      </c>
      <c r="G19" s="49" t="inlineStr">
        <is>
          <t>02-03-2026</t>
        </is>
      </c>
      <c r="H19" s="49" t="n"/>
      <c r="I19" s="49" t="n"/>
      <c r="J19" s="47" t="inlineStr">
        <is>
          <t>As per Email</t>
        </is>
      </c>
    </row>
    <row r="20" hidden="1" ht="18" customHeight="1">
      <c r="A20" s="46" t="n">
        <v>10</v>
      </c>
      <c r="B20" s="50" t="inlineStr">
        <is>
          <t>GLAN-60032/26-1</t>
        </is>
      </c>
      <c r="C20" s="50" t="inlineStr">
        <is>
          <t>Reliability Spares - Fire detection system</t>
        </is>
      </c>
      <c r="D20" s="50" t="inlineStr">
        <is>
          <t>Fire Detection System</t>
        </is>
      </c>
      <c r="E20" s="51" t="inlineStr">
        <is>
          <t>Spares</t>
        </is>
      </c>
      <c r="F20" s="51" t="inlineStr">
        <is>
          <t>Pending Delivery</t>
        </is>
      </c>
      <c r="G20" s="52" t="inlineStr">
        <is>
          <t>06-03-2026</t>
        </is>
      </c>
      <c r="H20" s="52" t="n"/>
      <c r="I20" s="52" t="n"/>
      <c r="J20" s="50" t="inlineStr">
        <is>
          <t>To advise Shipping Address</t>
        </is>
      </c>
    </row>
    <row r="21" ht="18" customHeight="1">
      <c r="A21" s="46" t="n">
        <v>11</v>
      </c>
      <c r="B21" s="47" t="inlineStr">
        <is>
          <t>GLAN-60023/26-1</t>
        </is>
      </c>
      <c r="C21" s="47" t="inlineStr">
        <is>
          <t>FS-ITBP Additional Item</t>
        </is>
      </c>
      <c r="D21" s="47" t="inlineStr">
        <is>
          <t>IT Equipment - ITBP Additional Items</t>
        </is>
      </c>
      <c r="E21" s="48" t="inlineStr">
        <is>
          <t>Others</t>
        </is>
      </c>
      <c r="F21" s="48" t="inlineStr">
        <is>
          <t>Pending Delivery</t>
        </is>
      </c>
      <c r="G21" s="49" t="inlineStr">
        <is>
          <t>19-02-2026</t>
        </is>
      </c>
      <c r="H21" s="49" t="n"/>
      <c r="I21" s="49" t="n"/>
      <c r="J21" s="47" t="inlineStr">
        <is>
          <t>IT Po</t>
        </is>
      </c>
    </row>
    <row r="22" hidden="1" ht="18" customHeight="1">
      <c r="A22" s="46" t="n">
        <v>12</v>
      </c>
      <c r="B22" s="50" t="inlineStr">
        <is>
          <t>GLAN-60033/26-1</t>
        </is>
      </c>
      <c r="C22" s="50" t="inlineStr">
        <is>
          <t>Pre Delivery - LNG Bunkering Equipment</t>
        </is>
      </c>
      <c r="D22" s="50" t="inlineStr">
        <is>
          <t>LNG Bunkering Equipment</t>
        </is>
      </c>
      <c r="E22" s="51" t="inlineStr">
        <is>
          <t>Spares</t>
        </is>
      </c>
      <c r="F22" s="51" t="inlineStr">
        <is>
          <t>Pending Delivery</t>
        </is>
      </c>
      <c r="G22" s="52" t="n">
        <v>46100</v>
      </c>
      <c r="H22" s="52" t="n"/>
      <c r="I22" s="52" t="n"/>
      <c r="J22" s="50" t="inlineStr">
        <is>
          <t>Po Issued on Trelleborg</t>
        </is>
      </c>
    </row>
    <row r="23" hidden="1" ht="18" customHeight="1">
      <c r="A23" s="46" t="n">
        <v>13</v>
      </c>
      <c r="B23" s="47" t="inlineStr">
        <is>
          <t>GLAN-60001/26-1</t>
        </is>
      </c>
      <c r="C23" s="47" t="inlineStr">
        <is>
          <t>Shipyard Extra Owner supply - Captains Eye</t>
        </is>
      </c>
      <c r="D23" s="47" t="inlineStr">
        <is>
          <t>Navigation - Captains Eye</t>
        </is>
      </c>
      <c r="E23" s="48" t="inlineStr">
        <is>
          <t>Spares</t>
        </is>
      </c>
      <c r="F23" s="48" t="inlineStr">
        <is>
          <t>Pending Delivery</t>
        </is>
      </c>
      <c r="G23" s="49" t="inlineStr">
        <is>
          <t>15-01-2026</t>
        </is>
      </c>
      <c r="H23" s="49" t="n"/>
      <c r="I23" s="49" t="n"/>
      <c r="J23" s="47" t="inlineStr">
        <is>
          <t>Awaiting status from Captain Eye</t>
        </is>
      </c>
    </row>
    <row r="24" ht="18" customHeight="1">
      <c r="A24" s="46" t="n">
        <v>14</v>
      </c>
      <c r="B24" s="50" t="inlineStr">
        <is>
          <t>GLAN-60010/26-1</t>
        </is>
      </c>
      <c r="C24" s="50" t="inlineStr">
        <is>
          <t>FS-SIHUI-lander</t>
        </is>
      </c>
      <c r="D24" s="50" t="inlineStr">
        <is>
          <t>IT Equipment - Sihui Marine</t>
        </is>
      </c>
      <c r="E24" s="51" t="inlineStr">
        <is>
          <t>Others</t>
        </is>
      </c>
      <c r="F24" s="51" t="inlineStr">
        <is>
          <t>Pending Delivery</t>
        </is>
      </c>
      <c r="G24" s="52" t="inlineStr">
        <is>
          <t>26-01-2026</t>
        </is>
      </c>
      <c r="H24" s="52" t="n"/>
      <c r="I24" s="52" t="n"/>
      <c r="J24" s="50" t="inlineStr">
        <is>
          <t>IT Po</t>
        </is>
      </c>
    </row>
    <row r="25" ht="18" customHeight="1">
      <c r="A25" s="46" t="n">
        <v>15</v>
      </c>
      <c r="B25" s="47" t="inlineStr">
        <is>
          <t>GLAN-60025/26-1</t>
        </is>
      </c>
      <c r="C25" s="47" t="inlineStr">
        <is>
          <t>Pre Delivery - Lubes Order# 3 (5715069528)</t>
        </is>
      </c>
      <c r="D25" s="47" t="inlineStr">
        <is>
          <t>Lubricants</t>
        </is>
      </c>
      <c r="E25" s="48" t="inlineStr">
        <is>
          <t>Lube Oil</t>
        </is>
      </c>
      <c r="F25" s="48" t="inlineStr">
        <is>
          <t>Delivered</t>
        </is>
      </c>
      <c r="G25" s="49" t="inlineStr">
        <is>
          <t>02-03-2026</t>
        </is>
      </c>
      <c r="H25" s="49" t="n"/>
      <c r="I25" s="49" t="n"/>
      <c r="J25" s="47" t="inlineStr">
        <is>
          <t>As per Delivery Date on the Quotes</t>
        </is>
      </c>
    </row>
    <row r="26" hidden="1" ht="18" customHeight="1">
      <c r="A26" s="46" t="n">
        <v>16</v>
      </c>
      <c r="B26" s="50" t="inlineStr">
        <is>
          <t>GLAN-60019/26-1</t>
        </is>
      </c>
      <c r="C26" s="50" t="inlineStr">
        <is>
          <t>Pre Delivery - Spray Pipes</t>
        </is>
      </c>
      <c r="D26" s="50" t="inlineStr">
        <is>
          <t>Tripods &amp; Spray Pipes</t>
        </is>
      </c>
      <c r="E26" s="51" t="inlineStr">
        <is>
          <t>Spares</t>
        </is>
      </c>
      <c r="F26" s="51" t="inlineStr">
        <is>
          <t>Delivered</t>
        </is>
      </c>
      <c r="G26" s="52" t="inlineStr">
        <is>
          <t>06-02-2026</t>
        </is>
      </c>
      <c r="H26" s="52" t="n"/>
      <c r="I26" s="52" t="n"/>
      <c r="J26" s="50" t="inlineStr">
        <is>
          <t>As per POD from V-Link</t>
        </is>
      </c>
    </row>
    <row r="27" ht="18" customHeight="1">
      <c r="A27" s="46" t="n">
        <v>17</v>
      </c>
      <c r="B27" s="47" t="inlineStr">
        <is>
          <t>GLAN-60003/26-1</t>
        </is>
      </c>
      <c r="C27" s="47" t="inlineStr">
        <is>
          <t>Pre Delivery - Additional Grade Copco Roto-XtendDuty</t>
        </is>
      </c>
      <c r="D27" s="47" t="inlineStr">
        <is>
          <t>Lubricants</t>
        </is>
      </c>
      <c r="E27" s="48" t="inlineStr">
        <is>
          <t>Lube Oil</t>
        </is>
      </c>
      <c r="F27" s="48" t="inlineStr">
        <is>
          <t>Delivered</t>
        </is>
      </c>
      <c r="G27" s="49" t="inlineStr">
        <is>
          <t>15-01-2026</t>
        </is>
      </c>
      <c r="H27" s="49" t="n"/>
      <c r="I27" s="49" t="n"/>
      <c r="J27" s="47" t="inlineStr">
        <is>
          <t>As per POD from V-Link</t>
        </is>
      </c>
    </row>
    <row r="28" ht="18" customHeight="1">
      <c r="A28" s="46" t="n">
        <v>18</v>
      </c>
      <c r="B28" s="50" t="inlineStr">
        <is>
          <t>GLAN-60011/26-1</t>
        </is>
      </c>
      <c r="C28" s="50" t="inlineStr">
        <is>
          <t>Pre Delivery - Spray Pipes</t>
        </is>
      </c>
      <c r="D28" s="50" t="inlineStr">
        <is>
          <t>Tripods &amp; Spray Pipes</t>
        </is>
      </c>
      <c r="E28" s="51" t="inlineStr">
        <is>
          <t>Lube Oil</t>
        </is>
      </c>
      <c r="F28" s="51" t="inlineStr">
        <is>
          <t>Delivered</t>
        </is>
      </c>
      <c r="G28" s="52" t="inlineStr">
        <is>
          <t>01-02-2026</t>
        </is>
      </c>
      <c r="H28" s="52" t="n"/>
      <c r="I28" s="52" t="n"/>
      <c r="J28" s="50" t="inlineStr">
        <is>
          <t>As per POD from V-Link</t>
        </is>
      </c>
    </row>
    <row r="29" ht="18" customHeight="1">
      <c r="A29" s="46" t="n">
        <v>19</v>
      </c>
      <c r="B29" s="47" t="inlineStr">
        <is>
          <t>GLAN-60020/26-1</t>
        </is>
      </c>
      <c r="C29" s="47" t="inlineStr">
        <is>
          <t>FS-LENOVO-Lander</t>
        </is>
      </c>
      <c r="D29" s="47" t="inlineStr">
        <is>
          <t>IT Equipment - Computers (Lenovo)</t>
        </is>
      </c>
      <c r="E29" s="48" t="inlineStr">
        <is>
          <t>Others</t>
        </is>
      </c>
      <c r="F29" s="48" t="inlineStr">
        <is>
          <t>Pending Delivery</t>
        </is>
      </c>
      <c r="G29" s="49" t="inlineStr">
        <is>
          <t>10-02-2026</t>
        </is>
      </c>
      <c r="H29" s="49" t="n"/>
      <c r="I29" s="49" t="n"/>
      <c r="J29" s="47" t="inlineStr">
        <is>
          <t>IT Po</t>
        </is>
      </c>
    </row>
    <row r="30" ht="18" customHeight="1">
      <c r="A30" s="46" t="n">
        <v>20</v>
      </c>
      <c r="B30" s="50" t="inlineStr">
        <is>
          <t>GLAN-60006/26-1</t>
        </is>
      </c>
      <c r="C30" s="50" t="inlineStr">
        <is>
          <t>FS-ITBP  -lander</t>
        </is>
      </c>
      <c r="D30" s="50" t="inlineStr">
        <is>
          <t>IT Equipment - ITBP</t>
        </is>
      </c>
      <c r="E30" s="51" t="inlineStr">
        <is>
          <t>Others</t>
        </is>
      </c>
      <c r="F30" s="51" t="inlineStr">
        <is>
          <t>Pending Delivery</t>
        </is>
      </c>
      <c r="G30" s="52" t="inlineStr">
        <is>
          <t>21-01-2026</t>
        </is>
      </c>
      <c r="H30" s="52" t="n"/>
      <c r="I30" s="52" t="n"/>
      <c r="J30" s="50" t="inlineStr">
        <is>
          <t>IT Po</t>
        </is>
      </c>
    </row>
    <row r="31" hidden="1" ht="18" customHeight="1">
      <c r="A31" s="46" t="n">
        <v>21</v>
      </c>
      <c r="B31" s="47" t="inlineStr">
        <is>
          <t>GLAN-60034/26-1</t>
        </is>
      </c>
      <c r="C31" s="47" t="inlineStr">
        <is>
          <t>Pre Delivery - QCDC</t>
        </is>
      </c>
      <c r="D31" s="47" t="inlineStr">
        <is>
          <t>QCDC</t>
        </is>
      </c>
      <c r="E31" s="48" t="inlineStr">
        <is>
          <t>Spares</t>
        </is>
      </c>
      <c r="F31" s="48" t="inlineStr">
        <is>
          <t>Pending Delivery</t>
        </is>
      </c>
      <c r="G31" s="49" t="inlineStr">
        <is>
          <t>06-03-2026</t>
        </is>
      </c>
      <c r="H31" s="49" t="n"/>
      <c r="I31" s="49" t="n"/>
      <c r="J31" s="47" t="inlineStr">
        <is>
          <t>Po Issued on Trelleborg</t>
        </is>
      </c>
    </row>
    <row r="32" ht="18" customHeight="1">
      <c r="A32" s="46" t="n">
        <v>22</v>
      </c>
      <c r="B32" s="50" t="inlineStr">
        <is>
          <t>GLAN-60015/26-1</t>
        </is>
      </c>
      <c r="C32" s="50" t="inlineStr">
        <is>
          <t>FS-KVH-LANDER UPDATED</t>
        </is>
      </c>
      <c r="D32" s="50" t="inlineStr">
        <is>
          <t>Communications - VSAT (KVH)</t>
        </is>
      </c>
      <c r="E32" s="51" t="inlineStr">
        <is>
          <t>Others</t>
        </is>
      </c>
      <c r="F32" s="51" t="inlineStr">
        <is>
          <t>Pending Delivery</t>
        </is>
      </c>
      <c r="G32" s="52" t="inlineStr">
        <is>
          <t>23-01-2026</t>
        </is>
      </c>
      <c r="H32" s="52" t="n"/>
      <c r="I32" s="52" t="n"/>
      <c r="J32" s="50" t="inlineStr">
        <is>
          <t>IT Po</t>
        </is>
      </c>
    </row>
    <row r="33" hidden="1" ht="18" customHeight="1">
      <c r="A33" s="46" t="n">
        <v>23</v>
      </c>
      <c r="B33" s="47" t="inlineStr">
        <is>
          <t>GLAN-60030/26-1</t>
        </is>
      </c>
      <c r="C33" s="47" t="inlineStr">
        <is>
          <t>PD - RSC Envirologic</t>
        </is>
      </c>
      <c r="D33" s="47" t="inlineStr">
        <is>
          <t>Lubricants</t>
        </is>
      </c>
      <c r="E33" s="48" t="inlineStr">
        <is>
          <t>Spares</t>
        </is>
      </c>
      <c r="F33" s="48" t="inlineStr">
        <is>
          <t>Pending Delivery</t>
        </is>
      </c>
      <c r="G33" s="49" t="n"/>
      <c r="H33" s="49" t="n"/>
      <c r="I33" s="49" t="n"/>
      <c r="J33" s="47" t="inlineStr">
        <is>
          <t>Qty to be Approved by Seyi'</t>
        </is>
      </c>
    </row>
    <row r="34" ht="18" customHeight="1">
      <c r="A34" s="46" t="n">
        <v>24</v>
      </c>
      <c r="B34" s="50" t="inlineStr">
        <is>
          <t>GLAN-60005/26-1</t>
        </is>
      </c>
      <c r="C34" s="50" t="inlineStr">
        <is>
          <t>FS-VLINK-Accessories</t>
        </is>
      </c>
      <c r="D34" s="50" t="inlineStr">
        <is>
          <t>Communications - VLINK</t>
        </is>
      </c>
      <c r="E34" s="51" t="inlineStr">
        <is>
          <t>Others</t>
        </is>
      </c>
      <c r="F34" s="51" t="inlineStr">
        <is>
          <t>Pending Delivery</t>
        </is>
      </c>
      <c r="G34" s="52" t="inlineStr">
        <is>
          <t>21-01-2026</t>
        </is>
      </c>
      <c r="H34" s="52" t="n"/>
      <c r="I34" s="52" t="n"/>
      <c r="J34" s="50" t="inlineStr">
        <is>
          <t>IT Po</t>
        </is>
      </c>
    </row>
    <row r="35" ht="18" customHeight="1">
      <c r="A35" s="46" t="n">
        <v>25</v>
      </c>
      <c r="B35" s="47" t="inlineStr">
        <is>
          <t>GLAN-60008/26</t>
        </is>
      </c>
      <c r="C35" s="47" t="inlineStr">
        <is>
          <t>FS -AST-LANDER</t>
        </is>
      </c>
      <c r="D35" s="47" t="inlineStr">
        <is>
          <t>Lubricants</t>
        </is>
      </c>
      <c r="E35" s="48" t="inlineStr">
        <is>
          <t>Others</t>
        </is>
      </c>
      <c r="F35" s="48" t="inlineStr">
        <is>
          <t>Pending Delivery</t>
        </is>
      </c>
      <c r="G35" s="49" t="inlineStr">
        <is>
          <t>20-01-2026</t>
        </is>
      </c>
      <c r="H35" s="49" t="n"/>
      <c r="I35" s="49" t="n"/>
      <c r="J35" s="47" t="inlineStr">
        <is>
          <t>IT Po</t>
        </is>
      </c>
    </row>
    <row r="36" ht="18" customHeight="1">
      <c r="A36" s="46" t="n">
        <v>26</v>
      </c>
      <c r="B36" s="50" t="inlineStr">
        <is>
          <t>GLAN-60009/26-1</t>
        </is>
      </c>
      <c r="C36" s="50" t="inlineStr">
        <is>
          <t>FS -AST-LANDER</t>
        </is>
      </c>
      <c r="D36" s="50" t="inlineStr">
        <is>
          <t>Lubricants</t>
        </is>
      </c>
      <c r="E36" s="51" t="inlineStr">
        <is>
          <t>Others</t>
        </is>
      </c>
      <c r="F36" s="51" t="inlineStr">
        <is>
          <t>Pending Delivery</t>
        </is>
      </c>
      <c r="G36" s="52" t="inlineStr">
        <is>
          <t>21-01-2026</t>
        </is>
      </c>
      <c r="H36" s="52" t="n"/>
      <c r="I36" s="52" t="n"/>
      <c r="J36" s="50" t="inlineStr">
        <is>
          <t>IT Po</t>
        </is>
      </c>
    </row>
    <row r="37" ht="18" customHeight="1">
      <c r="A37" s="46" t="n">
        <v>27</v>
      </c>
      <c r="B37" s="47" t="inlineStr">
        <is>
          <t>GLAN-60016/26-1</t>
        </is>
      </c>
      <c r="C37" s="47" t="inlineStr">
        <is>
          <t>FS-Interface-Lander</t>
        </is>
      </c>
      <c r="D37" s="47" t="inlineStr">
        <is>
          <t>IT Equipment - Interface / Integration</t>
        </is>
      </c>
      <c r="E37" s="48" t="inlineStr">
        <is>
          <t>Others</t>
        </is>
      </c>
      <c r="F37" s="48" t="inlineStr">
        <is>
          <t>Pending Delivery</t>
        </is>
      </c>
      <c r="G37" s="49" t="inlineStr">
        <is>
          <t>29-01-2026</t>
        </is>
      </c>
      <c r="H37" s="49" t="n"/>
      <c r="I37" s="49" t="n"/>
      <c r="J37" s="47" t="inlineStr">
        <is>
          <t>IT Po</t>
        </is>
      </c>
    </row>
    <row r="38" hidden="1" ht="18" customHeight="1">
      <c r="A38" s="46" t="n">
        <v>28</v>
      </c>
      <c r="B38" s="50" t="inlineStr">
        <is>
          <t>GLAN-60028/26</t>
        </is>
      </c>
      <c r="C38" s="50" t="inlineStr">
        <is>
          <t>Reliability Spares - PCTC-Seaspan - Boilers QUOT26012103</t>
        </is>
      </c>
      <c r="D38" s="50" t="inlineStr">
        <is>
          <t>Boiler Spares</t>
        </is>
      </c>
      <c r="E38" s="51" t="inlineStr">
        <is>
          <t>Spares</t>
        </is>
      </c>
      <c r="F38" s="51" t="inlineStr">
        <is>
          <t>Pending Approval</t>
        </is>
      </c>
      <c r="G38" s="52" t="inlineStr">
        <is>
          <t>25-02-2026</t>
        </is>
      </c>
      <c r="H38" s="52" t="n"/>
      <c r="I38" s="52" t="n"/>
      <c r="J38" s="50" t="inlineStr">
        <is>
          <t>Po to be Approved</t>
        </is>
      </c>
    </row>
    <row r="39" hidden="1" ht="18" customHeight="1">
      <c r="A39" s="46" t="n">
        <v>29</v>
      </c>
      <c r="B39" s="47" t="inlineStr">
        <is>
          <t>GLAN-60018/26-1</t>
        </is>
      </c>
      <c r="C39" s="47" t="inlineStr">
        <is>
          <t>SHIPYARD EXTRA OWNER SUPPLY- Abanaki Skimmers</t>
        </is>
      </c>
      <c r="D39" s="47" t="inlineStr">
        <is>
          <t>Oil Skimmers - Abanaki</t>
        </is>
      </c>
      <c r="E39" s="48" t="inlineStr">
        <is>
          <t>Spares</t>
        </is>
      </c>
      <c r="F39" s="48" t="inlineStr">
        <is>
          <t>Pending Delivery</t>
        </is>
      </c>
      <c r="G39" s="49" t="inlineStr">
        <is>
          <t>12-02-2026</t>
        </is>
      </c>
      <c r="H39" s="49" t="n"/>
      <c r="I39" s="49" t="n"/>
      <c r="J39" s="47" t="inlineStr">
        <is>
          <t>Frederic to advise the Po status</t>
        </is>
      </c>
    </row>
    <row r="40" ht="18" customHeight="1">
      <c r="A40" s="46" t="n">
        <v>30</v>
      </c>
      <c r="B40" s="50" t="inlineStr">
        <is>
          <t>GLAN-60001/25-2</t>
        </is>
      </c>
      <c r="C40" s="50" t="inlineStr">
        <is>
          <t>Lubricants - Pre Delivery</t>
        </is>
      </c>
      <c r="D40" s="50" t="inlineStr">
        <is>
          <t>Lubricants</t>
        </is>
      </c>
      <c r="E40" s="51" t="inlineStr">
        <is>
          <t>Lube Oil</t>
        </is>
      </c>
      <c r="F40" s="51" t="inlineStr">
        <is>
          <t>Pending Delivery</t>
        </is>
      </c>
      <c r="G40" s="52" t="inlineStr">
        <is>
          <t>25-11-2025</t>
        </is>
      </c>
      <c r="H40" s="52" t="n"/>
      <c r="I40" s="52" t="n"/>
      <c r="J40" s="50" t="inlineStr">
        <is>
          <t>As per the Delivery date of OC</t>
        </is>
      </c>
    </row>
    <row r="41" ht="18" customHeight="1">
      <c r="A41" s="46" t="n">
        <v>31</v>
      </c>
      <c r="B41" s="47" t="inlineStr">
        <is>
          <t>GLAN-60021/26-1</t>
        </is>
      </c>
      <c r="C41" s="47" t="inlineStr">
        <is>
          <t>FS-ITBP CABLES</t>
        </is>
      </c>
      <c r="D41" s="47" t="inlineStr">
        <is>
          <t>IT Equipment - ITBP Cables</t>
        </is>
      </c>
      <c r="E41" s="48" t="inlineStr">
        <is>
          <t>Others</t>
        </is>
      </c>
      <c r="F41" s="48" t="inlineStr">
        <is>
          <t>Pending Delivery</t>
        </is>
      </c>
      <c r="G41" s="49" t="inlineStr">
        <is>
          <t>10-02-2026</t>
        </is>
      </c>
      <c r="H41" s="49" t="n"/>
      <c r="I41" s="49" t="n"/>
      <c r="J41" s="47" t="inlineStr">
        <is>
          <t>IT Po</t>
        </is>
      </c>
    </row>
    <row r="42" ht="18" customHeight="1">
      <c r="A42" s="46" t="n">
        <v>32</v>
      </c>
      <c r="B42" s="50" t="n"/>
      <c r="C42" s="50" t="inlineStr">
        <is>
          <t>Reliability Spares - 10,8K CEU SWS - GVT- Korval</t>
        </is>
      </c>
      <c r="D42" s="50" t="inlineStr">
        <is>
          <t>Boiler Spares</t>
        </is>
      </c>
      <c r="E42" s="51" t="n"/>
      <c r="F42" s="51" t="n"/>
      <c r="G42" s="52" t="n"/>
      <c r="H42" s="52" t="n"/>
      <c r="I42" s="52" t="n"/>
      <c r="J42" s="50" t="inlineStr">
        <is>
          <t>Awaiting offer from Korval</t>
        </is>
      </c>
    </row>
    <row r="43" ht="18" customHeight="1">
      <c r="A43" s="46" t="n">
        <v>33</v>
      </c>
      <c r="B43" s="47" t="n"/>
      <c r="C43" s="47" t="inlineStr">
        <is>
          <t>Citadel VHF/GPS and UHF ANTENNA system</t>
        </is>
      </c>
      <c r="D43" s="47" t="inlineStr">
        <is>
          <t>Citadel VHF/GPS/UHF System</t>
        </is>
      </c>
      <c r="E43" s="48" t="n"/>
      <c r="F43" s="48" t="n"/>
      <c r="G43" s="49" t="n"/>
      <c r="H43" s="49" t="n"/>
      <c r="I43" s="49" t="n"/>
      <c r="J43" s="47" t="inlineStr">
        <is>
          <t>Po 000030180276 Dummy Po raised as Vendor not enlisted in Jibe</t>
        </is>
      </c>
    </row>
    <row r="44" ht="18" customHeight="1">
      <c r="A44" s="46" t="n">
        <v>34</v>
      </c>
      <c r="B44" s="50" t="n"/>
      <c r="C44" s="50" t="inlineStr">
        <is>
          <t>Reliability Spares - PCTC-Seaspan - Boilers QUOT26012103</t>
        </is>
      </c>
      <c r="D44" s="50" t="inlineStr">
        <is>
          <t>Boiler Spares</t>
        </is>
      </c>
      <c r="E44" s="51" t="n"/>
      <c r="F44" s="51" t="n"/>
      <c r="G44" s="52" t="n"/>
      <c r="H44" s="52" t="n"/>
      <c r="I44" s="52" t="n"/>
      <c r="J44" s="50" t="inlineStr">
        <is>
          <t>Awaiting offer from Kangrim</t>
        </is>
      </c>
    </row>
    <row r="45" ht="18" customHeight="1">
      <c r="A45" s="46" t="n">
        <v>35</v>
      </c>
      <c r="B45" s="47" t="n"/>
      <c r="C45" s="47" t="inlineStr">
        <is>
          <t>PCTC Loose Fittings Procurement</t>
        </is>
      </c>
      <c r="D45" s="47" t="inlineStr">
        <is>
          <t>RO-RO Equipment - Loose Fittings</t>
        </is>
      </c>
      <c r="E45" s="48" t="n"/>
      <c r="F45" s="48" t="n"/>
      <c r="G45" s="49" t="n"/>
      <c r="H45" s="49" t="n"/>
      <c r="I45" s="49" t="n"/>
      <c r="J45" s="47" t="inlineStr">
        <is>
          <t>Vendor to be enlisted</t>
        </is>
      </c>
    </row>
    <row r="46" ht="18" customHeight="1">
      <c r="A46" s="46" t="n">
        <v>36</v>
      </c>
      <c r="B46" s="50" t="n"/>
      <c r="C46" s="50" t="inlineStr">
        <is>
          <t>Shipyard Extra (Owner supply) - 10800 CEU LNG PCTC _x0013_ Consilium SMiG Integration</t>
        </is>
      </c>
      <c r="D46" s="50" t="inlineStr">
        <is>
          <t>Safety Integration - SMiG</t>
        </is>
      </c>
      <c r="E46" s="51" t="n"/>
      <c r="F46" s="51" t="n"/>
      <c r="G46" s="52" t="n"/>
      <c r="H46" s="52" t="n"/>
      <c r="I46" s="52" t="n"/>
      <c r="J46" s="50" t="inlineStr">
        <is>
          <t>Asked to cancel</t>
        </is>
      </c>
    </row>
    <row r="47" ht="18" customHeight="1">
      <c r="A47" s="46" t="n">
        <v>37</v>
      </c>
      <c r="B47" t="inlineStr">
        <is>
          <t>GLAN-60041/26</t>
        </is>
      </c>
      <c r="C47" s="47" t="inlineStr">
        <is>
          <t>Impa Stores Stationery</t>
        </is>
      </c>
      <c r="D47" s="47" t="inlineStr">
        <is>
          <t>IMPA Stores - Stationery</t>
        </is>
      </c>
      <c r="E47" s="48" t="n"/>
      <c r="F47" s="48" t="n"/>
      <c r="G47" s="49" t="n"/>
      <c r="H47" s="49" t="n"/>
      <c r="I47" s="49" t="n"/>
      <c r="J47" s="47" t="n"/>
    </row>
    <row r="48" ht="18" customHeight="1">
      <c r="A48" s="46" t="n">
        <v>38</v>
      </c>
      <c r="B48" t="inlineStr">
        <is>
          <t>GLAN-60042/26</t>
        </is>
      </c>
      <c r="C48" s="50" t="inlineStr">
        <is>
          <t>Impa Stores - SOPEP</t>
        </is>
      </c>
      <c r="D48" s="50" t="inlineStr">
        <is>
          <t>IMPA Stores - SOPEP</t>
        </is>
      </c>
      <c r="E48" s="51" t="n"/>
      <c r="F48" s="51" t="n"/>
      <c r="G48" s="52" t="n"/>
      <c r="H48" s="52" t="n"/>
      <c r="I48" s="52" t="n"/>
      <c r="J48" s="50" t="n"/>
    </row>
    <row r="49" ht="18" customHeight="1">
      <c r="A49" s="46" t="n">
        <v>39</v>
      </c>
      <c r="B49" t="inlineStr">
        <is>
          <t>GLAN-60043/26</t>
        </is>
      </c>
      <c r="C49" s="47" t="inlineStr">
        <is>
          <t>Impa Stores - Deck</t>
        </is>
      </c>
      <c r="D49" s="47" t="inlineStr">
        <is>
          <t>IMPA Stores - Deck</t>
        </is>
      </c>
      <c r="E49" s="48" t="n"/>
      <c r="F49" s="48" t="n"/>
      <c r="G49" s="49" t="n"/>
      <c r="H49" s="49" t="n"/>
      <c r="I49" s="49" t="n"/>
      <c r="J49" s="47" t="n"/>
    </row>
    <row r="50" ht="18" customHeight="1">
      <c r="A50" s="46" t="n">
        <v>40</v>
      </c>
      <c r="B50" t="inlineStr">
        <is>
          <t>GLAN-60044/26</t>
        </is>
      </c>
      <c r="C50" s="50" t="inlineStr">
        <is>
          <t>Impa Stores - Bridge</t>
        </is>
      </c>
      <c r="D50" s="50" t="inlineStr">
        <is>
          <t>IMPA Stores - Bridge</t>
        </is>
      </c>
      <c r="E50" s="51" t="n"/>
      <c r="F50" s="51" t="n"/>
      <c r="G50" s="52" t="n"/>
      <c r="H50" s="52" t="n"/>
      <c r="I50" s="52" t="n"/>
      <c r="J50" s="50" t="n"/>
    </row>
    <row r="51" ht="18" customHeight="1">
      <c r="A51" s="46" t="n">
        <v>41</v>
      </c>
      <c r="B51" t="inlineStr">
        <is>
          <t>GLAN-60045/26</t>
        </is>
      </c>
      <c r="C51" s="47" t="inlineStr">
        <is>
          <t>Impa Stores - Gym</t>
        </is>
      </c>
      <c r="D51" s="47" t="inlineStr">
        <is>
          <t>IMPA Stores - Gym</t>
        </is>
      </c>
      <c r="E51" s="48" t="n"/>
      <c r="F51" s="48" t="n"/>
      <c r="G51" s="49" t="n"/>
      <c r="H51" s="49" t="n"/>
      <c r="I51" s="49" t="n"/>
      <c r="J51" s="47" t="n"/>
    </row>
    <row r="52" ht="18" customHeight="1">
      <c r="A52" s="46" t="n">
        <v>42</v>
      </c>
      <c r="B52" t="inlineStr">
        <is>
          <t>GLAN-60046/26</t>
        </is>
      </c>
      <c r="C52" s="50" t="inlineStr">
        <is>
          <t>Impa Stores - Crew</t>
        </is>
      </c>
      <c r="D52" s="50" t="inlineStr">
        <is>
          <t>IMPA Stores - Crew</t>
        </is>
      </c>
      <c r="E52" s="51" t="n"/>
      <c r="F52" s="51" t="n"/>
      <c r="G52" s="52" t="n"/>
      <c r="H52" s="52" t="n"/>
      <c r="I52" s="52" t="n"/>
      <c r="J52" s="50" t="n"/>
    </row>
    <row r="53" ht="18" customHeight="1">
      <c r="A53" s="46" t="n">
        <v>43</v>
      </c>
      <c r="B53" t="inlineStr">
        <is>
          <t>GLAN-60047/26</t>
        </is>
      </c>
      <c r="C53" s="47" t="inlineStr">
        <is>
          <t>Impa Stores - FFE</t>
        </is>
      </c>
      <c r="D53" s="47" t="inlineStr">
        <is>
          <t>IMPA Stores - FFE</t>
        </is>
      </c>
      <c r="E53" s="48" t="n"/>
      <c r="F53" s="48" t="n"/>
      <c r="G53" s="49" t="n"/>
      <c r="H53" s="49" t="n"/>
      <c r="I53" s="49" t="n"/>
      <c r="J53" s="47" t="n"/>
    </row>
    <row r="54" ht="18" customHeight="1">
      <c r="A54" s="46" t="n">
        <v>44</v>
      </c>
      <c r="B54" t="inlineStr">
        <is>
          <t>GLAN-60048/26</t>
        </is>
      </c>
      <c r="C54" s="50" t="inlineStr">
        <is>
          <t>Impa Stores - Company Stationery</t>
        </is>
      </c>
      <c r="D54" s="50" t="inlineStr">
        <is>
          <t>IMPA Stores - Company Stationery</t>
        </is>
      </c>
      <c r="E54" s="51" t="n"/>
      <c r="F54" s="51" t="n"/>
      <c r="G54" s="52" t="n"/>
      <c r="H54" s="52" t="n"/>
      <c r="I54" s="52" t="n"/>
      <c r="J54" s="50" t="n"/>
    </row>
    <row r="55" ht="18" customHeight="1">
      <c r="A55" s="46" t="n">
        <v>45</v>
      </c>
      <c r="B55" s="47" t="n"/>
      <c r="C55" s="47" t="inlineStr">
        <is>
          <t>Impa Stores - BA Compressor</t>
        </is>
      </c>
      <c r="D55" s="47" t="inlineStr">
        <is>
          <t>IMPA Stores - BA Compressor</t>
        </is>
      </c>
      <c r="E55" s="48" t="n"/>
      <c r="F55" s="48" t="n"/>
      <c r="G55" s="49" t="n"/>
      <c r="H55" s="49" t="n"/>
      <c r="I55" s="49" t="n"/>
      <c r="J55" s="47" t="n"/>
    </row>
    <row r="56" ht="18" customHeight="1">
      <c r="A56" s="46" t="n">
        <v>46</v>
      </c>
      <c r="B56" t="inlineStr">
        <is>
          <t>GLAN-60049/26</t>
        </is>
      </c>
      <c r="C56" s="50" t="inlineStr">
        <is>
          <t>Impa Stores - ACC</t>
        </is>
      </c>
      <c r="D56" s="50" t="inlineStr">
        <is>
          <t>IMPA Stores - Accommodation</t>
        </is>
      </c>
      <c r="E56" s="51" t="n"/>
      <c r="F56" s="51" t="n"/>
      <c r="G56" s="52" t="n"/>
      <c r="H56" s="52" t="n"/>
      <c r="I56" s="52" t="n"/>
      <c r="J56" s="50" t="n"/>
    </row>
    <row r="57" ht="18" customHeight="1">
      <c r="A57" s="46" t="n">
        <v>47</v>
      </c>
      <c r="B57" t="inlineStr">
        <is>
          <t>GLAN-60050/26</t>
        </is>
      </c>
      <c r="C57" s="47" t="inlineStr">
        <is>
          <t>Impa Stores - Galley</t>
        </is>
      </c>
      <c r="D57" s="47" t="inlineStr">
        <is>
          <t>IMPA Stores - Galley</t>
        </is>
      </c>
      <c r="E57" s="48" t="n"/>
      <c r="F57" s="48" t="n"/>
      <c r="G57" s="49" t="n"/>
      <c r="H57" s="49" t="n"/>
      <c r="I57" s="49" t="n"/>
      <c r="J57" s="47" t="n"/>
    </row>
    <row r="58" ht="18" customHeight="1">
      <c r="A58" s="46" t="n">
        <v>48</v>
      </c>
      <c r="B58" t="inlineStr">
        <is>
          <t>GLAN-60052/26</t>
        </is>
      </c>
      <c r="C58" s="50" t="inlineStr">
        <is>
          <t>Impa Stores - Engine</t>
        </is>
      </c>
      <c r="D58" s="50" t="inlineStr">
        <is>
          <t>IMPA Stores - Engine</t>
        </is>
      </c>
      <c r="E58" s="51" t="n"/>
      <c r="F58" s="51" t="n"/>
      <c r="G58" s="52" t="n"/>
      <c r="H58" s="52" t="n"/>
      <c r="I58" s="52" t="n"/>
      <c r="J58" s="50" t="n"/>
    </row>
    <row r="59" ht="18" customHeight="1">
      <c r="A59" s="46" t="n">
        <v>49</v>
      </c>
      <c r="B59" t="inlineStr">
        <is>
          <t>GLAN-60051/26</t>
        </is>
      </c>
      <c r="C59" s="47" t="inlineStr">
        <is>
          <t>Impa Stores - Engine</t>
        </is>
      </c>
      <c r="D59" s="47" t="inlineStr">
        <is>
          <t>IMPA Stores - Engine</t>
        </is>
      </c>
      <c r="E59" s="48" t="n"/>
      <c r="F59" s="48" t="n"/>
      <c r="G59" s="49" t="n"/>
      <c r="H59" s="49" t="n"/>
      <c r="I59" s="49" t="n"/>
      <c r="J59" s="47" t="n"/>
    </row>
    <row r="60" ht="18" customHeight="1">
      <c r="A60" s="46" t="n">
        <v>50</v>
      </c>
      <c r="B60" t="inlineStr">
        <is>
          <t>GLAN-60053/26</t>
        </is>
      </c>
      <c r="C60" s="50" t="inlineStr">
        <is>
          <t>Impa Stores - Engine</t>
        </is>
      </c>
      <c r="D60" s="50" t="inlineStr">
        <is>
          <t>IMPA Stores - Engine</t>
        </is>
      </c>
      <c r="E60" s="51" t="n"/>
      <c r="F60" s="51" t="n"/>
      <c r="G60" s="52" t="n"/>
      <c r="H60" s="52" t="n"/>
      <c r="I60" s="52" t="n"/>
      <c r="J60" s="50" t="n"/>
    </row>
    <row r="61" ht="18" customHeight="1">
      <c r="A61" s="46" t="n">
        <v>51</v>
      </c>
      <c r="B61" t="inlineStr">
        <is>
          <t>GLAN-60054/26</t>
        </is>
      </c>
      <c r="C61" s="47" t="inlineStr">
        <is>
          <t>Impa Stores - Engine</t>
        </is>
      </c>
      <c r="D61" s="47" t="inlineStr">
        <is>
          <t>IMPA Stores - Engine</t>
        </is>
      </c>
      <c r="E61" s="48" t="n"/>
      <c r="F61" s="48" t="n"/>
      <c r="G61" s="49" t="n"/>
      <c r="H61" s="49" t="n"/>
      <c r="I61" s="49" t="n"/>
      <c r="J61" s="47" t="n"/>
    </row>
    <row r="62" ht="18" customHeight="1">
      <c r="A62" s="46" t="n">
        <v>52</v>
      </c>
      <c r="B62" t="inlineStr">
        <is>
          <t>GLAN-60055/26</t>
        </is>
      </c>
      <c r="C62" s="50" t="inlineStr">
        <is>
          <t>Impa Stores - Electric</t>
        </is>
      </c>
      <c r="D62" s="50" t="inlineStr">
        <is>
          <t>IMPA Stores - Electric</t>
        </is>
      </c>
      <c r="E62" s="51" t="n"/>
      <c r="F62" s="51" t="n"/>
      <c r="G62" s="52" t="n"/>
      <c r="H62" s="52" t="n"/>
      <c r="I62" s="52" t="n"/>
      <c r="J62" s="50" t="n"/>
    </row>
    <row r="63" ht="18" customHeight="1">
      <c r="A63" s="46" t="n">
        <v>53</v>
      </c>
      <c r="B63" s="47" t="n"/>
      <c r="C63" s="47" t="inlineStr">
        <is>
          <t>Impa Stores - Instrumenation</t>
        </is>
      </c>
      <c r="D63" s="47" t="inlineStr">
        <is>
          <t>IMPA Stores - Instrumentation</t>
        </is>
      </c>
      <c r="E63" s="48" t="n"/>
      <c r="F63" s="48" t="n"/>
      <c r="G63" s="49" t="n"/>
      <c r="H63" s="49" t="n"/>
      <c r="I63" s="49" t="n"/>
      <c r="J63" s="47" t="n"/>
    </row>
    <row r="64" ht="18" customHeight="1">
      <c r="A64" s="46" t="n">
        <v>54</v>
      </c>
      <c r="B64" s="50" t="inlineStr">
        <is>
          <t>GLAN-60060/26-1</t>
        </is>
      </c>
      <c r="C64" s="50" t="inlineStr">
        <is>
          <t>Ultrasonic Cleaning system - 230V</t>
        </is>
      </c>
      <c r="D64" s="50" t="inlineStr">
        <is>
          <t>Ultrasonic Cleaner</t>
        </is>
      </c>
      <c r="E64" s="51" t="inlineStr">
        <is>
          <t>Stores</t>
        </is>
      </c>
      <c r="F64" s="51" t="inlineStr">
        <is>
          <t>Pending Delivery</t>
        </is>
      </c>
      <c r="G64" s="52" t="n"/>
      <c r="H64" s="52" t="n"/>
      <c r="I64" s="52" t="n"/>
      <c r="J64" s="50" t="inlineStr">
        <is>
          <t>Shall be Delivered at Yard as advised</t>
        </is>
      </c>
    </row>
    <row r="65" ht="18" customHeight="1">
      <c r="A65" s="46" t="n">
        <v>55</v>
      </c>
      <c r="B65" s="47" t="inlineStr">
        <is>
          <t>GLAN-60061/26-1</t>
        </is>
      </c>
      <c r="C65" s="47" t="inlineStr">
        <is>
          <t>OPA 90 KIT - 12-barrel kit</t>
        </is>
      </c>
      <c r="D65" s="47" t="inlineStr">
        <is>
          <t>OPA 90 Kit</t>
        </is>
      </c>
      <c r="E65" s="48" t="inlineStr">
        <is>
          <t>Stores</t>
        </is>
      </c>
      <c r="F65" s="48" t="inlineStr">
        <is>
          <t>Pending Delivery</t>
        </is>
      </c>
      <c r="G65" s="49" t="n"/>
      <c r="H65" s="49" t="n"/>
      <c r="I65" s="49" t="n"/>
      <c r="J65" s="50" t="inlineStr">
        <is>
          <t>Shall be Delivered at Yard as advised</t>
        </is>
      </c>
    </row>
    <row r="66" ht="18" customHeight="1">
      <c r="A66" s="46" t="n">
        <v>56</v>
      </c>
      <c r="B66" s="50" t="inlineStr">
        <is>
          <t>GLAN-60062/26-1</t>
        </is>
      </c>
      <c r="C66" s="50" t="inlineStr">
        <is>
          <t>H.P machine - 2pcs (prefer Branded - Karcher/ KEW)</t>
        </is>
      </c>
      <c r="D66" s="50" t="inlineStr">
        <is>
          <t>High Pressure Washer</t>
        </is>
      </c>
      <c r="E66" s="51" t="inlineStr">
        <is>
          <t>Stores</t>
        </is>
      </c>
      <c r="F66" s="51" t="inlineStr">
        <is>
          <t>Pending Delivery</t>
        </is>
      </c>
      <c r="G66" s="52" t="n"/>
      <c r="H66" s="52" t="n"/>
      <c r="I66" s="52" t="n"/>
      <c r="J66" s="50" t="inlineStr">
        <is>
          <t>Shall be Delivered at Yard as advised</t>
        </is>
      </c>
    </row>
    <row r="67" ht="18" customHeight="1">
      <c r="A67" s="46" t="n">
        <v>57</v>
      </c>
      <c r="B67" s="47" t="n"/>
      <c r="C67" s="47" t="inlineStr">
        <is>
          <t>2. LOTO Stickers</t>
        </is>
      </c>
      <c r="D67" s="47" t="inlineStr">
        <is>
          <t>Safety &amp; PPE</t>
        </is>
      </c>
      <c r="E67" s="48" t="n"/>
      <c r="F67" s="48" t="n"/>
      <c r="G67" s="49" t="n"/>
      <c r="H67" s="49" t="n"/>
      <c r="I67" s="49" t="n"/>
      <c r="J67" s="47" t="n"/>
    </row>
    <row r="68" ht="18" customHeight="1">
      <c r="A68" s="46" t="n">
        <v>58</v>
      </c>
      <c r="B68" s="50" t="inlineStr">
        <is>
          <t>GLAN-60064/26</t>
        </is>
      </c>
      <c r="C68" s="50" t="inlineStr">
        <is>
          <t>3. Steam Splash Suit</t>
        </is>
      </c>
      <c r="D68" s="50" t="inlineStr">
        <is>
          <t>Steam Splash Suit</t>
        </is>
      </c>
      <c r="E68" s="51" t="inlineStr">
        <is>
          <t>Stores</t>
        </is>
      </c>
      <c r="F68" s="51" t="inlineStr">
        <is>
          <t>Pending Approval</t>
        </is>
      </c>
      <c r="G68" s="52" t="n"/>
      <c r="H68" s="52" t="n"/>
      <c r="I68" s="52" t="n"/>
      <c r="J68" s="50" t="inlineStr">
        <is>
          <t>Po to be Approved</t>
        </is>
      </c>
    </row>
    <row r="69" ht="18" customHeight="1">
      <c r="A69" s="46" t="n">
        <v>59</v>
      </c>
      <c r="B69" s="47" t="n"/>
      <c r="C69" s="47" t="inlineStr">
        <is>
          <t>4. Chemical tags</t>
        </is>
      </c>
      <c r="D69" s="47" t="inlineStr">
        <is>
          <t>Safety &amp; PPE</t>
        </is>
      </c>
      <c r="E69" s="48" t="n"/>
      <c r="F69" s="48" t="n"/>
      <c r="G69" s="49" t="n"/>
      <c r="H69" s="49" t="n"/>
      <c r="I69" s="49" t="n"/>
      <c r="J69" s="47" t="n"/>
    </row>
    <row r="70" ht="18" customHeight="1">
      <c r="A70" s="46" t="n">
        <v>60</v>
      </c>
      <c r="B70" s="50" t="n"/>
      <c r="C70" s="50" t="inlineStr">
        <is>
          <t>5. Trelleborg Safe lanes</t>
        </is>
      </c>
      <c r="D70" s="50" t="inlineStr">
        <is>
          <t>Safety &amp; PPE</t>
        </is>
      </c>
      <c r="E70" s="51" t="n"/>
      <c r="F70" s="51" t="n"/>
      <c r="G70" s="52" t="n"/>
      <c r="H70" s="52" t="n"/>
      <c r="I70" s="52" t="n"/>
      <c r="J70" s="50" t="n"/>
    </row>
    <row r="71" hidden="1" ht="18" customHeight="1">
      <c r="A71" s="46" t="n">
        <v>61</v>
      </c>
      <c r="B71" s="50" t="inlineStr">
        <is>
          <t>GLAN-60037/26-1</t>
        </is>
      </c>
      <c r="C71" s="50" t="inlineStr">
        <is>
          <t>Pre Delivery - Seatab</t>
        </is>
      </c>
      <c r="D71" s="47" t="inlineStr">
        <is>
          <t>Seatab</t>
        </is>
      </c>
      <c r="E71" s="48" t="inlineStr">
        <is>
          <t>Spares</t>
        </is>
      </c>
      <c r="F71" s="48" t="inlineStr">
        <is>
          <t>Pending Delivery</t>
        </is>
      </c>
      <c r="G71" s="52" t="n">
        <v>46098</v>
      </c>
      <c r="H71" s="49" t="n"/>
      <c r="I71" s="49" t="n"/>
      <c r="J71" s="47" t="n"/>
    </row>
    <row r="72" ht="18" customHeight="1">
      <c r="A72" s="46" t="n">
        <v>62</v>
      </c>
      <c r="B72" s="50" t="inlineStr">
        <is>
          <t>GLAN-60039/26-1</t>
        </is>
      </c>
      <c r="C72" s="50" t="inlineStr">
        <is>
          <t>FLIR ESPro and E6 Pro</t>
        </is>
      </c>
      <c r="D72" s="50" t="inlineStr">
        <is>
          <t>Thermal Camera (FLIR)</t>
        </is>
      </c>
      <c r="E72" s="51" t="inlineStr">
        <is>
          <t>Stores</t>
        </is>
      </c>
      <c r="F72" s="51" t="inlineStr">
        <is>
          <t>Pending Delivery</t>
        </is>
      </c>
      <c r="G72" s="52" t="n"/>
      <c r="H72" s="52" t="n"/>
      <c r="I72" s="52" t="n"/>
      <c r="J72" s="50" t="inlineStr">
        <is>
          <t>PO Issued on V-Link</t>
        </is>
      </c>
    </row>
    <row r="73" ht="18" customHeight="1">
      <c r="A73" s="46" t="n">
        <v>63</v>
      </c>
      <c r="B73" s="47" t="n"/>
      <c r="C73" s="47" t="inlineStr">
        <is>
          <t>8. Explosion Proof Camera</t>
        </is>
      </c>
      <c r="D73" s="47" t="inlineStr">
        <is>
          <t>Thermal Camera (FLIR)</t>
        </is>
      </c>
      <c r="E73" s="48" t="n"/>
      <c r="F73" s="48" t="n"/>
      <c r="G73" s="49" t="n"/>
      <c r="H73" s="49" t="n"/>
      <c r="I73" s="49" t="n"/>
      <c r="J73" s="47" t="n"/>
    </row>
    <row r="74" ht="18" customHeight="1">
      <c r="A74" s="46" t="n">
        <v>64</v>
      </c>
      <c r="B74" s="50" t="inlineStr">
        <is>
          <t>GLAN-60035/26-1</t>
        </is>
      </c>
      <c r="C74" s="50" t="inlineStr">
        <is>
          <t>Pre Delivery - Cryogenic PPE</t>
        </is>
      </c>
      <c r="D74" s="50" t="inlineStr">
        <is>
          <t>Cryogenic PPE</t>
        </is>
      </c>
      <c r="E74" s="51" t="inlineStr">
        <is>
          <t>Stores</t>
        </is>
      </c>
      <c r="F74" s="51" t="inlineStr">
        <is>
          <t>Not Created</t>
        </is>
      </c>
      <c r="G74" s="52" t="n">
        <v>46098</v>
      </c>
      <c r="H74" s="52" t="n"/>
      <c r="I74" s="52" t="n"/>
      <c r="J74" s="50" t="inlineStr">
        <is>
          <t>To be Approved</t>
        </is>
      </c>
    </row>
    <row r="75" ht="18" customHeight="1">
      <c r="A75" s="46" t="n">
        <v>65</v>
      </c>
      <c r="B75" s="47" t="n"/>
      <c r="C75" s="47" t="inlineStr">
        <is>
          <t>10. Temperature &amp; Pressure Calibrators</t>
        </is>
      </c>
      <c r="D75" s="47" t="inlineStr">
        <is>
          <t>Temperature Calibrators</t>
        </is>
      </c>
      <c r="E75" s="48" t="n"/>
      <c r="F75" s="48" t="n"/>
      <c r="G75" s="49" t="n"/>
      <c r="H75" s="49" t="n"/>
      <c r="I75" s="49" t="n"/>
      <c r="J75" s="47" t="n"/>
    </row>
    <row r="76" ht="18" customHeight="1">
      <c r="A76" s="46" t="n">
        <v>66</v>
      </c>
      <c r="B76" s="50" t="n"/>
      <c r="C76" s="50" t="inlineStr">
        <is>
          <t>11. VISWA Line Samplers</t>
        </is>
      </c>
      <c r="D76" s="50" t="inlineStr">
        <is>
          <t>VISWA Line Samplers</t>
        </is>
      </c>
      <c r="E76" s="51" t="n"/>
      <c r="F76" s="51" t="n"/>
      <c r="G76" s="52" t="n"/>
      <c r="H76" s="52" t="n"/>
      <c r="I76" s="52" t="n"/>
      <c r="J76" s="50" t="n"/>
    </row>
    <row r="77" ht="18" customHeight="1">
      <c r="A77" s="46" t="n">
        <v>67</v>
      </c>
      <c r="B77" s="47" t="n"/>
      <c r="C77" s="47" t="inlineStr">
        <is>
          <t xml:space="preserve">12. Standard Chinese stationery </t>
        </is>
      </c>
      <c r="D77" s="47" t="inlineStr">
        <is>
          <t>IMPA Stores - Stationery</t>
        </is>
      </c>
      <c r="E77" s="48" t="n"/>
      <c r="F77" s="48" t="n"/>
      <c r="G77" s="49" t="n"/>
      <c r="H77" s="49" t="n"/>
      <c r="I77" s="49" t="n"/>
      <c r="J77" s="47" t="n"/>
    </row>
    <row r="78" ht="18" customHeight="1">
      <c r="A78" s="46" t="n">
        <v>68</v>
      </c>
      <c r="B78" s="50" t="n"/>
      <c r="C78" s="50" t="inlineStr">
        <is>
          <t>13. Air driven HP Pump - For hydraulic nuts for M/E - From Dan Marine or VLINK</t>
        </is>
      </c>
      <c r="D78" s="50" t="inlineStr">
        <is>
          <t>High Pressure Washer</t>
        </is>
      </c>
      <c r="E78" s="51" t="n"/>
      <c r="F78" s="51" t="n"/>
      <c r="G78" s="52" t="n"/>
      <c r="H78" s="52" t="n"/>
      <c r="I78" s="52" t="n"/>
      <c r="J78" s="50" t="n"/>
    </row>
    <row r="79" ht="18" customHeight="1">
      <c r="A79" s="46" t="n">
        <v>69</v>
      </c>
      <c r="B79" s="47" t="n"/>
      <c r="C79" s="47" t="inlineStr">
        <is>
          <t>Chemical</t>
        </is>
      </c>
      <c r="D79" s="47" t="inlineStr">
        <is>
          <t>Maintenance Chemicals</t>
        </is>
      </c>
      <c r="E79" s="48" t="n"/>
      <c r="F79" s="48" t="n"/>
      <c r="G79" s="49" t="n"/>
      <c r="H79" s="49" t="n"/>
      <c r="I79" s="49" t="n"/>
      <c r="J79" s="47" t="n"/>
    </row>
    <row r="80" ht="18" customHeight="1">
      <c r="A80" s="46" t="n">
        <v>70</v>
      </c>
      <c r="B80" s="50" t="inlineStr">
        <is>
          <t>GLAN-60036/26-1</t>
        </is>
      </c>
      <c r="C80" s="50" t="inlineStr">
        <is>
          <t>Mooring Rope</t>
        </is>
      </c>
      <c r="D80" s="50" t="inlineStr">
        <is>
          <t>Mooring Ropes</t>
        </is>
      </c>
      <c r="E80" s="51" t="inlineStr">
        <is>
          <t>Stores</t>
        </is>
      </c>
      <c r="F80" s="51" t="inlineStr">
        <is>
          <t>Pending Delivery</t>
        </is>
      </c>
      <c r="G80" s="52" t="n"/>
      <c r="H80" s="52" t="n"/>
      <c r="I80" s="52" t="n"/>
      <c r="J80" s="50" t="inlineStr">
        <is>
          <t>Po issued on Xinglun</t>
        </is>
      </c>
    </row>
    <row r="81" ht="18" customHeight="1">
      <c r="A81" s="46" t="n">
        <v>71</v>
      </c>
      <c r="B81" s="47" t="n"/>
      <c r="C81" s="47" t="inlineStr">
        <is>
          <t>UHF Radio</t>
        </is>
      </c>
      <c r="D81" s="47" t="inlineStr">
        <is>
          <t>UHF Radio</t>
        </is>
      </c>
      <c r="E81" s="48" t="n"/>
      <c r="F81" s="48" t="n"/>
      <c r="G81" s="49" t="n"/>
      <c r="H81" s="49" t="n"/>
      <c r="I81" s="49" t="n"/>
      <c r="J81" s="47" t="n"/>
    </row>
    <row r="82" ht="18" customHeight="1">
      <c r="A82" s="46" t="n">
        <v>72</v>
      </c>
      <c r="B82" s="50" t="n"/>
      <c r="C82" s="50" t="inlineStr">
        <is>
          <t xml:space="preserve">Soot </t>
        </is>
      </c>
      <c r="D82" s="50" t="inlineStr">
        <is>
          <t>Shipyard / Miscellaneous</t>
        </is>
      </c>
      <c r="E82" s="51" t="n"/>
      <c r="F82" s="51" t="n"/>
      <c r="G82" s="52" t="n"/>
      <c r="H82" s="52" t="n"/>
      <c r="I82" s="52" t="n"/>
      <c r="J82" s="50" t="n"/>
    </row>
    <row r="83" ht="18" customHeight="1">
      <c r="A83" s="46" t="n">
        <v>73</v>
      </c>
      <c r="B83" s="47" t="n"/>
      <c r="C83" s="47" t="inlineStr">
        <is>
          <t>Garbage Refrigerator</t>
        </is>
      </c>
      <c r="D83" s="47" t="inlineStr">
        <is>
          <t>Shipyard / Miscellaneous</t>
        </is>
      </c>
      <c r="E83" s="48" t="n"/>
      <c r="F83" s="48" t="n"/>
      <c r="G83" s="49" t="n"/>
      <c r="H83" s="49" t="n"/>
      <c r="I83" s="49" t="n"/>
      <c r="J83" s="47" t="n"/>
    </row>
    <row r="84" ht="18" customHeight="1">
      <c r="A84" s="46" t="n">
        <v>74</v>
      </c>
      <c r="B84" s="50" t="inlineStr">
        <is>
          <t>GLAN-60069/26</t>
        </is>
      </c>
      <c r="C84" s="50" t="inlineStr">
        <is>
          <t>DF Tools</t>
        </is>
      </c>
      <c r="D84" s="50" t="inlineStr">
        <is>
          <t>Dual Fuel Tools</t>
        </is>
      </c>
      <c r="E84" s="51" t="inlineStr">
        <is>
          <t>Stores</t>
        </is>
      </c>
      <c r="F84" s="51" t="inlineStr">
        <is>
          <t>Pending Approval</t>
        </is>
      </c>
      <c r="G84" s="52" t="n"/>
      <c r="H84" s="52" t="n"/>
      <c r="I84" s="52" t="n"/>
      <c r="J84" s="50" t="inlineStr">
        <is>
          <t>To be Approved</t>
        </is>
      </c>
    </row>
    <row r="85" ht="18" customHeight="1">
      <c r="A85" s="46" t="n">
        <v>75</v>
      </c>
      <c r="B85" s="47" t="n"/>
      <c r="C85" s="47" t="inlineStr">
        <is>
          <t>UHF Antenna</t>
        </is>
      </c>
      <c r="D85" s="47" t="inlineStr">
        <is>
          <t>UHF Radio</t>
        </is>
      </c>
      <c r="E85" s="48" t="n"/>
      <c r="F85" s="48" t="n"/>
      <c r="G85" s="49" t="n"/>
      <c r="H85" s="49" t="n"/>
      <c r="I85" s="49" t="n"/>
      <c r="J85" s="47" t="n"/>
    </row>
    <row r="86" hidden="1" ht="18" customHeight="1">
      <c r="A86" s="46" t="n">
        <v>76</v>
      </c>
      <c r="B86" s="50" t="inlineStr">
        <is>
          <t>GLAN-60038/26-1</t>
        </is>
      </c>
      <c r="C86" s="50" t="inlineStr">
        <is>
          <t>Pre Delivery - Sample Cooler</t>
        </is>
      </c>
      <c r="D86" s="50" t="inlineStr">
        <is>
          <t>Sample Cooler</t>
        </is>
      </c>
      <c r="E86" s="51" t="inlineStr">
        <is>
          <t>Spares</t>
        </is>
      </c>
      <c r="F86" s="51" t="inlineStr">
        <is>
          <t>Pending Approval</t>
        </is>
      </c>
      <c r="G86" s="52" t="n">
        <v>46101</v>
      </c>
      <c r="H86" s="52" t="n"/>
      <c r="I86" s="52" t="n"/>
      <c r="J86" s="50" t="inlineStr">
        <is>
          <t>Qty 2 Pcs</t>
        </is>
      </c>
    </row>
    <row r="87" ht="18" customHeight="1">
      <c r="A87" s="46" t="n">
        <v>77</v>
      </c>
      <c r="B87" s="47" t="n"/>
      <c r="C87" s="47" t="inlineStr">
        <is>
          <t>Citadel Items</t>
        </is>
      </c>
      <c r="D87" s="47" t="inlineStr">
        <is>
          <t>Citadel VHF/GPS/UHF System</t>
        </is>
      </c>
      <c r="E87" s="48" t="n"/>
      <c r="F87" s="48" t="n"/>
      <c r="G87" s="49" t="n"/>
      <c r="H87" s="49" t="n"/>
      <c r="I87" s="49" t="n"/>
      <c r="J87" s="47" t="n"/>
    </row>
    <row r="88" ht="18" customHeight="1">
      <c r="A88" s="46" t="n">
        <v>78</v>
      </c>
      <c r="B88" s="50" t="n"/>
      <c r="C88" s="50" t="inlineStr">
        <is>
          <t>Stanchions</t>
        </is>
      </c>
      <c r="D88" s="50" t="inlineStr">
        <is>
          <t>Shipyard / Miscellaneous</t>
        </is>
      </c>
      <c r="E88" s="51" t="n"/>
      <c r="F88" s="51" t="n"/>
      <c r="G88" s="52" t="n"/>
      <c r="H88" s="52" t="n"/>
      <c r="I88" s="52" t="n"/>
      <c r="J88" s="50" t="n"/>
    </row>
    <row r="89" ht="18" customHeight="1">
      <c r="A89" s="46" t="n">
        <v>79</v>
      </c>
      <c r="B89" s="47" t="n"/>
      <c r="C89" s="47" t="n"/>
      <c r="D89" s="47" t="n"/>
      <c r="E89" s="48" t="n"/>
      <c r="F89" s="48" t="n"/>
      <c r="G89" s="49" t="n"/>
      <c r="H89" s="49" t="n"/>
      <c r="I89" s="49" t="n"/>
      <c r="J89" s="47" t="n"/>
    </row>
    <row r="90" ht="18" customHeight="1">
      <c r="A90" s="46" t="n">
        <v>80</v>
      </c>
      <c r="B90" s="50" t="n"/>
      <c r="C90" s="50" t="n"/>
      <c r="D90" s="50" t="n"/>
      <c r="E90" s="51" t="n"/>
      <c r="F90" s="51" t="n"/>
      <c r="G90" s="52" t="n"/>
      <c r="H90" s="52" t="n"/>
      <c r="I90" s="52" t="n"/>
      <c r="J90" s="50" t="n"/>
    </row>
    <row r="91" ht="18" customHeight="1">
      <c r="A91" s="46" t="n">
        <v>81</v>
      </c>
      <c r="B91" s="47" t="n"/>
      <c r="C91" s="47" t="n"/>
      <c r="D91" s="47" t="n"/>
      <c r="E91" s="48" t="n"/>
      <c r="F91" s="48" t="n"/>
      <c r="G91" s="49" t="n"/>
      <c r="H91" s="49" t="n"/>
      <c r="I91" s="49" t="n"/>
      <c r="J91" s="47" t="n"/>
    </row>
    <row r="92" ht="18" customHeight="1">
      <c r="A92" s="46" t="n">
        <v>82</v>
      </c>
      <c r="B92" s="50" t="n"/>
      <c r="C92" s="50" t="n"/>
      <c r="D92" s="50" t="n"/>
      <c r="E92" s="51" t="n"/>
      <c r="F92" s="51" t="n"/>
      <c r="G92" s="52" t="n"/>
      <c r="H92" s="52" t="n"/>
      <c r="I92" s="52" t="n"/>
      <c r="J92" s="50" t="n"/>
    </row>
    <row r="93" ht="18" customHeight="1">
      <c r="A93" s="46" t="n">
        <v>83</v>
      </c>
      <c r="B93" s="47" t="n"/>
      <c r="C93" s="47" t="n"/>
      <c r="D93" s="47" t="n"/>
      <c r="E93" s="48" t="n"/>
      <c r="F93" s="48" t="n"/>
      <c r="G93" s="49" t="n"/>
      <c r="H93" s="49" t="n"/>
      <c r="I93" s="49" t="n"/>
      <c r="J93" s="47" t="n"/>
    </row>
    <row r="94" ht="18" customHeight="1">
      <c r="A94" s="46" t="n">
        <v>84</v>
      </c>
      <c r="B94" s="50" t="n"/>
      <c r="C94" s="50" t="n"/>
      <c r="D94" s="50" t="n"/>
      <c r="E94" s="51" t="n"/>
      <c r="F94" s="51" t="n"/>
      <c r="G94" s="52" t="n"/>
      <c r="H94" s="52" t="n"/>
      <c r="I94" s="52" t="n"/>
      <c r="J94" s="50" t="n"/>
    </row>
    <row r="95" ht="18" customHeight="1">
      <c r="A95" s="46" t="n">
        <v>85</v>
      </c>
      <c r="B95" s="47" t="n"/>
      <c r="C95" s="47" t="n"/>
      <c r="D95" s="47" t="n"/>
      <c r="E95" s="48" t="n"/>
      <c r="F95" s="48" t="n"/>
      <c r="G95" s="49" t="n"/>
      <c r="H95" s="49" t="n"/>
      <c r="I95" s="49" t="n"/>
      <c r="J95" s="47" t="n"/>
    </row>
    <row r="96" ht="18" customHeight="1">
      <c r="A96" s="46" t="n">
        <v>86</v>
      </c>
      <c r="B96" s="50" t="n"/>
      <c r="C96" s="50" t="n"/>
      <c r="D96" s="50" t="n"/>
      <c r="E96" s="51" t="n"/>
      <c r="F96" s="51" t="n"/>
      <c r="G96" s="52" t="n"/>
      <c r="H96" s="52" t="n"/>
      <c r="I96" s="52" t="n"/>
      <c r="J96" s="50" t="n"/>
    </row>
    <row r="97" ht="18" customHeight="1">
      <c r="A97" s="46" t="n">
        <v>87</v>
      </c>
      <c r="B97" s="47" t="n"/>
      <c r="C97" s="47" t="n"/>
      <c r="D97" s="47" t="n"/>
      <c r="E97" s="48" t="n"/>
      <c r="F97" s="48" t="n"/>
      <c r="G97" s="49" t="n"/>
      <c r="H97" s="49" t="n"/>
      <c r="I97" s="49" t="n"/>
      <c r="J97" s="47" t="n"/>
    </row>
    <row r="98" ht="18" customHeight="1">
      <c r="A98" s="46" t="n">
        <v>88</v>
      </c>
      <c r="B98" s="50" t="n"/>
      <c r="C98" s="50" t="n"/>
      <c r="D98" s="50" t="n"/>
      <c r="E98" s="51" t="n"/>
      <c r="F98" s="51" t="n"/>
      <c r="G98" s="52" t="n"/>
      <c r="H98" s="52" t="n"/>
      <c r="I98" s="52" t="n"/>
      <c r="J98" s="50" t="n"/>
    </row>
    <row r="99" ht="18" customHeight="1">
      <c r="A99" s="46" t="n">
        <v>89</v>
      </c>
      <c r="B99" s="47" t="n"/>
      <c r="C99" s="47" t="n"/>
      <c r="D99" s="47" t="n"/>
      <c r="E99" s="48" t="n"/>
      <c r="F99" s="48" t="n"/>
      <c r="G99" s="49" t="n"/>
      <c r="H99" s="49" t="n"/>
      <c r="I99" s="49" t="n"/>
      <c r="J99" s="47" t="n"/>
    </row>
    <row r="100" ht="18" customHeight="1">
      <c r="A100" s="46" t="n">
        <v>90</v>
      </c>
      <c r="B100" s="50" t="n"/>
      <c r="C100" s="50" t="n"/>
      <c r="D100" s="50" t="n"/>
      <c r="E100" s="51" t="n"/>
      <c r="F100" s="51" t="n"/>
      <c r="G100" s="52" t="n"/>
      <c r="H100" s="52" t="n"/>
      <c r="I100" s="52" t="n"/>
      <c r="J100" s="50" t="n"/>
    </row>
    <row r="101" ht="18" customHeight="1">
      <c r="A101" s="46" t="n">
        <v>91</v>
      </c>
      <c r="B101" s="47" t="n"/>
      <c r="C101" s="47" t="n"/>
      <c r="D101" s="47" t="n"/>
      <c r="E101" s="48" t="n"/>
      <c r="F101" s="48" t="n"/>
      <c r="G101" s="49" t="n"/>
      <c r="H101" s="49" t="n"/>
      <c r="I101" s="49" t="n"/>
      <c r="J101" s="47" t="n"/>
    </row>
    <row r="102" ht="18" customHeight="1">
      <c r="A102" s="46" t="n">
        <v>92</v>
      </c>
      <c r="B102" s="50" t="n"/>
      <c r="C102" s="50" t="n"/>
      <c r="D102" s="50" t="n"/>
      <c r="E102" s="51" t="n"/>
      <c r="F102" s="51" t="n"/>
      <c r="G102" s="52" t="n"/>
      <c r="H102" s="52" t="n"/>
      <c r="I102" s="52" t="n"/>
      <c r="J102" s="50" t="n"/>
    </row>
    <row r="103" ht="18" customHeight="1">
      <c r="A103" s="46" t="n">
        <v>93</v>
      </c>
      <c r="B103" s="47" t="n"/>
      <c r="C103" s="47" t="n"/>
      <c r="D103" s="47" t="n"/>
      <c r="E103" s="48" t="n"/>
      <c r="F103" s="48" t="n"/>
      <c r="G103" s="49" t="n"/>
      <c r="H103" s="49" t="n"/>
      <c r="I103" s="49" t="n"/>
      <c r="J103" s="47" t="n"/>
    </row>
    <row r="104" ht="18" customHeight="1">
      <c r="A104" s="46" t="n">
        <v>94</v>
      </c>
      <c r="B104" s="50" t="n"/>
      <c r="C104" s="50" t="n"/>
      <c r="D104" s="50" t="n"/>
      <c r="E104" s="51" t="n"/>
      <c r="F104" s="51" t="n"/>
      <c r="G104" s="52" t="n"/>
      <c r="H104" s="52" t="n"/>
      <c r="I104" s="52" t="n"/>
      <c r="J104" s="50" t="n"/>
    </row>
    <row r="105" ht="18" customHeight="1">
      <c r="A105" s="46" t="n">
        <v>95</v>
      </c>
      <c r="B105" s="47" t="n"/>
      <c r="C105" s="47" t="n"/>
      <c r="D105" s="47" t="n"/>
      <c r="E105" s="48" t="n"/>
      <c r="F105" s="48" t="n"/>
      <c r="G105" s="49" t="n"/>
      <c r="H105" s="49" t="n"/>
      <c r="I105" s="49" t="n"/>
      <c r="J105" s="47" t="n"/>
    </row>
    <row r="106" ht="18" customHeight="1">
      <c r="A106" s="46" t="n">
        <v>96</v>
      </c>
      <c r="B106" s="50" t="n"/>
      <c r="C106" s="50" t="n"/>
      <c r="D106" s="50" t="n"/>
      <c r="E106" s="51" t="n"/>
      <c r="F106" s="51" t="n"/>
      <c r="G106" s="52" t="n"/>
      <c r="H106" s="52" t="n"/>
      <c r="I106" s="52" t="n"/>
      <c r="J106" s="50" t="n"/>
    </row>
    <row r="107" ht="18" customHeight="1">
      <c r="A107" s="46" t="n">
        <v>97</v>
      </c>
      <c r="B107" s="47" t="n"/>
      <c r="C107" s="47" t="n"/>
      <c r="D107" s="47" t="n"/>
      <c r="E107" s="48" t="n"/>
      <c r="F107" s="48" t="n"/>
      <c r="G107" s="49" t="n"/>
      <c r="H107" s="49" t="n"/>
      <c r="I107" s="49" t="n"/>
      <c r="J107" s="47" t="n"/>
    </row>
    <row r="108" ht="18" customHeight="1">
      <c r="A108" s="46" t="n">
        <v>98</v>
      </c>
      <c r="B108" s="50" t="n"/>
      <c r="C108" s="50" t="n"/>
      <c r="D108" s="50" t="n"/>
      <c r="E108" s="51" t="n"/>
      <c r="F108" s="51" t="n"/>
      <c r="G108" s="52" t="n"/>
      <c r="H108" s="52" t="n"/>
      <c r="I108" s="52" t="n"/>
      <c r="J108" s="50" t="n"/>
    </row>
    <row r="109" ht="18" customHeight="1">
      <c r="A109" s="46" t="n">
        <v>99</v>
      </c>
      <c r="B109" s="47" t="n"/>
      <c r="C109" s="47" t="n"/>
      <c r="D109" s="47" t="n"/>
      <c r="E109" s="48" t="n"/>
      <c r="F109" s="48" t="n"/>
      <c r="G109" s="49" t="n"/>
      <c r="H109" s="49" t="n"/>
      <c r="I109" s="49" t="n"/>
      <c r="J109" s="47" t="n"/>
    </row>
    <row r="110" ht="18" customHeight="1">
      <c r="A110" s="46" t="n">
        <v>100</v>
      </c>
      <c r="B110" s="50" t="n"/>
      <c r="C110" s="50" t="n"/>
      <c r="D110" s="50" t="n"/>
      <c r="E110" s="51" t="n"/>
      <c r="F110" s="51" t="n"/>
      <c r="G110" s="52" t="n"/>
      <c r="H110" s="52" t="n"/>
      <c r="I110" s="52" t="n"/>
      <c r="J110" s="50" t="n"/>
    </row>
    <row r="111" ht="40.5" customHeight="1">
      <c r="C111" s="42" t="inlineStr">
        <is>
          <t>New Positioning System for Transiting Neopanamax - Buyer Supply</t>
        </is>
      </c>
      <c r="D111" s="54" t="inlineStr">
        <is>
          <t>Navigation - HiNAS SVM</t>
        </is>
      </c>
      <c r="I111" s="133" t="inlineStr">
        <is>
          <t>25th March 2026</t>
        </is>
      </c>
      <c r="J111" s="134" t="inlineStr">
        <is>
          <t xml:space="preserve"> Sahaya to confirm this is ordered</t>
        </is>
      </c>
      <c r="K111" t="inlineStr">
        <is>
          <t>Dummy Po shared</t>
        </is>
      </c>
    </row>
    <row r="112">
      <c r="C112" s="41" t="inlineStr">
        <is>
          <t>Oil Skimmers for engine room</t>
        </is>
      </c>
      <c r="D112" s="55" t="inlineStr">
        <is>
          <t>Oil Skimmers - Abanaki</t>
        </is>
      </c>
      <c r="I112" s="133" t="inlineStr">
        <is>
          <t>25th April 2026</t>
        </is>
      </c>
      <c r="J112" s="134" t="inlineStr">
        <is>
          <t xml:space="preserve">Order place, sahay to folow up on delivery </t>
        </is>
      </c>
      <c r="K112" t="inlineStr">
        <is>
          <t>Po issued on Hermont</t>
        </is>
      </c>
    </row>
    <row r="113" ht="27" customHeight="1">
      <c r="C113" s="41" t="inlineStr">
        <is>
          <t>Garbage compactor in garbage room and engine room</t>
        </is>
      </c>
      <c r="D113" s="55" t="inlineStr">
        <is>
          <t>Garbage Compactor</t>
        </is>
      </c>
      <c r="I113" s="133" t="inlineStr">
        <is>
          <t>25th April 2026</t>
        </is>
      </c>
      <c r="J113" s="134" t="inlineStr">
        <is>
          <t xml:space="preserve">Order place, sahay to folow up on delivery </t>
        </is>
      </c>
      <c r="K113" t="inlineStr">
        <is>
          <t>Delivered on V-Link</t>
        </is>
      </c>
    </row>
    <row r="114" ht="27" customHeight="1">
      <c r="C114" s="36" t="inlineStr">
        <is>
          <t>Cable for electrical power shore connection</t>
        </is>
      </c>
      <c r="D114" s="56" t="inlineStr">
        <is>
          <t>Shipyard / Miscellaneous</t>
        </is>
      </c>
      <c r="I114" s="133" t="inlineStr">
        <is>
          <t>25th April 2026</t>
        </is>
      </c>
      <c r="J114" s="134" t="inlineStr">
        <is>
          <t>Needs specification</t>
        </is>
      </c>
    </row>
    <row r="115" ht="40.5" customHeight="1">
      <c r="C115" s="36" t="inlineStr">
        <is>
          <t>Two (2) receptacles in officer's mess room, crew's mess room for electric wall type fan</t>
        </is>
      </c>
      <c r="D115" s="56" t="inlineStr">
        <is>
          <t>Shipyard / Miscellaneous</t>
        </is>
      </c>
      <c r="I115" s="133" t="inlineStr">
        <is>
          <t>25th March 2026</t>
        </is>
      </c>
      <c r="J115" s="134" t="inlineStr">
        <is>
          <t>Needs specification</t>
        </is>
      </c>
    </row>
    <row r="116" ht="81" customHeight="1">
      <c r="C116" s="36" t="inlineStr">
        <is>
          <t>One (1) receptacle in public space (conference room, gymnasium, galley, crew's recreation room, offcier's recreation room, ship office) for electric wall type fan.</t>
        </is>
      </c>
      <c r="D116" s="56" t="inlineStr">
        <is>
          <t>Shipyard / Miscellaneous</t>
        </is>
      </c>
      <c r="I116" s="133" t="inlineStr">
        <is>
          <t>25th March 2026</t>
        </is>
      </c>
      <c r="J116" s="134" t="inlineStr">
        <is>
          <t>Needs specification</t>
        </is>
      </c>
    </row>
    <row r="117">
      <c r="C117" s="36" t="inlineStr">
        <is>
          <t>Electric Hoist</t>
        </is>
      </c>
      <c r="D117" s="56" t="inlineStr">
        <is>
          <t>Shipyard / Miscellaneous</t>
        </is>
      </c>
      <c r="I117" s="133" t="inlineStr">
        <is>
          <t>25th April 2026</t>
        </is>
      </c>
      <c r="J117" s="134" t="inlineStr">
        <is>
          <t>Needs specification</t>
        </is>
      </c>
    </row>
    <row r="118" ht="27" customHeight="1">
      <c r="C118" s="42" t="inlineStr">
        <is>
          <t>Soot Release Dosing Device- Qty?</t>
        </is>
      </c>
      <c r="D118" s="54" t="inlineStr">
        <is>
          <t>Shipyard / Miscellaneous</t>
        </is>
      </c>
      <c r="I118" s="133" t="inlineStr">
        <is>
          <t>25th March 2026</t>
        </is>
      </c>
      <c r="J118" s="134" t="inlineStr">
        <is>
          <t>Seyi to confirm quantity</t>
        </is>
      </c>
    </row>
    <row r="119" ht="27" customHeight="1">
      <c r="C119" s="42" t="inlineStr">
        <is>
          <t>Garbage refrigerator in dry provision store</t>
        </is>
      </c>
      <c r="D119" s="54" t="inlineStr">
        <is>
          <t>Shipyard / Miscellaneous</t>
        </is>
      </c>
      <c r="I119" s="133" t="inlineStr">
        <is>
          <t>24th March 2026</t>
        </is>
      </c>
      <c r="J119" s="134" t="inlineStr">
        <is>
          <t>Seyi to confirm quantity</t>
        </is>
      </c>
    </row>
    <row r="120">
      <c r="C120" s="43" t="inlineStr">
        <is>
          <t>Captain eye</t>
        </is>
      </c>
      <c r="D120" s="57" t="inlineStr">
        <is>
          <t>Navigation - Captains Eye</t>
        </is>
      </c>
      <c r="I120" s="133" t="inlineStr">
        <is>
          <t>24th March 2026</t>
        </is>
      </c>
      <c r="J120" s="134" t="inlineStr">
        <is>
          <t xml:space="preserve">Order place, sahay to folow up on delivery </t>
        </is>
      </c>
    </row>
    <row r="121">
      <c r="C121" s="43" t="inlineStr">
        <is>
          <t>ORCA-AI</t>
        </is>
      </c>
      <c r="D121" s="57" t="inlineStr">
        <is>
          <t>Shipyard / Miscellaneous</t>
        </is>
      </c>
      <c r="I121" s="133" t="inlineStr">
        <is>
          <t>24th March 2026</t>
        </is>
      </c>
      <c r="J121" s="134" t="inlineStr">
        <is>
          <t xml:space="preserve">Order place, sahay to folow up on delivery </t>
        </is>
      </c>
    </row>
    <row r="122" ht="27" customHeight="1">
      <c r="C122" s="42" t="inlineStr">
        <is>
          <t>Two (2) explosion-proof portable thermal imaging cameras</t>
        </is>
      </c>
      <c r="D122" s="54" t="inlineStr">
        <is>
          <t>Thermal Camera (FLIR)</t>
        </is>
      </c>
      <c r="I122" s="133" t="inlineStr">
        <is>
          <t>24th March 2026</t>
        </is>
      </c>
      <c r="J122" s="134" t="inlineStr">
        <is>
          <t>Sahaya to check FMS and place order</t>
        </is>
      </c>
    </row>
    <row r="123" ht="27" customHeight="1">
      <c r="C123" s="44" t="inlineStr">
        <is>
          <t xml:space="preserve">Smart Docking system (Buyer Supply) - </t>
        </is>
      </c>
      <c r="D123" s="58" t="inlineStr">
        <is>
          <t>Shipyard / Miscellaneous</t>
        </is>
      </c>
      <c r="I123" s="133" t="inlineStr">
        <is>
          <t>24th March 2026</t>
        </is>
      </c>
      <c r="J123" s="134" t="inlineStr">
        <is>
          <t>Avikus to delay email already sent'</t>
        </is>
      </c>
    </row>
    <row r="124" ht="27" customHeight="1">
      <c r="C124" s="133" t="inlineStr">
        <is>
          <t>HiNAS SVM (Surround View Monitoring)</t>
        </is>
      </c>
      <c r="D124" s="59" t="inlineStr">
        <is>
          <t>Navigation - HiNAS SVM</t>
        </is>
      </c>
      <c r="I124" s="148" t="n"/>
      <c r="J124" s="148" t="n"/>
    </row>
    <row r="125" ht="40.5" customHeight="1">
      <c r="C125" s="36" t="inlineStr">
        <is>
          <t>Two (2) receptacles in officer's mess room, crew's mess room for electric wall type fan</t>
        </is>
      </c>
      <c r="D125" s="56" t="inlineStr">
        <is>
          <t>Shipyard / Miscellaneous</t>
        </is>
      </c>
      <c r="I125" s="133" t="inlineStr">
        <is>
          <t>25th March 2026</t>
        </is>
      </c>
      <c r="J125" s="134" t="inlineStr">
        <is>
          <t>we need specification</t>
        </is>
      </c>
    </row>
    <row r="126" ht="81" customHeight="1">
      <c r="C126" s="36" t="inlineStr">
        <is>
          <t>One (1) receptacle in public space (conference room, gymnasium, galley, crew's recreation room, offcier's recreation room, ship office) for electric wall type fan.</t>
        </is>
      </c>
      <c r="D126" s="56" t="inlineStr">
        <is>
          <t>Shipyard / Miscellaneous</t>
        </is>
      </c>
      <c r="I126" s="133" t="inlineStr">
        <is>
          <t>25th March 2026</t>
        </is>
      </c>
      <c r="J126" s="134" t="inlineStr">
        <is>
          <t>we need specification</t>
        </is>
      </c>
    </row>
    <row r="127">
      <c r="C127" s="42" t="inlineStr">
        <is>
          <t>Sampling Cooler- Qty?</t>
        </is>
      </c>
      <c r="D127" s="54" t="inlineStr">
        <is>
          <t>Sample Cooler</t>
        </is>
      </c>
      <c r="I127" s="133" t="inlineStr">
        <is>
          <t>25th March 2026</t>
        </is>
      </c>
      <c r="J127" s="134" t="inlineStr">
        <is>
          <t>We need quantity</t>
        </is>
      </c>
    </row>
    <row r="128" ht="15.75" customHeight="1">
      <c r="C128" s="36" t="inlineStr">
        <is>
          <t>UHF radios</t>
        </is>
      </c>
      <c r="D128" s="56" t="inlineStr">
        <is>
          <t>UHF Radio</t>
        </is>
      </c>
      <c r="I128" s="38" t="n"/>
      <c r="J128" s="134" t="inlineStr">
        <is>
          <t>Specifications needed from Seyi</t>
        </is>
      </c>
    </row>
    <row r="129" ht="15.75" customHeight="1">
      <c r="C129" s="36" t="inlineStr">
        <is>
          <t>BA compressor</t>
        </is>
      </c>
      <c r="D129" s="56" t="inlineStr">
        <is>
          <t>IMPA Stores - BA Compressor</t>
        </is>
      </c>
      <c r="I129" s="38" t="n"/>
      <c r="J129" s="134" t="inlineStr">
        <is>
          <t>GSI/SWS please check voltage specifications</t>
        </is>
      </c>
    </row>
    <row r="130" ht="15.75" customHeight="1">
      <c r="C130" s="36" t="inlineStr">
        <is>
          <t>QC DC Supply</t>
        </is>
      </c>
      <c r="D130" s="56" t="inlineStr">
        <is>
          <t>QCDC</t>
        </is>
      </c>
      <c r="I130" s="38" t="n"/>
      <c r="J130" s="134" t="inlineStr">
        <is>
          <t>Sahaya to issue PO at the earliest</t>
        </is>
      </c>
    </row>
    <row r="131" ht="15.75" customHeight="1">
      <c r="C131" s="36" t="inlineStr">
        <is>
          <t xml:space="preserve">Ozone sterilizer </t>
        </is>
      </c>
      <c r="D131" s="56" t="inlineStr">
        <is>
          <t>Shipyard / Miscellaneous</t>
        </is>
      </c>
      <c r="I131" s="38" t="n"/>
      <c r="J131" s="134" t="inlineStr">
        <is>
          <t>Seyi to confirm quantity</t>
        </is>
      </c>
    </row>
    <row r="132" ht="15.75" customHeight="1">
      <c r="C132" s="36" t="inlineStr">
        <is>
          <t xml:space="preserve">Suez Light </t>
        </is>
      </c>
      <c r="D132" s="56" t="inlineStr">
        <is>
          <t>Shipyard / Miscellaneous</t>
        </is>
      </c>
      <c r="I132" s="38" t="n"/>
      <c r="J132" s="63" t="inlineStr">
        <is>
          <t xml:space="preserve">Latest info from Haixing for Suez Canal light for GSI is that it will be supplied free of cost to buyer. </t>
        </is>
      </c>
      <c r="K132" t="inlineStr">
        <is>
          <t>Email recd from Seyi 10-Mar-26</t>
        </is>
      </c>
    </row>
    <row r="133">
      <c r="C133" s="36" t="inlineStr">
        <is>
          <t>Glycol</t>
        </is>
      </c>
      <c r="D133" s="56" t="inlineStr">
        <is>
          <t>Lubricants</t>
        </is>
      </c>
      <c r="I133" s="134" t="n"/>
      <c r="J133" s="134" t="inlineStr">
        <is>
          <t>Specifications needed from Seyi</t>
        </is>
      </c>
    </row>
    <row r="134">
      <c r="C134" s="36" t="inlineStr">
        <is>
          <t xml:space="preserve">lube oil for Sailing quantity </t>
        </is>
      </c>
      <c r="D134" s="56" t="inlineStr">
        <is>
          <t>Lubricants</t>
        </is>
      </c>
      <c r="I134" s="134" t="n"/>
      <c r="J134" s="134" t="inlineStr">
        <is>
          <t>Waiting for ocnfirmation, minimum quantity</t>
        </is>
      </c>
    </row>
    <row r="135">
      <c r="C135" s="134" t="inlineStr">
        <is>
          <t>Oxygen fastening rack and strap</t>
        </is>
      </c>
      <c r="D135" s="60" t="inlineStr">
        <is>
          <t>Shipyard / Miscellaneous</t>
        </is>
      </c>
      <c r="I135" s="134" t="n"/>
      <c r="J135" s="134" t="inlineStr">
        <is>
          <t xml:space="preserve">seyi to confirm </t>
        </is>
      </c>
    </row>
    <row r="136">
      <c r="C136" s="134" t="inlineStr">
        <is>
          <t>Stancions</t>
        </is>
      </c>
      <c r="D136" s="60" t="inlineStr">
        <is>
          <t>Shipyard / Miscellaneous</t>
        </is>
      </c>
      <c r="I136" s="134" t="n"/>
      <c r="J136" s="134" t="inlineStr">
        <is>
          <t>Seyi to check qty</t>
        </is>
      </c>
    </row>
    <row r="137">
      <c r="C137" s="134" t="inlineStr">
        <is>
          <t xml:space="preserve">Manual chain blocks </t>
        </is>
      </c>
      <c r="D137" s="60" t="inlineStr">
        <is>
          <t>Shipyard / Miscellaneous</t>
        </is>
      </c>
      <c r="I137" s="134" t="n"/>
      <c r="J137" s="134" t="inlineStr">
        <is>
          <t>QTY REQUIRED</t>
        </is>
      </c>
    </row>
    <row r="138" ht="15.75" customHeight="1">
      <c r="B138" t="inlineStr">
        <is>
          <t>GLAN-60074/26</t>
        </is>
      </c>
      <c r="C138" s="38" t="inlineStr">
        <is>
          <t>Gas meters</t>
        </is>
      </c>
      <c r="D138" s="45" t="inlineStr">
        <is>
          <t>Gas Meters</t>
        </is>
      </c>
      <c r="I138" s="134" t="n"/>
      <c r="J138" s="134" t="n"/>
    </row>
    <row r="139" ht="27" customHeight="1">
      <c r="C139" s="37" t="inlineStr">
        <is>
          <t>Welding machine in Workshop 440 v</t>
        </is>
      </c>
      <c r="D139" s="60" t="inlineStr">
        <is>
          <t>Welding Equipment</t>
        </is>
      </c>
      <c r="I139" s="45" t="n"/>
      <c r="J139" s="37" t="inlineStr">
        <is>
          <t>Seyi to check if yard is supplying</t>
        </is>
      </c>
    </row>
  </sheetData>
  <autoFilter ref="A10:M139">
    <filterColumn colId="4" hiddenButton="0" showButton="1">
      <filters blank="1">
        <filter val="Lube Oil"/>
        <filter val="Others"/>
        <filter val="Stores"/>
      </filters>
    </filterColumn>
  </autoFilter>
  <mergeCells count="12">
    <mergeCell ref="A4:B4"/>
    <mergeCell ref="I123:I124"/>
    <mergeCell ref="J123:J124"/>
    <mergeCell ref="A2:B2"/>
    <mergeCell ref="A1:M1"/>
    <mergeCell ref="C3:F3"/>
    <mergeCell ref="G3:M3"/>
    <mergeCell ref="G2:M2"/>
    <mergeCell ref="C2:F2"/>
    <mergeCell ref="A3:B3"/>
    <mergeCell ref="E4:M4"/>
    <mergeCell ref="A9:K9"/>
  </mergeCells>
  <dataValidations count="2">
    <dataValidation sqref="E11:E110" showDropDown="0" showInputMessage="0" showErrorMessage="0" allowBlank="1" type="list">
      <formula1>"Spares,Stores,Lube Oil,Chemicals,Lashing Gear,Others"</formula1>
      <formula2>0</formula2>
    </dataValidation>
    <dataValidation sqref="F11:F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zoomScale="70" zoomScaleNormal="70" workbookViewId="0">
      <pane ySplit="10" topLeftCell="A11" activePane="bottomLeft" state="frozen"/>
      <selection pane="bottomLeft" activeCell="C27" sqref="C27"/>
    </sheetView>
  </sheetViews>
  <sheetFormatPr baseColWidth="8" defaultColWidth="8.5703125" defaultRowHeight="15"/>
  <cols>
    <col width="5" customWidth="1" min="1" max="1"/>
    <col width="24.5703125" bestFit="1" customWidth="1" min="2" max="2"/>
    <col width="58.7109375" bestFit="1" customWidth="1" min="3" max="3"/>
    <col width="29.28515625" customWidth="1" min="4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  <c r="I10" t="inlineStr">
        <is>
          <t>PO Name Standardized</t>
        </is>
      </c>
    </row>
    <row r="11" ht="18" customHeight="1">
      <c r="A11" s="31" t="n">
        <v>1</v>
      </c>
      <c r="B11" s="10" t="inlineStr">
        <is>
          <t>GLUM-60015/26-1</t>
        </is>
      </c>
      <c r="C11" s="10" t="inlineStr">
        <is>
          <t>PD - RSC Envirologic</t>
        </is>
      </c>
      <c r="D11" s="11" t="n"/>
      <c r="E11" s="11" t="inlineStr">
        <is>
          <t>PO Created</t>
        </is>
      </c>
      <c r="F11" s="32" t="n"/>
      <c r="G11" s="32" t="n"/>
      <c r="H11" s="10" t="n"/>
      <c r="I11" t="inlineStr">
        <is>
          <t>Lubricants</t>
        </is>
      </c>
    </row>
    <row r="12" ht="18" customHeight="1">
      <c r="A12" s="31" t="n">
        <v>2</v>
      </c>
      <c r="B12" s="33" t="inlineStr">
        <is>
          <t>GLUM-60003/26-1</t>
        </is>
      </c>
      <c r="C12" s="33" t="inlineStr">
        <is>
          <t>FS-ITBP  -luminous</t>
        </is>
      </c>
      <c r="D12" s="34" t="n"/>
      <c r="E12" s="34" t="inlineStr">
        <is>
          <t>Pending Delivery</t>
        </is>
      </c>
      <c r="F12" s="35" t="n">
        <v>46055</v>
      </c>
      <c r="G12" s="35" t="n"/>
      <c r="H12" s="33" t="n"/>
      <c r="I12" t="inlineStr">
        <is>
          <t>IT Equipment - ITBP</t>
        </is>
      </c>
    </row>
    <row r="13" ht="18" customHeight="1">
      <c r="A13" s="31" t="n">
        <v>3</v>
      </c>
      <c r="B13" s="10" t="inlineStr">
        <is>
          <t>GLUM-MVSP-60002/26-1</t>
        </is>
      </c>
      <c r="C13" s="10" t="inlineStr">
        <is>
          <t>FS-X10-SILVERPEAK</t>
        </is>
      </c>
      <c r="D13" s="11" t="n"/>
      <c r="E13" s="11" t="inlineStr">
        <is>
          <t>Pending Supplier Confirmation</t>
        </is>
      </c>
      <c r="F13" s="32" t="n">
        <v>46101</v>
      </c>
      <c r="G13" s="32" t="n"/>
      <c r="H13" s="10" t="n"/>
      <c r="I13" t="inlineStr">
        <is>
          <t>IT Equipment - X10 System</t>
        </is>
      </c>
    </row>
    <row r="14" ht="18" customHeight="1">
      <c r="A14" s="31" t="n">
        <v>4</v>
      </c>
      <c r="B14" s="33" t="inlineStr">
        <is>
          <t>GLUM-60024/26-1</t>
        </is>
      </c>
      <c r="C14" s="33" t="inlineStr">
        <is>
          <t>Service: LNG OPERATION MANUAL Development</t>
        </is>
      </c>
      <c r="D14" s="34" t="n"/>
      <c r="E14" s="34" t="inlineStr">
        <is>
          <t>PO Created</t>
        </is>
      </c>
      <c r="F14" s="35" t="n"/>
      <c r="G14" s="35" t="n"/>
      <c r="H14" s="33" t="n"/>
      <c r="I14" t="inlineStr">
        <is>
          <t>LNG Operation Manual</t>
        </is>
      </c>
    </row>
    <row r="15" ht="18" customHeight="1">
      <c r="A15" s="31" t="n">
        <v>5</v>
      </c>
      <c r="B15" s="10" t="inlineStr">
        <is>
          <t>GLUM-60006/26-1</t>
        </is>
      </c>
      <c r="C15" s="10" t="inlineStr">
        <is>
          <t>Shipyard Extra Buyers Supply - Tripods and Spray Pipes</t>
        </is>
      </c>
      <c r="D15" s="11" t="n"/>
      <c r="E15" s="11" t="inlineStr">
        <is>
          <t>Pending Delivery</t>
        </is>
      </c>
      <c r="F15" s="32" t="n">
        <v>46091</v>
      </c>
      <c r="G15" s="32" t="n"/>
      <c r="H15" s="10" t="n"/>
      <c r="I15" t="inlineStr">
        <is>
          <t>Tripods &amp; Spray Pipes</t>
        </is>
      </c>
    </row>
    <row r="16" ht="18" customHeight="1">
      <c r="A16" s="31" t="n">
        <v>6</v>
      </c>
      <c r="B16" s="33" t="inlineStr">
        <is>
          <t>GLUM-60019/26-1</t>
        </is>
      </c>
      <c r="C16" s="33" t="inlineStr">
        <is>
          <t>Shipyard Extra (buyer Supply) - QCDC -GSI</t>
        </is>
      </c>
      <c r="D16" s="34" t="n"/>
      <c r="E16" s="34" t="inlineStr">
        <is>
          <t>Pending Supplier Confirmation</t>
        </is>
      </c>
      <c r="F16" s="35" t="n">
        <v>46101</v>
      </c>
      <c r="G16" s="35" t="n"/>
      <c r="H16" s="33" t="n"/>
      <c r="I16" t="inlineStr">
        <is>
          <t>QCDC</t>
        </is>
      </c>
    </row>
    <row r="17" ht="18" customHeight="1">
      <c r="A17" s="31" t="n">
        <v>7</v>
      </c>
      <c r="B17" s="10" t="inlineStr">
        <is>
          <t>GLUM-60016/26-1</t>
        </is>
      </c>
      <c r="C17" s="10" t="inlineStr">
        <is>
          <t>Reliabiltiy Spares - Gas Detection System</t>
        </is>
      </c>
      <c r="D17" s="11" t="n"/>
      <c r="E17" s="11" t="inlineStr">
        <is>
          <t>Pending Delivery</t>
        </is>
      </c>
      <c r="F17" s="32" t="n">
        <v>46087</v>
      </c>
      <c r="G17" s="32" t="n"/>
      <c r="H17" s="10" t="n"/>
      <c r="I17" t="inlineStr">
        <is>
          <t>Gas Detection System</t>
        </is>
      </c>
    </row>
    <row r="18" ht="18" customHeight="1">
      <c r="A18" s="31" t="n">
        <v>8</v>
      </c>
      <c r="B18" s="33" t="inlineStr">
        <is>
          <t>GLUM-60008/26-1</t>
        </is>
      </c>
      <c r="C18" s="33" t="inlineStr">
        <is>
          <t>Shipyard Extra Buyers Supply - Hinas SVM SEASPAN 10.8K PCTC</t>
        </is>
      </c>
      <c r="D18" s="34" t="n"/>
      <c r="E18" s="34" t="inlineStr">
        <is>
          <t>Pending Supplier Confirmation</t>
        </is>
      </c>
      <c r="F18" s="35" t="n">
        <v>46070</v>
      </c>
      <c r="G18" s="35" t="n"/>
      <c r="H18" s="33" t="n"/>
      <c r="I18" t="inlineStr">
        <is>
          <t>Navigation - HiNAS SVM</t>
        </is>
      </c>
    </row>
    <row r="19" ht="18" customHeight="1">
      <c r="A19" s="31" t="n">
        <v>9</v>
      </c>
      <c r="B19" s="10" t="inlineStr">
        <is>
          <t>GLUM-60010/26-1</t>
        </is>
      </c>
      <c r="C19" s="10" t="inlineStr">
        <is>
          <t>FS-ITBP Additional Item</t>
        </is>
      </c>
      <c r="D19" s="11" t="n"/>
      <c r="E19" s="11" t="inlineStr">
        <is>
          <t>Pending Delivery</t>
        </is>
      </c>
      <c r="F19" s="32" t="n">
        <v>46072</v>
      </c>
      <c r="G19" s="32" t="n"/>
      <c r="H19" s="10" t="n"/>
      <c r="I19" t="inlineStr">
        <is>
          <t>IT Equipment - ITBP Additional Items</t>
        </is>
      </c>
    </row>
    <row r="20" ht="18" customHeight="1">
      <c r="A20" s="31" t="n">
        <v>10</v>
      </c>
      <c r="B20" s="33" t="inlineStr">
        <is>
          <t>GLUM-60023/26-1</t>
        </is>
      </c>
      <c r="C20" s="33" t="inlineStr">
        <is>
          <t>Pre Delivery - FLIR Camera</t>
        </is>
      </c>
      <c r="D20" s="34" t="n"/>
      <c r="E20" s="34" t="inlineStr">
        <is>
          <t>Pending Delivery</t>
        </is>
      </c>
      <c r="F20" s="35" t="n">
        <v>46099</v>
      </c>
      <c r="G20" s="35" t="n"/>
      <c r="H20" s="33" t="n"/>
      <c r="I20" t="inlineStr">
        <is>
          <t>Thermal Camera (FLIR)</t>
        </is>
      </c>
    </row>
    <row r="21" ht="18" customHeight="1">
      <c r="A21" s="31" t="n">
        <v>11</v>
      </c>
      <c r="B21" s="10" t="inlineStr">
        <is>
          <t>GLUM-60001/26-1</t>
        </is>
      </c>
      <c r="C21" s="10" t="inlineStr">
        <is>
          <t>Shipyard Extra Owner supply - Captains Eye</t>
        </is>
      </c>
      <c r="D21" s="11" t="n"/>
      <c r="E21" s="11" t="inlineStr">
        <is>
          <t>Pending Delivery</t>
        </is>
      </c>
      <c r="F21" s="32" t="n">
        <v>46037</v>
      </c>
      <c r="G21" s="32" t="n"/>
      <c r="H21" s="10" t="n"/>
      <c r="I21" t="inlineStr">
        <is>
          <t>Navigation - Captains Eye</t>
        </is>
      </c>
    </row>
    <row r="22" ht="18" customHeight="1">
      <c r="A22" s="31" t="n">
        <v>12</v>
      </c>
      <c r="B22" s="33" t="inlineStr">
        <is>
          <t>GLUM-60017/26-1</t>
        </is>
      </c>
      <c r="C22" s="33" t="inlineStr">
        <is>
          <t>Reliability Spares - Fire detection system</t>
        </is>
      </c>
      <c r="D22" s="34" t="n"/>
      <c r="E22" s="34" t="inlineStr">
        <is>
          <t>Pending Delivery</t>
        </is>
      </c>
      <c r="F22" s="35" t="n">
        <v>46087</v>
      </c>
      <c r="G22" s="35" t="n"/>
      <c r="H22" s="33" t="n"/>
      <c r="I22" t="inlineStr">
        <is>
          <t>Fire Detection System</t>
        </is>
      </c>
    </row>
    <row r="23" ht="18" customHeight="1">
      <c r="A23" s="31" t="n">
        <v>13</v>
      </c>
      <c r="B23" s="10" t="inlineStr">
        <is>
          <t>GLUM-60002/26-1</t>
        </is>
      </c>
      <c r="C23" s="10" t="inlineStr">
        <is>
          <t>FS-KVH-GSI</t>
        </is>
      </c>
      <c r="D23" s="11" t="n"/>
      <c r="E23" s="11" t="inlineStr">
        <is>
          <t>Pending Delivery</t>
        </is>
      </c>
      <c r="F23" s="32" t="n">
        <v>46048</v>
      </c>
      <c r="G23" s="32" t="n"/>
      <c r="H23" s="10" t="n"/>
      <c r="I23" t="inlineStr">
        <is>
          <t>Communications - VSAT (KVH)</t>
        </is>
      </c>
    </row>
    <row r="24" ht="18" customHeight="1">
      <c r="A24" s="31" t="n">
        <v>14</v>
      </c>
      <c r="B24" s="33" t="inlineStr">
        <is>
          <t>GLUM-60022/26-1</t>
        </is>
      </c>
      <c r="C24" s="33" t="inlineStr">
        <is>
          <t>Pre Delivery - Sample Cooler</t>
        </is>
      </c>
      <c r="D24" s="34" t="n"/>
      <c r="E24" s="34" t="inlineStr">
        <is>
          <t>Pending Supplier Confirmation</t>
        </is>
      </c>
      <c r="F24" s="35" t="n">
        <v>46101</v>
      </c>
      <c r="G24" s="35" t="n"/>
      <c r="H24" s="33" t="n"/>
      <c r="I24" t="inlineStr">
        <is>
          <t>Sample Cooler</t>
        </is>
      </c>
    </row>
    <row r="25" ht="18" customHeight="1">
      <c r="A25" s="31" t="n">
        <v>15</v>
      </c>
      <c r="B25" s="10" t="inlineStr">
        <is>
          <t>GLUM-60009/26-1</t>
        </is>
      </c>
      <c r="C25" s="10" t="inlineStr">
        <is>
          <t>FS-ITBP CABLES</t>
        </is>
      </c>
      <c r="D25" s="11" t="n"/>
      <c r="E25" s="11" t="inlineStr">
        <is>
          <t>Pending Supplier Confirmation</t>
        </is>
      </c>
      <c r="F25" s="32" t="n">
        <v>46071</v>
      </c>
      <c r="G25" s="32" t="n"/>
      <c r="H25" s="10" t="n"/>
      <c r="I25" t="inlineStr">
        <is>
          <t>IT Equipment - ITBP Cables</t>
        </is>
      </c>
    </row>
    <row r="26" ht="18" customHeight="1">
      <c r="A26" s="31" t="n">
        <v>16</v>
      </c>
      <c r="B26" s="33" t="inlineStr">
        <is>
          <t>GLUM-60007/26-1</t>
        </is>
      </c>
      <c r="C26" s="33" t="inlineStr">
        <is>
          <t>FS-LENOVO-Luminous</t>
        </is>
      </c>
      <c r="D26" s="34" t="n"/>
      <c r="E26" s="34" t="inlineStr">
        <is>
          <t>Pending Delivery</t>
        </is>
      </c>
      <c r="F26" s="35" t="n">
        <v>46066</v>
      </c>
      <c r="G26" s="35" t="n"/>
      <c r="H26" s="33" t="n"/>
      <c r="I26" t="inlineStr">
        <is>
          <t>IT Equipment - Computers (Lenovo)</t>
        </is>
      </c>
    </row>
    <row r="27" ht="18" customHeight="1">
      <c r="A27" s="31" t="n">
        <v>17</v>
      </c>
      <c r="B27" s="10" t="inlineStr">
        <is>
          <t>GLUM-60012/26-1</t>
        </is>
      </c>
      <c r="C27" s="10" t="inlineStr">
        <is>
          <t>FS-ITBP MISC LAB KIT</t>
        </is>
      </c>
      <c r="D27" s="11" t="n"/>
      <c r="E27" s="11" t="inlineStr">
        <is>
          <t>Pending Delivery</t>
        </is>
      </c>
      <c r="F27" s="32" t="n">
        <v>46079</v>
      </c>
      <c r="G27" s="32" t="n"/>
      <c r="H27" s="10" t="n"/>
      <c r="I27" t="inlineStr">
        <is>
          <t>IT Equipment - ITBP Lab Kit</t>
        </is>
      </c>
    </row>
    <row r="28" ht="18" customHeight="1">
      <c r="A28" s="31" t="n">
        <v>18</v>
      </c>
      <c r="B28" s="33" t="inlineStr">
        <is>
          <t>GLUM-60020/26-1</t>
        </is>
      </c>
      <c r="C28" s="33" t="inlineStr">
        <is>
          <t>Pre Delivery - Cryogenic PPE</t>
        </is>
      </c>
      <c r="D28" s="34" t="n"/>
      <c r="E28" s="34" t="inlineStr">
        <is>
          <t>Pending Supplier Confirmation</t>
        </is>
      </c>
      <c r="F28" s="35" t="n">
        <v>46098</v>
      </c>
      <c r="G28" s="35" t="n"/>
      <c r="H28" s="33" t="n"/>
      <c r="I28" t="inlineStr">
        <is>
          <t>Cryogenic PPE</t>
        </is>
      </c>
    </row>
    <row r="29" ht="18" customHeight="1">
      <c r="A29" s="31" t="n">
        <v>19</v>
      </c>
      <c r="B29" s="10" t="inlineStr">
        <is>
          <t>GLUM-60018/26-1</t>
        </is>
      </c>
      <c r="C29" s="10" t="inlineStr">
        <is>
          <t>Pre Delivery - LNG Bunkering Equipment</t>
        </is>
      </c>
      <c r="D29" s="11" t="n"/>
      <c r="E29" s="11" t="inlineStr">
        <is>
          <t>Pending Supplier Confirmation</t>
        </is>
      </c>
      <c r="F29" s="32" t="n">
        <v>46100</v>
      </c>
      <c r="G29" s="32" t="n"/>
      <c r="H29" s="10" t="n"/>
      <c r="I29" t="inlineStr">
        <is>
          <t>LNG Bunkering Equipment</t>
        </is>
      </c>
    </row>
    <row r="30" ht="18" customHeight="1">
      <c r="A30" s="31" t="n">
        <v>20</v>
      </c>
      <c r="B30" s="33" t="inlineStr">
        <is>
          <t>GLUM-60021/26-1</t>
        </is>
      </c>
      <c r="C30" s="33" t="inlineStr">
        <is>
          <t>Pre Delivery - Seatab</t>
        </is>
      </c>
      <c r="D30" s="34" t="n"/>
      <c r="E30" s="34" t="inlineStr">
        <is>
          <t>Pending Supplier Confirmation</t>
        </is>
      </c>
      <c r="F30" s="35" t="n">
        <v>46099</v>
      </c>
      <c r="G30" s="35" t="n"/>
      <c r="H30" s="33" t="n"/>
      <c r="I30" t="inlineStr">
        <is>
          <t>Seatab</t>
        </is>
      </c>
    </row>
    <row r="31" ht="18" customHeight="1">
      <c r="A31" s="31" t="n">
        <v>21</v>
      </c>
      <c r="B31" s="10" t="inlineStr">
        <is>
          <t>GLUM-60004/26-1</t>
        </is>
      </c>
      <c r="C31" s="10" t="inlineStr">
        <is>
          <t>Pre Delivery - Garbage Compactor</t>
        </is>
      </c>
      <c r="D31" s="11" t="n"/>
      <c r="E31" s="11" t="inlineStr">
        <is>
          <t>Pending Delivery</t>
        </is>
      </c>
      <c r="F31" s="32" t="n">
        <v>46059</v>
      </c>
      <c r="G31" s="32" t="n"/>
      <c r="H31" s="10" t="n"/>
      <c r="I31" t="inlineStr">
        <is>
          <t>Garbage Compactor</t>
        </is>
      </c>
    </row>
    <row r="32" ht="18" customHeight="1">
      <c r="A32" s="31" t="n">
        <v>22</v>
      </c>
      <c r="B32" s="33" t="inlineStr">
        <is>
          <t>GLUM-60005/26-1</t>
        </is>
      </c>
      <c r="C32" s="33" t="inlineStr">
        <is>
          <t>SHIPYARD EXTRA ONWER SUPPLY - Abanaki Skimmers</t>
        </is>
      </c>
      <c r="D32" s="34" t="n"/>
      <c r="E32" s="34" t="inlineStr">
        <is>
          <t>Pending Supplier Confirmation</t>
        </is>
      </c>
      <c r="F32" s="35" t="n">
        <v>46065</v>
      </c>
      <c r="G32" s="35" t="n"/>
      <c r="H32" s="33" t="n"/>
      <c r="I32" t="inlineStr">
        <is>
          <t>Oil Skimmers - Abanaki</t>
        </is>
      </c>
    </row>
    <row r="33" ht="18" customHeight="1">
      <c r="A33" s="31" t="n">
        <v>23</v>
      </c>
      <c r="B33" s="10" t="inlineStr">
        <is>
          <t>GLUM-60014/26</t>
        </is>
      </c>
      <c r="C33" s="10" t="inlineStr">
        <is>
          <t>Reliability Spares - PCTC-Seaspan - Boilers QUOT26012103</t>
        </is>
      </c>
      <c r="D33" s="11" t="n"/>
      <c r="E33" s="11" t="inlineStr">
        <is>
          <t>Pending Approval</t>
        </is>
      </c>
      <c r="F33" s="32" t="n">
        <v>46078</v>
      </c>
      <c r="G33" s="32" t="n"/>
      <c r="H33" s="10" t="inlineStr">
        <is>
          <t>To be Approved</t>
        </is>
      </c>
      <c r="I33" t="inlineStr">
        <is>
          <t>Boiler Spares</t>
        </is>
      </c>
    </row>
    <row r="34" ht="18" customHeight="1">
      <c r="A34" s="31" t="n">
        <v>24</v>
      </c>
      <c r="B34" s="33" t="inlineStr">
        <is>
          <t>GLUM-60025/26</t>
        </is>
      </c>
      <c r="C34" s="33" t="inlineStr">
        <is>
          <t>Ultrasonic Cleaner</t>
        </is>
      </c>
      <c r="D34" s="34" t="inlineStr">
        <is>
          <t>Stores</t>
        </is>
      </c>
      <c r="E34" s="34" t="inlineStr">
        <is>
          <t>Pending Approval</t>
        </is>
      </c>
      <c r="F34" s="35" t="n"/>
      <c r="G34" s="35" t="n"/>
      <c r="H34" s="33" t="inlineStr">
        <is>
          <t>To be Approved</t>
        </is>
      </c>
      <c r="I34" t="inlineStr">
        <is>
          <t>Ultrasonic Cleaner</t>
        </is>
      </c>
    </row>
    <row r="35" ht="18" customHeight="1">
      <c r="A35" s="31" t="n">
        <v>25</v>
      </c>
      <c r="B35" s="10" t="inlineStr">
        <is>
          <t>GLUM-60026/26</t>
        </is>
      </c>
      <c r="C35" s="47" t="inlineStr">
        <is>
          <t>OPA 90 KIT - 12-barrel kit</t>
        </is>
      </c>
      <c r="D35" s="11" t="inlineStr">
        <is>
          <t>Stores</t>
        </is>
      </c>
      <c r="E35" s="11" t="inlineStr">
        <is>
          <t>Pending Approval</t>
        </is>
      </c>
      <c r="F35" s="32" t="n"/>
      <c r="G35" s="32" t="n"/>
      <c r="H35" s="10" t="inlineStr">
        <is>
          <t>To be Approved</t>
        </is>
      </c>
      <c r="I35" t="inlineStr">
        <is>
          <t>OPA 90 Kit</t>
        </is>
      </c>
    </row>
    <row r="36" ht="18" customHeight="1">
      <c r="A36" s="31" t="n">
        <v>26</v>
      </c>
      <c r="B36" s="33" t="inlineStr">
        <is>
          <t>GLUM-60027/26</t>
        </is>
      </c>
      <c r="C36" s="50" t="inlineStr">
        <is>
          <t>H.P machine - 2pcs (prefer Branded - Karcher/ KEW)</t>
        </is>
      </c>
      <c r="D36" s="34" t="inlineStr">
        <is>
          <t>Stores</t>
        </is>
      </c>
      <c r="E36" s="34" t="inlineStr">
        <is>
          <t>Pending Approval</t>
        </is>
      </c>
      <c r="F36" s="35" t="n"/>
      <c r="G36" s="35" t="n"/>
      <c r="H36" s="33" t="inlineStr">
        <is>
          <t>To be Approved</t>
        </is>
      </c>
      <c r="I36" t="inlineStr">
        <is>
          <t>High Pressure Washer</t>
        </is>
      </c>
    </row>
    <row r="37" ht="18" customHeight="1">
      <c r="A37" s="31" t="n">
        <v>27</v>
      </c>
      <c r="B37" s="10" t="inlineStr">
        <is>
          <t>GLUM-60028/26</t>
        </is>
      </c>
      <c r="C37" s="47" t="inlineStr">
        <is>
          <t>Steam Splash Suit</t>
        </is>
      </c>
      <c r="D37" s="11" t="inlineStr">
        <is>
          <t>Stores</t>
        </is>
      </c>
      <c r="E37" s="11" t="inlineStr">
        <is>
          <t>Pending Approval</t>
        </is>
      </c>
      <c r="F37" s="32" t="n"/>
      <c r="G37" s="32" t="n"/>
      <c r="H37" s="10" t="inlineStr">
        <is>
          <t>To be Approved</t>
        </is>
      </c>
      <c r="I37" t="inlineStr">
        <is>
          <t>Steam Splash Suit</t>
        </is>
      </c>
    </row>
    <row r="38" ht="18" customHeight="1">
      <c r="A38" s="31" t="n">
        <v>28</v>
      </c>
      <c r="B38" s="33" t="inlineStr">
        <is>
          <t>GLUM-60033/26</t>
        </is>
      </c>
      <c r="C38" s="33" t="inlineStr">
        <is>
          <t>Gas Meter</t>
        </is>
      </c>
      <c r="D38" s="34" t="n"/>
      <c r="E38" s="34" t="n"/>
      <c r="F38" s="35" t="n"/>
      <c r="G38" s="35" t="n"/>
      <c r="H38" s="33" t="n"/>
      <c r="I38" t="inlineStr">
        <is>
          <t>Gas Meters</t>
        </is>
      </c>
    </row>
    <row r="39" ht="18" customHeight="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autoFilter ref="A10:H110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4"/>
  <sheetViews>
    <sheetView showGridLines="0" zoomScale="89" zoomScaleNormal="89" workbookViewId="0">
      <pane ySplit="10" topLeftCell="A11" activePane="bottomLeft" state="frozen"/>
      <selection activeCell="B1" sqref="B1"/>
      <selection pane="bottomLeft" activeCell="C20" sqref="C20"/>
    </sheetView>
  </sheetViews>
  <sheetFormatPr baseColWidth="8" defaultColWidth="8.5703125" defaultRowHeight="15"/>
  <cols>
    <col width="6.140625" customWidth="1" style="66" min="1" max="1"/>
    <col width="20" bestFit="1" customWidth="1" style="66" min="2" max="2"/>
    <col width="53.140625" customWidth="1" style="66" min="3" max="3"/>
    <col width="26.85546875" customWidth="1" style="66" min="4" max="4"/>
    <col hidden="1" width="17.140625" customWidth="1" style="66" min="5" max="5"/>
    <col hidden="1" width="20" customWidth="1" style="68" min="6" max="6"/>
    <col hidden="1" width="16" customWidth="1" style="66" min="7" max="7"/>
    <col hidden="1" width="50.5703125" customWidth="1" style="66" min="8" max="8"/>
    <col hidden="1" width="42" customWidth="1" style="66" min="9" max="9"/>
    <col width="24.140625" customWidth="1" style="66" min="10" max="11"/>
    <col width="23.85546875" customWidth="1" style="90" min="12" max="12"/>
    <col width="10.5703125" bestFit="1" customWidth="1" style="66" min="13" max="13"/>
    <col width="8.5703125" customWidth="1" style="66" min="14" max="16384"/>
  </cols>
  <sheetData>
    <row r="1" ht="36" customHeight="1">
      <c r="A1" s="139" t="inlineStr">
        <is>
          <t>🚢  Vessel Purchase Order Tracker</t>
        </is>
      </c>
    </row>
    <row r="2" ht="24" customHeight="1">
      <c r="A2" s="136" t="inlineStr">
        <is>
          <t>Vessel Name:</t>
        </is>
      </c>
      <c r="B2" s="147" t="n"/>
      <c r="C2" s="140" t="inlineStr">
        <is>
          <t>Glovis Lighthouse</t>
        </is>
      </c>
      <c r="D2" s="147" t="n"/>
      <c r="E2" s="147" t="n"/>
      <c r="F2" s="137" t="inlineStr">
        <is>
          <t>← e.g. Seaspan New York</t>
        </is>
      </c>
    </row>
    <row r="3" ht="24" customHeight="1">
      <c r="A3" s="136" t="inlineStr">
        <is>
          <t>Shipyard:</t>
        </is>
      </c>
      <c r="B3" s="147" t="n"/>
      <c r="C3" s="140" t="inlineStr">
        <is>
          <t>SWS - Shanghai Waigaoqiao Shipbuilding Co., Ltd.</t>
        </is>
      </c>
      <c r="D3" s="147" t="n"/>
      <c r="E3" s="147" t="n"/>
      <c r="F3" s="137" t="inlineStr">
        <is>
          <t>← e.g. YZJ Shipyard</t>
        </is>
      </c>
    </row>
    <row r="4" ht="24" customHeight="1">
      <c r="A4" s="136" t="inlineStr">
        <is>
          <t>Vessel Delivery Date:</t>
        </is>
      </c>
      <c r="B4" s="147" t="n"/>
      <c r="C4" s="67" t="n">
        <v>46179</v>
      </c>
      <c r="D4" s="137" t="inlineStr">
        <is>
          <t>← Enter date as: 01-Jun-2025</t>
        </is>
      </c>
    </row>
    <row r="5" ht="7.5" customHeight="1"/>
    <row r="6" ht="21.75" customHeight="1">
      <c r="A6" s="69" t="inlineStr">
        <is>
          <t>Not Created</t>
        </is>
      </c>
      <c r="B6" s="70" t="inlineStr">
        <is>
          <t>To Be Created</t>
        </is>
      </c>
      <c r="C6" s="71" t="inlineStr">
        <is>
          <t>Pending Approval</t>
        </is>
      </c>
      <c r="D6" s="72" t="inlineStr">
        <is>
          <t>Approved &amp; Issued</t>
        </is>
      </c>
      <c r="E6" s="73" t="inlineStr">
        <is>
          <t>Pending Delivery</t>
        </is>
      </c>
      <c r="F6" s="74" t="inlineStr">
        <is>
          <t>Delivered</t>
        </is>
      </c>
      <c r="G6" s="75" t="inlineStr">
        <is>
          <t>Total POs</t>
        </is>
      </c>
      <c r="H6" s="76" t="inlineStr">
        <is>
          <t>% Issued</t>
        </is>
      </c>
      <c r="I6" s="77" t="inlineStr">
        <is>
          <t>% Delivered</t>
        </is>
      </c>
    </row>
    <row r="7" ht="21.75" customHeight="1">
      <c r="A7" s="78" t="n">
        <v>2</v>
      </c>
      <c r="B7" s="78" t="n">
        <v>0</v>
      </c>
      <c r="C7" s="78" t="n">
        <v>7</v>
      </c>
      <c r="D7" s="78" t="n">
        <v>0</v>
      </c>
      <c r="E7" s="78" t="n">
        <v>28</v>
      </c>
      <c r="F7" s="78" t="n">
        <v>3</v>
      </c>
      <c r="G7" s="78" t="n">
        <v>39</v>
      </c>
      <c r="H7" s="79" t="n">
        <v>0.717948717948718</v>
      </c>
      <c r="I7" s="79" t="n">
        <v>0.07692307692307693</v>
      </c>
    </row>
    <row r="8" ht="7.5" customHeight="1"/>
    <row r="9" ht="18" customHeight="1">
      <c r="A9" s="138" t="inlineStr">
        <is>
          <t>📅  Date fields: Enter dates as DD-MMM-YYYY format (e.g. 15-Jan-2025). Columns F &amp; G are date columns.</t>
        </is>
      </c>
      <c r="B9" s="149" t="n"/>
      <c r="C9" s="149" t="n"/>
      <c r="D9" s="149" t="n"/>
      <c r="E9" s="149" t="n"/>
      <c r="F9" s="149" t="n"/>
      <c r="G9" s="149" t="n"/>
      <c r="H9" s="149" t="n"/>
      <c r="I9" s="149" t="n"/>
    </row>
    <row r="10" ht="30" customHeight="1">
      <c r="A10" s="80" t="inlineStr">
        <is>
          <t>S/N</t>
        </is>
      </c>
      <c r="B10" s="80" t="inlineStr">
        <is>
          <t>PO Number</t>
        </is>
      </c>
      <c r="C10" s="80" t="inlineStr">
        <is>
          <t>PO Name</t>
        </is>
      </c>
      <c r="D10" s="80" t="inlineStr">
        <is>
          <t>Category</t>
        </is>
      </c>
      <c r="E10" s="80" t="inlineStr">
        <is>
          <t>Status</t>
        </is>
      </c>
      <c r="F10" s="81" t="inlineStr">
        <is>
          <t>PO Issue Date</t>
        </is>
      </c>
      <c r="G10" s="80" t="inlineStr">
        <is>
          <t>Req. Delivery Date</t>
        </is>
      </c>
      <c r="H10" s="80" t="inlineStr">
        <is>
          <t>Reason / Remarks</t>
        </is>
      </c>
      <c r="I10" s="80" t="inlineStr">
        <is>
          <t>Responsible</t>
        </is>
      </c>
      <c r="J10" s="80" t="inlineStr">
        <is>
          <t>Supplier Name</t>
        </is>
      </c>
      <c r="K10" s="80" t="inlineStr">
        <is>
          <t>Po Currency</t>
        </is>
      </c>
      <c r="L10" s="91" t="inlineStr">
        <is>
          <t>Po Value</t>
        </is>
      </c>
      <c r="M10" s="80" t="inlineStr">
        <is>
          <t>Contract Status</t>
        </is>
      </c>
      <c r="S10" s="66" t="inlineStr">
        <is>
          <t>Contracted</t>
        </is>
      </c>
      <c r="T10" t="inlineStr">
        <is>
          <t>PO Name Standardized</t>
        </is>
      </c>
    </row>
    <row r="11" ht="18" customHeight="1">
      <c r="A11" s="84" t="n"/>
      <c r="B11" s="64" t="n"/>
      <c r="C11" s="64" t="inlineStr">
        <is>
          <t>Oily Water Separator</t>
        </is>
      </c>
      <c r="D11" s="64" t="inlineStr">
        <is>
          <t>Alfa Laval</t>
        </is>
      </c>
      <c r="E11" s="64" t="n"/>
      <c r="F11" s="82" t="n"/>
      <c r="G11" s="64" t="n"/>
      <c r="H11" s="64" t="inlineStr">
        <is>
          <t>Alfa Laval</t>
        </is>
      </c>
      <c r="I11" s="64" t="inlineStr">
        <is>
          <t>Quote reqd for Marpol Spared</t>
        </is>
      </c>
      <c r="J11" s="84" t="e">
        <v>#N/A</v>
      </c>
      <c r="K11" s="84" t="e">
        <v>#N/A</v>
      </c>
      <c r="L11" s="92" t="e">
        <v>#N/A</v>
      </c>
      <c r="M11" s="84" t="inlineStr">
        <is>
          <t>Contracted</t>
        </is>
      </c>
      <c r="S11" s="66" t="inlineStr">
        <is>
          <t xml:space="preserve">Not Contracted </t>
        </is>
      </c>
      <c r="T11" t="inlineStr">
        <is>
          <t>Oily Water Separator</t>
        </is>
      </c>
    </row>
    <row r="12" ht="18" customHeight="1">
      <c r="A12" s="84" t="n"/>
      <c r="B12" s="64" t="n"/>
      <c r="C12" s="64" t="inlineStr">
        <is>
          <t>BWTS Spares</t>
        </is>
      </c>
      <c r="D12" s="64" t="inlineStr">
        <is>
          <t>Alfa Laval</t>
        </is>
      </c>
      <c r="E12" s="64" t="n"/>
      <c r="F12" s="82" t="n"/>
      <c r="G12" s="64" t="n"/>
      <c r="H12" s="64" t="inlineStr">
        <is>
          <t>Alfa Laval</t>
        </is>
      </c>
      <c r="I12" s="64" t="inlineStr">
        <is>
          <t>Quote reqd for Marpol Spared</t>
        </is>
      </c>
      <c r="J12" s="84" t="e">
        <v>#N/A</v>
      </c>
      <c r="K12" s="84" t="e">
        <v>#N/A</v>
      </c>
      <c r="L12" s="92" t="e">
        <v>#N/A</v>
      </c>
      <c r="M12" s="84" t="n"/>
      <c r="S12" s="66" t="inlineStr">
        <is>
          <t xml:space="preserve">Invalidated </t>
        </is>
      </c>
      <c r="T12" t="inlineStr">
        <is>
          <t>BWTS Spares</t>
        </is>
      </c>
    </row>
    <row r="13" ht="18" customHeight="1">
      <c r="A13" s="88" t="n">
        <v>82</v>
      </c>
      <c r="B13" s="64" t="inlineStr">
        <is>
          <t>GLIG-60077/26-1</t>
        </is>
      </c>
      <c r="C13" s="64" t="inlineStr">
        <is>
          <t>Crew Care</t>
        </is>
      </c>
      <c r="D13" s="64" t="inlineStr">
        <is>
          <t>Chemicals</t>
        </is>
      </c>
      <c r="E13" s="64" t="inlineStr">
        <is>
          <t>Pending Delivery</t>
        </is>
      </c>
      <c r="F13" s="82" t="n"/>
      <c r="G13" s="83" t="n"/>
      <c r="H13" s="64" t="inlineStr">
        <is>
          <t>Drew Delivery at Yard</t>
        </is>
      </c>
      <c r="I13" s="64" t="n"/>
      <c r="J13" s="84" t="inlineStr">
        <is>
          <t>Drew Marine USA, Inc</t>
        </is>
      </c>
      <c r="K13" s="84" t="inlineStr">
        <is>
          <t>USD</t>
        </is>
      </c>
      <c r="L13" s="92" t="n">
        <v>3075.32</v>
      </c>
      <c r="M13" s="84" t="n"/>
      <c r="S13" s="66" t="inlineStr">
        <is>
          <t>Under Review</t>
        </is>
      </c>
      <c r="T13" t="inlineStr">
        <is>
          <t>Crew Care &amp; Provisions</t>
        </is>
      </c>
    </row>
    <row r="14" ht="18" customHeight="1">
      <c r="A14" s="88" t="n">
        <v>81</v>
      </c>
      <c r="B14" s="64" t="inlineStr">
        <is>
          <t>GLIG-60075/26-1</t>
        </is>
      </c>
      <c r="C14" s="64" t="inlineStr">
        <is>
          <t>Pre Delivery - Engineering Products &amp; Kits (DREW)</t>
        </is>
      </c>
      <c r="D14" s="64" t="inlineStr">
        <is>
          <t>Chemicals</t>
        </is>
      </c>
      <c r="E14" s="64" t="inlineStr">
        <is>
          <t>Pending Delivery</t>
        </is>
      </c>
      <c r="F14" s="82" t="n"/>
      <c r="G14" s="83" t="n"/>
      <c r="H14" s="64" t="inlineStr">
        <is>
          <t>Drew Delivery at Yard</t>
        </is>
      </c>
      <c r="I14" s="64" t="n"/>
      <c r="J14" s="84" t="inlineStr">
        <is>
          <t>Drew Marine USA, Inc</t>
        </is>
      </c>
      <c r="K14" s="84" t="inlineStr">
        <is>
          <t>USD</t>
        </is>
      </c>
      <c r="L14" s="92" t="n">
        <v>20708.78</v>
      </c>
      <c r="M14" s="84" t="n"/>
      <c r="T14" t="inlineStr">
        <is>
          <t>Engineering Products &amp; Chemicals</t>
        </is>
      </c>
    </row>
    <row r="15" ht="18" customHeight="1">
      <c r="A15" s="88" t="n">
        <v>79</v>
      </c>
      <c r="B15" s="64" t="inlineStr">
        <is>
          <t>GLIG-60071/26-1</t>
        </is>
      </c>
      <c r="C15" s="64" t="inlineStr">
        <is>
          <t>Refrigerant Equipment</t>
        </is>
      </c>
      <c r="D15" s="64" t="inlineStr">
        <is>
          <t>Chemicals</t>
        </is>
      </c>
      <c r="E15" s="64" t="inlineStr">
        <is>
          <t>Pending Delivery</t>
        </is>
      </c>
      <c r="F15" s="82" t="n"/>
      <c r="G15" s="83" t="n"/>
      <c r="H15" s="64" t="inlineStr">
        <is>
          <t>Drew Delivery at Yard</t>
        </is>
      </c>
      <c r="I15" s="64" t="n"/>
      <c r="J15" s="84" t="inlineStr">
        <is>
          <t>Drew Marine USA, Inc</t>
        </is>
      </c>
      <c r="K15" s="84" t="inlineStr">
        <is>
          <t>USD</t>
        </is>
      </c>
      <c r="L15" s="92" t="n">
        <v>7739.92</v>
      </c>
      <c r="M15" s="84" t="n"/>
      <c r="T15" t="inlineStr">
        <is>
          <t>Refrigerant Equipment</t>
        </is>
      </c>
    </row>
    <row r="16" ht="18" customHeight="1">
      <c r="A16" s="88" t="n">
        <v>78</v>
      </c>
      <c r="B16" s="64" t="inlineStr">
        <is>
          <t>GLIG-60078/26-1</t>
        </is>
      </c>
      <c r="C16" s="64" t="inlineStr">
        <is>
          <t>Pre Delivery - Welding Equipment</t>
        </is>
      </c>
      <c r="D16" s="64" t="inlineStr">
        <is>
          <t>Chemicals</t>
        </is>
      </c>
      <c r="E16" s="64" t="inlineStr">
        <is>
          <t>Pending Delivery</t>
        </is>
      </c>
      <c r="F16" s="82" t="n"/>
      <c r="G16" s="83" t="n"/>
      <c r="H16" s="64" t="inlineStr">
        <is>
          <t>Drew Delivery at Yard</t>
        </is>
      </c>
      <c r="I16" s="64" t="n"/>
      <c r="J16" s="84" t="inlineStr">
        <is>
          <t>Drew Marine USA, Inc</t>
        </is>
      </c>
      <c r="K16" s="84" t="inlineStr">
        <is>
          <t>USD</t>
        </is>
      </c>
      <c r="L16" s="92" t="n">
        <v>30943.48</v>
      </c>
      <c r="M16" s="84" t="n"/>
      <c r="T16" t="inlineStr">
        <is>
          <t>Welding Equipment</t>
        </is>
      </c>
    </row>
    <row r="17" ht="18" customHeight="1">
      <c r="A17" s="88" t="n">
        <v>76</v>
      </c>
      <c r="B17" s="64" t="inlineStr">
        <is>
          <t>GLIG-60070/26-1</t>
        </is>
      </c>
      <c r="C17" s="64" t="inlineStr">
        <is>
          <t>Gases</t>
        </is>
      </c>
      <c r="D17" s="64" t="inlineStr">
        <is>
          <t>Chemicals</t>
        </is>
      </c>
      <c r="E17" s="64" t="inlineStr">
        <is>
          <t>Pending Delivery</t>
        </is>
      </c>
      <c r="F17" s="82" t="n"/>
      <c r="G17" s="83" t="n"/>
      <c r="H17" s="64" t="inlineStr">
        <is>
          <t>Drew Delivery at Yard</t>
        </is>
      </c>
      <c r="I17" s="64" t="n"/>
      <c r="J17" s="84" t="inlineStr">
        <is>
          <t>Drew Marine USA, Inc</t>
        </is>
      </c>
      <c r="K17" s="84" t="inlineStr">
        <is>
          <t>USD</t>
        </is>
      </c>
      <c r="L17" s="92" t="n">
        <v>5327.36</v>
      </c>
      <c r="M17" s="84" t="n"/>
      <c r="T17" t="inlineStr">
        <is>
          <t>Industrial Gases</t>
        </is>
      </c>
    </row>
    <row r="18" ht="18" customHeight="1">
      <c r="A18" s="88" t="n">
        <v>74</v>
      </c>
      <c r="B18" s="64" t="inlineStr">
        <is>
          <t>GLIG-60068/26-1</t>
        </is>
      </c>
      <c r="C18" s="64" t="inlineStr">
        <is>
          <t>Pre Delivery - Treatment Chemical</t>
        </is>
      </c>
      <c r="D18" s="64" t="inlineStr">
        <is>
          <t>Chemicals</t>
        </is>
      </c>
      <c r="E18" s="64" t="inlineStr">
        <is>
          <t>Pending Delivery</t>
        </is>
      </c>
      <c r="F18" s="82" t="n"/>
      <c r="G18" s="83" t="n"/>
      <c r="H18" s="64" t="inlineStr">
        <is>
          <t>Drew Delivery at Yard</t>
        </is>
      </c>
      <c r="I18" s="64" t="n"/>
      <c r="J18" s="84" t="inlineStr">
        <is>
          <t>Drew Marine USA, Inc</t>
        </is>
      </c>
      <c r="K18" s="84" t="inlineStr">
        <is>
          <t>USD</t>
        </is>
      </c>
      <c r="L18" s="92" t="n">
        <v>9265.52</v>
      </c>
      <c r="M18" s="84" t="n"/>
      <c r="T18" t="inlineStr">
        <is>
          <t>Treatment Chemicals</t>
        </is>
      </c>
    </row>
    <row r="19" ht="18" customHeight="1">
      <c r="A19" s="88" t="n">
        <v>75</v>
      </c>
      <c r="B19" s="64" t="inlineStr">
        <is>
          <t>GLIG-60045/26-1</t>
        </is>
      </c>
      <c r="C19" s="64" t="inlineStr">
        <is>
          <t>Maintenance Chemicals</t>
        </is>
      </c>
      <c r="D19" s="64" t="inlineStr">
        <is>
          <t>Chemicals</t>
        </is>
      </c>
      <c r="E19" s="64" t="inlineStr">
        <is>
          <t>Pending Delivery</t>
        </is>
      </c>
      <c r="F19" s="82" t="n"/>
      <c r="G19" s="83" t="n"/>
      <c r="H19" s="64" t="inlineStr">
        <is>
          <t>Drew Delivery at Yard</t>
        </is>
      </c>
      <c r="I19" s="64" t="n"/>
      <c r="J19" s="84" t="inlineStr">
        <is>
          <t>Drew Marine USA, Inc</t>
        </is>
      </c>
      <c r="K19" s="84" t="inlineStr">
        <is>
          <t>USD</t>
        </is>
      </c>
      <c r="L19" s="92" t="n">
        <v>5339.14</v>
      </c>
      <c r="M19" s="84" t="n"/>
      <c r="T19" t="inlineStr">
        <is>
          <t>Maintenance Chemicals</t>
        </is>
      </c>
    </row>
    <row r="20" ht="18" customHeight="1">
      <c r="A20" s="84" t="n"/>
      <c r="B20" s="64" t="n"/>
      <c r="C20" s="64" t="inlineStr">
        <is>
          <t>Sewage Traetment Plant</t>
        </is>
      </c>
      <c r="D20" s="64" t="inlineStr">
        <is>
          <t>CSSC Nanjing</t>
        </is>
      </c>
      <c r="E20" s="64" t="n"/>
      <c r="F20" s="82" t="n"/>
      <c r="G20" s="64" t="n"/>
      <c r="H20" s="64" t="inlineStr">
        <is>
          <t>CSSC Nanjing</t>
        </is>
      </c>
      <c r="I20" s="64" t="inlineStr">
        <is>
          <t>Quote reqd for Marpol Spared</t>
        </is>
      </c>
      <c r="J20" s="84" t="e">
        <v>#N/A</v>
      </c>
      <c r="K20" s="84" t="e">
        <v>#N/A</v>
      </c>
      <c r="L20" s="92" t="e">
        <v>#N/A</v>
      </c>
      <c r="M20" s="84" t="n"/>
      <c r="T20" t="inlineStr">
        <is>
          <t>Sewage Treatment Plant</t>
        </is>
      </c>
    </row>
    <row r="21" ht="18" customHeight="1">
      <c r="A21" s="84" t="n"/>
      <c r="B21" s="64" t="n"/>
      <c r="C21" s="64" t="inlineStr">
        <is>
          <t>Sewage Discharge P/P</t>
        </is>
      </c>
      <c r="D21" s="64" t="inlineStr">
        <is>
          <t>CSSC Nanjing</t>
        </is>
      </c>
      <c r="E21" s="64" t="n"/>
      <c r="F21" s="82" t="n"/>
      <c r="G21" s="64" t="n"/>
      <c r="H21" s="64" t="inlineStr">
        <is>
          <t>CSSC Nanjing</t>
        </is>
      </c>
      <c r="I21" s="64" t="inlineStr">
        <is>
          <t>Quote reqd for Marpol Spared</t>
        </is>
      </c>
      <c r="J21" s="84" t="e">
        <v>#N/A</v>
      </c>
      <c r="K21" s="84" t="e">
        <v>#N/A</v>
      </c>
      <c r="L21" s="92" t="e">
        <v>#N/A</v>
      </c>
      <c r="M21" s="84" t="n"/>
      <c r="T21" t="inlineStr">
        <is>
          <t>Sewage Discharge Pump</t>
        </is>
      </c>
    </row>
    <row r="22" ht="18" customHeight="1">
      <c r="A22" s="88" t="n">
        <v>23</v>
      </c>
      <c r="B22" s="64" t="inlineStr">
        <is>
          <t>GLIG-60030/26-1</t>
        </is>
      </c>
      <c r="C22" s="64" t="inlineStr">
        <is>
          <t>Pre Delivery Lubes Order# 3 (5714478288)</t>
        </is>
      </c>
      <c r="D22" s="64" t="inlineStr">
        <is>
          <t>Lube Oil</t>
        </is>
      </c>
      <c r="E22" s="64" t="inlineStr">
        <is>
          <t>Delivered</t>
        </is>
      </c>
      <c r="F22" s="82" t="n">
        <v>46083</v>
      </c>
      <c r="G22" s="83" t="n"/>
      <c r="H22" s="64" t="inlineStr">
        <is>
          <t>Delivered</t>
        </is>
      </c>
      <c r="I22" s="64" t="n"/>
      <c r="J22" s="84" t="inlineStr">
        <is>
          <t>TotalEnergies Lubrifiants</t>
        </is>
      </c>
      <c r="K22" s="84" t="inlineStr">
        <is>
          <t>USD</t>
        </is>
      </c>
      <c r="L22" s="92" t="n">
        <v>305941.12</v>
      </c>
      <c r="M22" s="84" t="n"/>
      <c r="T22" t="inlineStr">
        <is>
          <t>Lubricants</t>
        </is>
      </c>
    </row>
    <row r="23" ht="18" customHeight="1">
      <c r="A23" s="88" t="n">
        <v>14</v>
      </c>
      <c r="B23" s="64" t="inlineStr">
        <is>
          <t>GLIG-60002/25-1</t>
        </is>
      </c>
      <c r="C23" s="64" t="inlineStr">
        <is>
          <t>Pre-Delivery - Lubes</t>
        </is>
      </c>
      <c r="D23" s="64" t="inlineStr">
        <is>
          <t>Lube Oil</t>
        </is>
      </c>
      <c r="E23" s="64" t="inlineStr">
        <is>
          <t>Delivered</t>
        </is>
      </c>
      <c r="F23" s="82" t="n">
        <v>45958</v>
      </c>
      <c r="G23" s="83" t="n">
        <v>46017</v>
      </c>
      <c r="H23" s="64" t="inlineStr">
        <is>
          <t>Order #5713665401 shud be delivered</t>
        </is>
      </c>
      <c r="I23" s="64" t="n"/>
      <c r="J23" s="84" t="inlineStr">
        <is>
          <t>TotalEnergies Lubrifiants</t>
        </is>
      </c>
      <c r="K23" s="84" t="inlineStr">
        <is>
          <t>USD</t>
        </is>
      </c>
      <c r="L23" s="92" t="n">
        <v>83442.94</v>
      </c>
      <c r="M23" s="84" t="n"/>
      <c r="T23" t="inlineStr">
        <is>
          <t>Lubricants</t>
        </is>
      </c>
    </row>
    <row r="24" ht="18" customHeight="1">
      <c r="A24" s="88" t="n">
        <v>27</v>
      </c>
      <c r="B24" s="64" t="inlineStr">
        <is>
          <t>GLIG-60001/25-1</t>
        </is>
      </c>
      <c r="C24" s="64" t="inlineStr">
        <is>
          <t>Lubricants - Pre Delivery</t>
        </is>
      </c>
      <c r="D24" s="64" t="inlineStr">
        <is>
          <t>Lube Oil</t>
        </is>
      </c>
      <c r="E24" s="64" t="inlineStr">
        <is>
          <t>Pending Delivery</t>
        </is>
      </c>
      <c r="F24" s="82" t="n">
        <v>45951</v>
      </c>
      <c r="G24" s="83" t="n"/>
      <c r="H24" s="64" t="inlineStr">
        <is>
          <t>OC #5713475236</t>
        </is>
      </c>
      <c r="I24" s="64" t="n"/>
      <c r="J24" s="84" t="inlineStr">
        <is>
          <t>TotalEnergies Lubrifiants</t>
        </is>
      </c>
      <c r="K24" s="84" t="inlineStr">
        <is>
          <t>USD</t>
        </is>
      </c>
      <c r="L24" s="92" t="n">
        <v>51229.5</v>
      </c>
      <c r="M24" s="84" t="n"/>
      <c r="T24" t="inlineStr">
        <is>
          <t>Lubricants</t>
        </is>
      </c>
    </row>
    <row r="25" ht="18" customHeight="1">
      <c r="A25" s="84" t="n"/>
      <c r="B25" s="64" t="inlineStr">
        <is>
          <t>GLIG-60096/26-1</t>
        </is>
      </c>
      <c r="C25" s="64" t="inlineStr">
        <is>
          <t>Final Sailing Qty of Lubes</t>
        </is>
      </c>
      <c r="D25" s="64" t="inlineStr">
        <is>
          <t>Lube Oil</t>
        </is>
      </c>
      <c r="E25" s="64" t="inlineStr">
        <is>
          <t>Pending Delivery</t>
        </is>
      </c>
      <c r="F25" s="82" t="n"/>
      <c r="G25" s="64" t="n"/>
      <c r="H25" s="64" t="inlineStr">
        <is>
          <t>Po Issued on Total 2 Pcs Kits</t>
        </is>
      </c>
      <c r="I25" s="64" t="n"/>
      <c r="J25" s="84" t="inlineStr">
        <is>
          <t>TotalEnergies Lubrifiants</t>
        </is>
      </c>
      <c r="K25" s="84" t="inlineStr">
        <is>
          <t>USD</t>
        </is>
      </c>
      <c r="L25" s="92" t="n">
        <v>30700</v>
      </c>
      <c r="M25" s="84" t="n"/>
      <c r="T25" t="inlineStr">
        <is>
          <t>Lubricants</t>
        </is>
      </c>
    </row>
    <row r="26" ht="18" customHeight="1">
      <c r="A26" s="88" t="n">
        <v>33</v>
      </c>
      <c r="B26" s="64" t="inlineStr">
        <is>
          <t>GLIG-60025/26-1</t>
        </is>
      </c>
      <c r="C26" s="64" t="inlineStr">
        <is>
          <t>PD Lubes - VLSQ61941 - Kaeser Fluid Rotary S-46X</t>
        </is>
      </c>
      <c r="D26" s="64" t="inlineStr">
        <is>
          <t>Lube Oil</t>
        </is>
      </c>
      <c r="E26" s="64" t="inlineStr">
        <is>
          <t>Delivered</t>
        </is>
      </c>
      <c r="F26" s="82" t="n">
        <v>46083</v>
      </c>
      <c r="G26" s="83" t="n"/>
      <c r="H26" s="64" t="inlineStr">
        <is>
          <t>Delivered</t>
        </is>
      </c>
      <c r="I26" s="64" t="n"/>
      <c r="J26" s="84" t="inlineStr">
        <is>
          <t>Vessel Link Marine Supply &amp; Service Ltd</t>
        </is>
      </c>
      <c r="K26" s="84" t="inlineStr">
        <is>
          <t>USD</t>
        </is>
      </c>
      <c r="L26" s="92" t="n">
        <v>4413.5</v>
      </c>
      <c r="M26" s="84" t="n"/>
      <c r="T26" t="inlineStr">
        <is>
          <t>Lubricants</t>
        </is>
      </c>
    </row>
    <row r="27" ht="18" customHeight="1">
      <c r="A27" s="88" t="n">
        <v>99</v>
      </c>
      <c r="B27" s="64" t="n"/>
      <c r="C27" s="64" t="inlineStr">
        <is>
          <t>RSC Lube oil - qty / Total for Glovis Lighthouse</t>
        </is>
      </c>
      <c r="D27" s="64" t="inlineStr">
        <is>
          <t>Lube Oil</t>
        </is>
      </c>
      <c r="E27" s="64" t="inlineStr">
        <is>
          <t>Not Created</t>
        </is>
      </c>
      <c r="F27" s="82" t="n"/>
      <c r="G27" s="83" t="n"/>
      <c r="H27" s="64" t="inlineStr">
        <is>
          <t>Total Lube Oil for BT for Glovis Lighthouse</t>
        </is>
      </c>
      <c r="I27" s="64" t="inlineStr">
        <is>
          <t>Sahaya to create Po for BT Oil on Total Qty 1 Drum</t>
        </is>
      </c>
      <c r="J27" s="84" t="e">
        <v>#N/A</v>
      </c>
      <c r="K27" s="84" t="e">
        <v>#N/A</v>
      </c>
      <c r="L27" s="92" t="e">
        <v>#N/A</v>
      </c>
      <c r="M27" s="84" t="n"/>
      <c r="T27" t="inlineStr">
        <is>
          <t>Lubricants</t>
        </is>
      </c>
    </row>
    <row r="28" ht="18" customHeight="1">
      <c r="A28" s="88" t="n">
        <v>36</v>
      </c>
      <c r="B28" s="64" t="inlineStr">
        <is>
          <t>GLIG-60008/26-1</t>
        </is>
      </c>
      <c r="C28" s="64" t="inlineStr">
        <is>
          <t>AST PO</t>
        </is>
      </c>
      <c r="D28" s="64" t="inlineStr">
        <is>
          <t>Others</t>
        </is>
      </c>
      <c r="E28" s="64" t="inlineStr">
        <is>
          <t>Pending Delivery</t>
        </is>
      </c>
      <c r="F28" s="82" t="n">
        <v>46037</v>
      </c>
      <c r="G28" s="83" t="n"/>
      <c r="H28" s="64" t="inlineStr">
        <is>
          <t>IT PO</t>
        </is>
      </c>
      <c r="I28" s="64" t="n"/>
      <c r="J28" s="84" t="inlineStr">
        <is>
          <t>Applied Satellite Technology Systems US LLC (AST Americas)</t>
        </is>
      </c>
      <c r="K28" s="84" t="inlineStr">
        <is>
          <t>USD</t>
        </is>
      </c>
      <c r="L28" s="92" t="n">
        <v>5765.71</v>
      </c>
      <c r="M28" s="84" t="n"/>
      <c r="T28" t="inlineStr">
        <is>
          <t>Lubricants</t>
        </is>
      </c>
    </row>
    <row r="29" ht="18" customHeight="1">
      <c r="A29" s="88" t="n">
        <v>20</v>
      </c>
      <c r="B29" s="64" t="inlineStr">
        <is>
          <t>GLIG-60021/26-1</t>
        </is>
      </c>
      <c r="C29" s="64" t="inlineStr">
        <is>
          <t>FS-Interface-Light house</t>
        </is>
      </c>
      <c r="D29" s="64" t="inlineStr">
        <is>
          <t>Others</t>
        </is>
      </c>
      <c r="E29" s="64" t="inlineStr">
        <is>
          <t>Pending Delivery</t>
        </is>
      </c>
      <c r="F29" s="82" t="n">
        <v>46051</v>
      </c>
      <c r="G29" s="83" t="n">
        <v>46081</v>
      </c>
      <c r="H29" s="64" t="inlineStr">
        <is>
          <t>IT PO</t>
        </is>
      </c>
      <c r="I29" s="64" t="n"/>
      <c r="J29" s="84" t="inlineStr">
        <is>
          <t>Interface Computer System Co. Ltd.</t>
        </is>
      </c>
      <c r="K29" s="84" t="inlineStr">
        <is>
          <t>HKD</t>
        </is>
      </c>
      <c r="L29" s="92" t="n">
        <v>260190.71</v>
      </c>
      <c r="M29" s="84" t="n"/>
      <c r="T29" t="inlineStr">
        <is>
          <t>IT Equipment - Interface / Integration</t>
        </is>
      </c>
    </row>
    <row r="30" ht="18" customHeight="1">
      <c r="A30" s="88" t="n">
        <v>32</v>
      </c>
      <c r="B30" s="64" t="inlineStr">
        <is>
          <t>GLIG-60003/26-1</t>
        </is>
      </c>
      <c r="C30" s="64" t="inlineStr">
        <is>
          <t>Interface PO</t>
        </is>
      </c>
      <c r="D30" s="64" t="inlineStr">
        <is>
          <t>Others</t>
        </is>
      </c>
      <c r="E30" s="64" t="inlineStr">
        <is>
          <t>Pending Delivery</t>
        </is>
      </c>
      <c r="F30" s="82" t="n">
        <v>46030</v>
      </c>
      <c r="G30" s="83" t="n">
        <v>46081</v>
      </c>
      <c r="H30" s="64" t="inlineStr">
        <is>
          <t>IT PO</t>
        </is>
      </c>
      <c r="I30" s="64" t="n"/>
      <c r="J30" s="84" t="inlineStr">
        <is>
          <t>Interface Computer System Co. Ltd.</t>
        </is>
      </c>
      <c r="K30" s="84" t="inlineStr">
        <is>
          <t>HKD</t>
        </is>
      </c>
      <c r="L30" s="92" t="n">
        <v>55710</v>
      </c>
      <c r="M30" s="84" t="n"/>
      <c r="T30" t="inlineStr">
        <is>
          <t>IT Equipment - Interface / Integration</t>
        </is>
      </c>
    </row>
    <row r="31" ht="18" customHeight="1">
      <c r="A31" s="84" t="n"/>
      <c r="B31" s="64" t="inlineStr">
        <is>
          <t>GLIG-MVSP-60003/26-1</t>
        </is>
      </c>
      <c r="C31" s="64" t="inlineStr">
        <is>
          <t>FS-Interface MTA adapter</t>
        </is>
      </c>
      <c r="D31" s="64" t="inlineStr">
        <is>
          <t>Others</t>
        </is>
      </c>
      <c r="E31" s="64" t="n"/>
      <c r="F31" s="82" t="n"/>
      <c r="G31" s="64" t="n"/>
      <c r="H31" s="64" t="n"/>
      <c r="I31" s="64" t="n"/>
      <c r="J31" s="84" t="inlineStr">
        <is>
          <t>Interface Computer System Co. Ltd.</t>
        </is>
      </c>
      <c r="K31" s="84" t="inlineStr">
        <is>
          <t>HKD</t>
        </is>
      </c>
      <c r="L31" s="92" t="n">
        <v>1911</v>
      </c>
      <c r="M31" s="84" t="n"/>
      <c r="T31" t="inlineStr">
        <is>
          <t>IT Equipment - Interface / Integration</t>
        </is>
      </c>
    </row>
    <row r="32" ht="18" customHeight="1">
      <c r="A32" s="88" t="n">
        <v>5</v>
      </c>
      <c r="B32" s="64" t="inlineStr">
        <is>
          <t>GLIG-60023/26-1</t>
        </is>
      </c>
      <c r="C32" s="64" t="inlineStr">
        <is>
          <t>FS-ITBP CABLES</t>
        </is>
      </c>
      <c r="D32" s="64" t="inlineStr">
        <is>
          <t>Others</t>
        </is>
      </c>
      <c r="E32" s="64" t="inlineStr">
        <is>
          <t>Pending Delivery</t>
        </is>
      </c>
      <c r="F32" s="82" t="n">
        <v>46063</v>
      </c>
      <c r="G32" s="83" t="n">
        <v>46081</v>
      </c>
      <c r="H32" s="64" t="inlineStr">
        <is>
          <t>IT PO</t>
        </is>
      </c>
      <c r="I32" s="64" t="n"/>
      <c r="J32" s="84" t="inlineStr">
        <is>
          <t>IT Blueprint Solutions Consulting Inc</t>
        </is>
      </c>
      <c r="K32" s="84" t="inlineStr">
        <is>
          <t>USD</t>
        </is>
      </c>
      <c r="L32" s="92" t="n">
        <v>1101.24</v>
      </c>
      <c r="M32" s="84" t="n"/>
      <c r="T32" t="inlineStr">
        <is>
          <t>IT Equipment - ITBP Cables</t>
        </is>
      </c>
    </row>
    <row r="33" ht="18" customHeight="1">
      <c r="A33" s="88" t="n">
        <v>3</v>
      </c>
      <c r="B33" s="64" t="inlineStr">
        <is>
          <t>GLIG-60022/26-1</t>
        </is>
      </c>
      <c r="C33" s="64" t="inlineStr">
        <is>
          <t>FS-LENOVO-Lighthouse</t>
        </is>
      </c>
      <c r="D33" s="64" t="inlineStr">
        <is>
          <t>Others</t>
        </is>
      </c>
      <c r="E33" s="64" t="inlineStr">
        <is>
          <t>Pending Delivery</t>
        </is>
      </c>
      <c r="F33" s="82" t="n">
        <v>46063</v>
      </c>
      <c r="G33" s="83" t="n">
        <v>46081</v>
      </c>
      <c r="H33" s="64" t="inlineStr">
        <is>
          <t>IT PO</t>
        </is>
      </c>
      <c r="I33" s="64" t="n"/>
      <c r="J33" s="84" t="inlineStr">
        <is>
          <t>IT Blueprint Solutions Consulting Inc</t>
        </is>
      </c>
      <c r="K33" s="84" t="inlineStr">
        <is>
          <t>CAD</t>
        </is>
      </c>
      <c r="L33" s="92" t="n">
        <v>49418.82</v>
      </c>
      <c r="M33" s="84" t="n"/>
      <c r="T33" t="inlineStr">
        <is>
          <t>IT Equipment - Computers (Lenovo)</t>
        </is>
      </c>
    </row>
    <row r="34" ht="18" customHeight="1">
      <c r="A34" s="88" t="n">
        <v>21</v>
      </c>
      <c r="B34" s="64" t="inlineStr">
        <is>
          <t>GLIG-60012/26-1</t>
        </is>
      </c>
      <c r="C34" s="64" t="inlineStr">
        <is>
          <t>FS-ITBP  -glovis lighthouse</t>
        </is>
      </c>
      <c r="D34" s="64" t="inlineStr">
        <is>
          <t>Others</t>
        </is>
      </c>
      <c r="E34" s="64" t="inlineStr">
        <is>
          <t>Pending Delivery</t>
        </is>
      </c>
      <c r="F34" s="82" t="n">
        <v>46041</v>
      </c>
      <c r="G34" s="83" t="n">
        <v>46081</v>
      </c>
      <c r="H34" s="64" t="inlineStr">
        <is>
          <t>IT PO</t>
        </is>
      </c>
      <c r="I34" s="64" t="n"/>
      <c r="J34" s="84" t="inlineStr">
        <is>
          <t>IT Blueprint Solutions Consulting Inc</t>
        </is>
      </c>
      <c r="K34" s="84" t="inlineStr">
        <is>
          <t>USD</t>
        </is>
      </c>
      <c r="L34" s="92" t="n">
        <v>29715.77</v>
      </c>
      <c r="M34" s="84" t="n"/>
      <c r="T34" t="inlineStr">
        <is>
          <t>IT Equipment - ITBP</t>
        </is>
      </c>
    </row>
    <row r="35" ht="18" customHeight="1">
      <c r="A35" s="88" t="n">
        <v>22</v>
      </c>
      <c r="B35" s="64" t="inlineStr">
        <is>
          <t>GLIG-60029/26-1</t>
        </is>
      </c>
      <c r="C35" s="64" t="inlineStr">
        <is>
          <t>FS-ITBP MISC LAB KIT</t>
        </is>
      </c>
      <c r="D35" s="64" t="inlineStr">
        <is>
          <t>Others</t>
        </is>
      </c>
      <c r="E35" s="64" t="inlineStr">
        <is>
          <t>Pending Delivery</t>
        </is>
      </c>
      <c r="F35" s="82" t="n">
        <v>46077</v>
      </c>
      <c r="G35" s="83" t="n">
        <v>46081</v>
      </c>
      <c r="H35" s="64" t="inlineStr">
        <is>
          <t>IT PO</t>
        </is>
      </c>
      <c r="I35" s="64" t="n"/>
      <c r="J35" s="84" t="inlineStr">
        <is>
          <t>IT Blueprint Solutions Consulting Inc</t>
        </is>
      </c>
      <c r="K35" s="84" t="inlineStr">
        <is>
          <t>USD</t>
        </is>
      </c>
      <c r="L35" s="92" t="n">
        <v>200.91</v>
      </c>
      <c r="M35" s="84" t="n"/>
      <c r="T35" t="inlineStr">
        <is>
          <t>IT Equipment - ITBP Lab Kit</t>
        </is>
      </c>
    </row>
    <row r="36" ht="18" customHeight="1">
      <c r="A36" s="88" t="n">
        <v>38</v>
      </c>
      <c r="B36" s="64" t="inlineStr">
        <is>
          <t>GLIG-60028/26-1</t>
        </is>
      </c>
      <c r="C36" s="64" t="inlineStr">
        <is>
          <t>FS-ITBP Additional Item</t>
        </is>
      </c>
      <c r="D36" s="64" t="inlineStr">
        <is>
          <t>Others</t>
        </is>
      </c>
      <c r="E36" s="64" t="inlineStr">
        <is>
          <t>Pending Delivery</t>
        </is>
      </c>
      <c r="F36" s="82" t="n">
        <v>46072</v>
      </c>
      <c r="G36" s="83" t="n">
        <v>46081</v>
      </c>
      <c r="H36" s="64" t="inlineStr">
        <is>
          <t>IT PO</t>
        </is>
      </c>
      <c r="I36" s="64" t="n"/>
      <c r="J36" s="84" t="inlineStr">
        <is>
          <t>IT Blueprint Solutions Consulting Inc</t>
        </is>
      </c>
      <c r="K36" s="84" t="inlineStr">
        <is>
          <t>USD</t>
        </is>
      </c>
      <c r="L36" s="92" t="n">
        <v>1494.12</v>
      </c>
      <c r="M36" s="84" t="n"/>
      <c r="T36" t="inlineStr">
        <is>
          <t>IT Equipment - ITBP Additional Items</t>
        </is>
      </c>
    </row>
    <row r="37" ht="18" customHeight="1">
      <c r="A37" s="88" t="n">
        <v>17</v>
      </c>
      <c r="B37" s="64" t="inlineStr">
        <is>
          <t>GLIG-60019/26-1</t>
        </is>
      </c>
      <c r="C37" s="64" t="inlineStr">
        <is>
          <t>FS-KVH -LIGHTHOUSE UPDATED</t>
        </is>
      </c>
      <c r="D37" s="64" t="inlineStr">
        <is>
          <t>Others</t>
        </is>
      </c>
      <c r="E37" s="64" t="inlineStr">
        <is>
          <t>Pending Delivery</t>
        </is>
      </c>
      <c r="F37" s="82" t="n">
        <v>46045</v>
      </c>
      <c r="G37" s="83" t="n"/>
      <c r="H37" s="64" t="inlineStr">
        <is>
          <t>IT PO</t>
        </is>
      </c>
      <c r="I37" s="64" t="n"/>
      <c r="J37" s="84" t="inlineStr">
        <is>
          <t>KVH Industries Inc</t>
        </is>
      </c>
      <c r="K37" s="84" t="inlineStr">
        <is>
          <t>USD</t>
        </is>
      </c>
      <c r="L37" s="92" t="n">
        <v>6775</v>
      </c>
      <c r="M37" s="84" t="n"/>
      <c r="T37" t="inlineStr">
        <is>
          <t>Communications - VSAT (KVH)</t>
        </is>
      </c>
    </row>
    <row r="38" ht="18" customHeight="1">
      <c r="A38" s="84" t="n"/>
      <c r="B38" s="84" t="inlineStr">
        <is>
          <t>GLIG-60097/26-1</t>
        </is>
      </c>
      <c r="C38" s="84" t="n"/>
      <c r="D38" s="84" t="inlineStr">
        <is>
          <t>Others</t>
        </is>
      </c>
      <c r="E38" s="64" t="inlineStr">
        <is>
          <t>Pending Delivery</t>
        </is>
      </c>
      <c r="F38" s="86" t="n"/>
      <c r="G38" s="84" t="n"/>
      <c r="H38" s="84" t="inlineStr">
        <is>
          <t>IT PO</t>
        </is>
      </c>
      <c r="I38" s="84" t="n"/>
      <c r="J38" s="84" t="inlineStr">
        <is>
          <t>KVH Industries Inc</t>
        </is>
      </c>
      <c r="K38" s="84" t="inlineStr">
        <is>
          <t>USD</t>
        </is>
      </c>
      <c r="L38" s="92" t="n">
        <v>4040</v>
      </c>
      <c r="M38" s="84" t="n"/>
    </row>
    <row r="39" ht="18" customHeight="1">
      <c r="A39" s="88" t="n">
        <v>11</v>
      </c>
      <c r="B39" s="64" t="inlineStr">
        <is>
          <t>GLIG-60017/26-1</t>
        </is>
      </c>
      <c r="C39" s="64" t="inlineStr">
        <is>
          <t>FS-SIHUI</t>
        </is>
      </c>
      <c r="D39" s="64" t="inlineStr">
        <is>
          <t>Others</t>
        </is>
      </c>
      <c r="E39" s="64" t="inlineStr">
        <is>
          <t>Pending Delivery</t>
        </is>
      </c>
      <c r="F39" s="82" t="n">
        <v>46048</v>
      </c>
      <c r="G39" s="83" t="n">
        <v>46081</v>
      </c>
      <c r="H39" s="64" t="inlineStr">
        <is>
          <t>IT PO</t>
        </is>
      </c>
      <c r="I39" s="64" t="n"/>
      <c r="J39" s="84" t="inlineStr">
        <is>
          <t>SIHUI MARINE CO LTD</t>
        </is>
      </c>
      <c r="K39" s="84" t="inlineStr">
        <is>
          <t>USD</t>
        </is>
      </c>
      <c r="L39" s="92" t="n">
        <v>20000</v>
      </c>
      <c r="M39" s="84" t="n"/>
      <c r="T39" t="inlineStr">
        <is>
          <t>IT Equipment - Sihui Marine</t>
        </is>
      </c>
    </row>
    <row r="40" ht="18" customHeight="1">
      <c r="A40" s="88" t="n">
        <v>10</v>
      </c>
      <c r="B40" s="64" t="inlineStr">
        <is>
          <t>GLIG-60013/26-1</t>
        </is>
      </c>
      <c r="C40" s="64" t="inlineStr">
        <is>
          <t>FS-VLINK-Accessories</t>
        </is>
      </c>
      <c r="D40" s="64" t="inlineStr">
        <is>
          <t>Others</t>
        </is>
      </c>
      <c r="E40" s="64" t="inlineStr">
        <is>
          <t>Pending Delivery</t>
        </is>
      </c>
      <c r="F40" s="82" t="n">
        <v>46043</v>
      </c>
      <c r="G40" s="83" t="n"/>
      <c r="H40" s="64" t="inlineStr">
        <is>
          <t>IT PO</t>
        </is>
      </c>
      <c r="I40" s="64" t="n"/>
      <c r="J40" s="84" t="inlineStr">
        <is>
          <t>Vessel Link Marine Supply &amp; Service Ltd</t>
        </is>
      </c>
      <c r="K40" s="84" t="inlineStr">
        <is>
          <t>USD</t>
        </is>
      </c>
      <c r="L40" s="92" t="n">
        <v>168</v>
      </c>
      <c r="M40" s="84" t="n"/>
      <c r="T40" t="inlineStr">
        <is>
          <t>Communications - VLINK</t>
        </is>
      </c>
    </row>
    <row r="41" ht="18" customHeight="1">
      <c r="A41" s="88" t="n">
        <v>2</v>
      </c>
      <c r="B41" s="64" t="inlineStr">
        <is>
          <t>GLIG-60010/26-1</t>
        </is>
      </c>
      <c r="C41" s="64" t="inlineStr">
        <is>
          <t>FS-VLINK-H1610</t>
        </is>
      </c>
      <c r="D41" s="64" t="inlineStr">
        <is>
          <t>Others</t>
        </is>
      </c>
      <c r="E41" s="64" t="inlineStr">
        <is>
          <t>Pending Delivery</t>
        </is>
      </c>
      <c r="F41" s="82" t="n">
        <v>46041</v>
      </c>
      <c r="G41" s="83" t="n">
        <v>46081</v>
      </c>
      <c r="H41" s="64" t="inlineStr">
        <is>
          <t>IT PO</t>
        </is>
      </c>
      <c r="I41" s="64" t="n"/>
      <c r="J41" s="84" t="inlineStr">
        <is>
          <t>Vessel Link Marine Supply &amp; Service Ltd</t>
        </is>
      </c>
      <c r="K41" s="84" t="inlineStr">
        <is>
          <t>USD</t>
        </is>
      </c>
      <c r="L41" s="92" t="n">
        <v>25285</v>
      </c>
      <c r="M41" s="84" t="n"/>
      <c r="T41" t="inlineStr">
        <is>
          <t>Communications - VLINK</t>
        </is>
      </c>
    </row>
    <row r="42" ht="18" customHeight="1">
      <c r="A42" s="88" t="n">
        <v>30</v>
      </c>
      <c r="B42" s="64" t="inlineStr">
        <is>
          <t>GLIG-60027/26-1</t>
        </is>
      </c>
      <c r="C42" s="64" t="inlineStr">
        <is>
          <t>FS-VLINK CABLE</t>
        </is>
      </c>
      <c r="D42" s="64" t="inlineStr">
        <is>
          <t>Others</t>
        </is>
      </c>
      <c r="E42" s="64" t="inlineStr">
        <is>
          <t>Pending Delivery</t>
        </is>
      </c>
      <c r="F42" s="82" t="n">
        <v>46064</v>
      </c>
      <c r="G42" s="83" t="n">
        <v>46081</v>
      </c>
      <c r="H42" s="64" t="inlineStr">
        <is>
          <t>IT PO</t>
        </is>
      </c>
      <c r="I42" s="64" t="n"/>
      <c r="J42" s="84" t="inlineStr">
        <is>
          <t>Vessel Link Marine Supply &amp; Service Ltd</t>
        </is>
      </c>
      <c r="K42" s="84" t="inlineStr">
        <is>
          <t>USD</t>
        </is>
      </c>
      <c r="L42" s="92" t="n">
        <v>63</v>
      </c>
      <c r="M42" s="84" t="n"/>
      <c r="T42" t="inlineStr">
        <is>
          <t>Communications - VLINK</t>
        </is>
      </c>
    </row>
    <row r="43" ht="18" customHeight="1">
      <c r="A43" s="84" t="n"/>
      <c r="B43" s="64" t="inlineStr">
        <is>
          <t>GLIG-60067/26-1</t>
        </is>
      </c>
      <c r="C43" s="64" t="inlineStr">
        <is>
          <t>Service: LNG OPERATION MANUAL Development</t>
        </is>
      </c>
      <c r="D43" s="64" t="inlineStr">
        <is>
          <t>Others</t>
        </is>
      </c>
      <c r="E43" s="64" t="n"/>
      <c r="F43" s="82" t="n"/>
      <c r="G43" s="64" t="n"/>
      <c r="H43" s="64" t="n"/>
      <c r="I43" s="64" t="n"/>
      <c r="J43" s="84" t="inlineStr">
        <is>
          <t>VMT Co., Ltd</t>
        </is>
      </c>
      <c r="K43" s="84" t="inlineStr">
        <is>
          <t>USD</t>
        </is>
      </c>
      <c r="L43" s="92" t="n">
        <v>21500</v>
      </c>
      <c r="M43" s="84" t="n"/>
      <c r="T43" t="inlineStr">
        <is>
          <t>LNG Operation Manual</t>
        </is>
      </c>
    </row>
    <row r="44" ht="18" customHeight="1">
      <c r="A44" s="88" t="n">
        <v>12</v>
      </c>
      <c r="B44" s="64" t="inlineStr">
        <is>
          <t>GLIG-60036/26-1</t>
        </is>
      </c>
      <c r="C44" s="64" t="inlineStr">
        <is>
          <t>Wartsila Training PCTC</t>
        </is>
      </c>
      <c r="D44" s="64" t="inlineStr">
        <is>
          <t>Others</t>
        </is>
      </c>
      <c r="E44" s="64" t="inlineStr">
        <is>
          <t>Not Created</t>
        </is>
      </c>
      <c r="F44" s="82" t="n">
        <v>46105</v>
      </c>
      <c r="G44" s="83" t="n"/>
      <c r="H44" s="64" t="inlineStr">
        <is>
          <t>Service</t>
        </is>
      </c>
      <c r="I44" s="64" t="n"/>
      <c r="J44" s="84" t="inlineStr">
        <is>
          <t>Wartsila Canada Inc.</t>
        </is>
      </c>
      <c r="K44" s="84" t="inlineStr">
        <is>
          <t>EUR</t>
        </is>
      </c>
      <c r="L44" s="92" t="n">
        <v>11760</v>
      </c>
      <c r="M44" s="84" t="n"/>
      <c r="T44" t="inlineStr">
        <is>
          <t>Training - Wartsila</t>
        </is>
      </c>
    </row>
    <row r="45" ht="18" customHeight="1">
      <c r="A45" s="88" t="n">
        <v>8</v>
      </c>
      <c r="B45" s="64" t="inlineStr">
        <is>
          <t>GLIG-60015/26-1</t>
        </is>
      </c>
      <c r="C45" s="64" t="inlineStr">
        <is>
          <t>FS-X10</t>
        </is>
      </c>
      <c r="D45" s="64" t="inlineStr">
        <is>
          <t>Others</t>
        </is>
      </c>
      <c r="E45" s="64" t="inlineStr">
        <is>
          <t>Pending Delivery</t>
        </is>
      </c>
      <c r="F45" s="82" t="n">
        <v>46043</v>
      </c>
      <c r="G45" s="83" t="n">
        <v>46081</v>
      </c>
      <c r="H45" s="64" t="inlineStr">
        <is>
          <t>IT PO</t>
        </is>
      </c>
      <c r="I45" s="64" t="n"/>
      <c r="J45" s="84" t="inlineStr">
        <is>
          <t>X10 Networks Inc.</t>
        </is>
      </c>
      <c r="K45" s="84" t="inlineStr">
        <is>
          <t>CAD</t>
        </is>
      </c>
      <c r="L45" s="92" t="n">
        <v>4281.08</v>
      </c>
      <c r="M45" s="84" t="n"/>
      <c r="T45" t="inlineStr">
        <is>
          <t>IT Equipment - X10 System</t>
        </is>
      </c>
    </row>
    <row r="46" ht="18" customHeight="1">
      <c r="A46" s="88" t="n">
        <v>15</v>
      </c>
      <c r="B46" s="64" t="inlineStr">
        <is>
          <t>GLIG-60020/26</t>
        </is>
      </c>
      <c r="C46" s="64" t="inlineStr">
        <is>
          <t>Interface -equipment-lighthouse</t>
        </is>
      </c>
      <c r="D46" s="64" t="inlineStr">
        <is>
          <t>Others</t>
        </is>
      </c>
      <c r="E46" s="64" t="inlineStr">
        <is>
          <t>Not Created</t>
        </is>
      </c>
      <c r="F46" s="82" t="n">
        <v>46050</v>
      </c>
      <c r="G46" s="83" t="n"/>
      <c r="H46" s="64" t="inlineStr">
        <is>
          <t>IT PO</t>
        </is>
      </c>
      <c r="I46" s="64" t="n"/>
      <c r="J46" s="84" t="e">
        <v>#N/A</v>
      </c>
      <c r="K46" s="84" t="e">
        <v>#N/A</v>
      </c>
      <c r="L46" s="92" t="e">
        <v>#N/A</v>
      </c>
      <c r="M46" s="84" t="n"/>
      <c r="T46" t="inlineStr">
        <is>
          <t>IT Equipment - Interface / Integration</t>
        </is>
      </c>
    </row>
    <row r="47" ht="18" customHeight="1">
      <c r="A47" s="88" t="n">
        <v>9</v>
      </c>
      <c r="B47" s="64" t="inlineStr">
        <is>
          <t>GLIG-60018/26</t>
        </is>
      </c>
      <c r="C47" s="64" t="inlineStr">
        <is>
          <t>FS-KVH-LIGHTHOUSE</t>
        </is>
      </c>
      <c r="D47" s="64" t="inlineStr">
        <is>
          <t>Others</t>
        </is>
      </c>
      <c r="E47" s="64" t="inlineStr">
        <is>
          <t>Not Created</t>
        </is>
      </c>
      <c r="F47" s="82" t="n">
        <v>46045</v>
      </c>
      <c r="G47" s="83" t="n"/>
      <c r="H47" s="64" t="inlineStr">
        <is>
          <t>IT PO</t>
        </is>
      </c>
      <c r="I47" s="64" t="n"/>
      <c r="J47" s="84" t="e">
        <v>#N/A</v>
      </c>
      <c r="K47" s="84" t="e">
        <v>#N/A</v>
      </c>
      <c r="L47" s="92" t="e">
        <v>#N/A</v>
      </c>
      <c r="M47" s="84" t="n"/>
      <c r="T47" t="inlineStr">
        <is>
          <t>Communications - VSAT (KVH)</t>
        </is>
      </c>
    </row>
    <row r="48" ht="18" customHeight="1">
      <c r="A48" s="88" t="n">
        <v>29</v>
      </c>
      <c r="B48" s="64" t="inlineStr">
        <is>
          <t>GLIG-60016/26</t>
        </is>
      </c>
      <c r="C48" s="64" t="inlineStr">
        <is>
          <t>Sihui Marine-light house</t>
        </is>
      </c>
      <c r="D48" s="64" t="inlineStr">
        <is>
          <t>Others</t>
        </is>
      </c>
      <c r="E48" s="64" t="inlineStr">
        <is>
          <t>Not Created</t>
        </is>
      </c>
      <c r="F48" s="82" t="n">
        <v>46042</v>
      </c>
      <c r="G48" s="83" t="n"/>
      <c r="H48" s="64" t="inlineStr">
        <is>
          <t>IT PO</t>
        </is>
      </c>
      <c r="I48" s="64" t="n"/>
      <c r="J48" s="84" t="e">
        <v>#N/A</v>
      </c>
      <c r="K48" s="84" t="e">
        <v>#N/A</v>
      </c>
      <c r="L48" s="92" t="e">
        <v>#N/A</v>
      </c>
      <c r="M48" s="84" t="n"/>
      <c r="T48" t="inlineStr">
        <is>
          <t>IT Equipment - Sihui Marine</t>
        </is>
      </c>
    </row>
    <row r="49" ht="18" customHeight="1">
      <c r="A49" s="88" t="n">
        <v>31</v>
      </c>
      <c r="B49" s="64" t="inlineStr">
        <is>
          <t>GLIG-60014/26</t>
        </is>
      </c>
      <c r="C49" s="64" t="inlineStr">
        <is>
          <t>FS-X10</t>
        </is>
      </c>
      <c r="D49" s="64" t="inlineStr">
        <is>
          <t>Others</t>
        </is>
      </c>
      <c r="E49" s="64" t="inlineStr">
        <is>
          <t>Not Created</t>
        </is>
      </c>
      <c r="F49" s="82" t="n">
        <v>46042</v>
      </c>
      <c r="G49" s="83" t="n">
        <v>46081</v>
      </c>
      <c r="H49" s="64" t="inlineStr">
        <is>
          <t>IT PO</t>
        </is>
      </c>
      <c r="I49" s="64" t="n"/>
      <c r="J49" s="84" t="e">
        <v>#N/A</v>
      </c>
      <c r="K49" s="84" t="e">
        <v>#N/A</v>
      </c>
      <c r="L49" s="92" t="e">
        <v>#N/A</v>
      </c>
      <c r="M49" s="84" t="n"/>
      <c r="T49" t="inlineStr">
        <is>
          <t>IT Equipment - X10 System</t>
        </is>
      </c>
    </row>
    <row r="50" ht="18" customHeight="1">
      <c r="A50" s="88" t="n">
        <v>7</v>
      </c>
      <c r="B50" s="64" t="inlineStr">
        <is>
          <t>GLIG-60009/26</t>
        </is>
      </c>
      <c r="C50" s="64" t="inlineStr">
        <is>
          <t>FS-ITBP  -1</t>
        </is>
      </c>
      <c r="D50" s="64" t="inlineStr">
        <is>
          <t>Others</t>
        </is>
      </c>
      <c r="E50" s="64" t="inlineStr">
        <is>
          <t>Not Created</t>
        </is>
      </c>
      <c r="F50" s="82" t="n">
        <v>46038</v>
      </c>
      <c r="G50" s="83" t="n"/>
      <c r="H50" s="64" t="inlineStr">
        <is>
          <t>IT PO</t>
        </is>
      </c>
      <c r="I50" s="64" t="n"/>
      <c r="J50" s="84" t="e">
        <v>#N/A</v>
      </c>
      <c r="K50" s="84" t="e">
        <v>#N/A</v>
      </c>
      <c r="L50" s="92" t="e">
        <v>#N/A</v>
      </c>
      <c r="M50" s="84" t="n"/>
      <c r="T50" t="inlineStr">
        <is>
          <t>IT Equipment - ITBP</t>
        </is>
      </c>
    </row>
    <row r="51" ht="18" customHeight="1">
      <c r="A51" s="88" t="n">
        <v>1</v>
      </c>
      <c r="B51" s="64" t="inlineStr">
        <is>
          <t>GLIG-60007/25</t>
        </is>
      </c>
      <c r="C51" s="64" t="inlineStr">
        <is>
          <t>FS services</t>
        </is>
      </c>
      <c r="D51" s="64" t="inlineStr">
        <is>
          <t>Others</t>
        </is>
      </c>
      <c r="E51" s="64" t="inlineStr">
        <is>
          <t>Not Created</t>
        </is>
      </c>
      <c r="F51" s="82" t="n">
        <v>46014</v>
      </c>
      <c r="G51" s="83" t="n"/>
      <c r="H51" s="64" t="inlineStr">
        <is>
          <t>IT PO</t>
        </is>
      </c>
      <c r="I51" s="64" t="n"/>
      <c r="J51" s="84" t="e">
        <v>#N/A</v>
      </c>
      <c r="K51" s="84" t="e">
        <v>#N/A</v>
      </c>
      <c r="L51" s="92" t="e">
        <v>#N/A</v>
      </c>
      <c r="M51" s="84" t="n"/>
      <c r="T51" t="inlineStr">
        <is>
          <t>Fleet Systems - Services</t>
        </is>
      </c>
    </row>
    <row r="52" ht="18" customHeight="1">
      <c r="A52" s="88" t="n">
        <v>39</v>
      </c>
      <c r="B52" s="64" t="inlineStr">
        <is>
          <t>GLIG-60040/26-1</t>
        </is>
      </c>
      <c r="C52" s="64" t="inlineStr">
        <is>
          <t>FS-VLINK-Starlink Accessories</t>
        </is>
      </c>
      <c r="D52" s="64" t="inlineStr">
        <is>
          <t>Others</t>
        </is>
      </c>
      <c r="E52" s="64" t="inlineStr">
        <is>
          <t>Pending Delivery</t>
        </is>
      </c>
      <c r="F52" s="82" t="n">
        <v>46086</v>
      </c>
      <c r="G52" s="83" t="n"/>
      <c r="H52" s="64" t="inlineStr">
        <is>
          <t>IT PO</t>
        </is>
      </c>
      <c r="I52" s="64" t="n"/>
      <c r="J52" s="84" t="e">
        <v>#N/A</v>
      </c>
      <c r="K52" s="84" t="e">
        <v>#N/A</v>
      </c>
      <c r="L52" s="92" t="e">
        <v>#N/A</v>
      </c>
      <c r="M52" s="84" t="n"/>
      <c r="T52" t="inlineStr">
        <is>
          <t>Communications - Starlink Accessories</t>
        </is>
      </c>
    </row>
    <row r="53" ht="18" customHeight="1">
      <c r="A53" s="88" t="n">
        <v>35</v>
      </c>
      <c r="B53" s="64" t="inlineStr">
        <is>
          <t>GLIG-60002/26</t>
        </is>
      </c>
      <c r="C53" s="64" t="inlineStr">
        <is>
          <t>fs interface</t>
        </is>
      </c>
      <c r="D53" s="64" t="inlineStr">
        <is>
          <t>Others</t>
        </is>
      </c>
      <c r="E53" s="64" t="inlineStr">
        <is>
          <t>Not Created</t>
        </is>
      </c>
      <c r="F53" s="82" t="n">
        <v>46029</v>
      </c>
      <c r="G53" s="83" t="n"/>
      <c r="H53" s="64" t="inlineStr">
        <is>
          <t>IT PO</t>
        </is>
      </c>
      <c r="I53" s="64" t="n"/>
      <c r="J53" s="84" t="e">
        <v>#N/A</v>
      </c>
      <c r="K53" s="84" t="e">
        <v>#N/A</v>
      </c>
      <c r="L53" s="92" t="e">
        <v>#N/A</v>
      </c>
      <c r="M53" s="84" t="n"/>
      <c r="T53" t="inlineStr">
        <is>
          <t>IT Equipment - Interface / Integration</t>
        </is>
      </c>
    </row>
    <row r="54" ht="18" customHeight="1">
      <c r="A54" s="88" t="n">
        <v>28</v>
      </c>
      <c r="B54" s="64" t="inlineStr">
        <is>
          <t>GLIG-60032/26</t>
        </is>
      </c>
      <c r="C54" s="64" t="inlineStr">
        <is>
          <t>FS-ITBP-LICENSES</t>
        </is>
      </c>
      <c r="D54" s="64" t="inlineStr">
        <is>
          <t>Others</t>
        </is>
      </c>
      <c r="E54" s="64" t="inlineStr">
        <is>
          <t>Not Created</t>
        </is>
      </c>
      <c r="F54" s="82" t="n">
        <v>46078</v>
      </c>
      <c r="G54" s="83" t="n"/>
      <c r="H54" s="64" t="inlineStr">
        <is>
          <t>IT PO</t>
        </is>
      </c>
      <c r="I54" s="64" t="n"/>
      <c r="J54" s="84" t="e">
        <v>#N/A</v>
      </c>
      <c r="K54" s="84" t="e">
        <v>#N/A</v>
      </c>
      <c r="L54" s="92" t="e">
        <v>#N/A</v>
      </c>
      <c r="M54" s="84" t="n"/>
      <c r="T54" t="inlineStr">
        <is>
          <t>IT Equipment - ITBP Licenses</t>
        </is>
      </c>
    </row>
    <row r="55" ht="18" customHeight="1">
      <c r="A55" s="88" t="n">
        <v>34</v>
      </c>
      <c r="B55" s="64" t="inlineStr">
        <is>
          <t>GLIG-60001/26</t>
        </is>
      </c>
      <c r="C55" s="64" t="inlineStr">
        <is>
          <t>FS</t>
        </is>
      </c>
      <c r="D55" s="64" t="inlineStr">
        <is>
          <t>Others</t>
        </is>
      </c>
      <c r="E55" s="64" t="inlineStr">
        <is>
          <t>Not Created</t>
        </is>
      </c>
      <c r="F55" s="82" t="n">
        <v>46028</v>
      </c>
      <c r="G55" s="83" t="n"/>
      <c r="H55" s="64" t="inlineStr">
        <is>
          <t>IT PO</t>
        </is>
      </c>
      <c r="I55" s="64" t="n"/>
      <c r="J55" s="84" t="e">
        <v>#N/A</v>
      </c>
      <c r="K55" s="84" t="e">
        <v>#N/A</v>
      </c>
      <c r="L55" s="92" t="e">
        <v>#N/A</v>
      </c>
      <c r="M55" s="84" t="n"/>
      <c r="T55" t="inlineStr">
        <is>
          <t>Fleet Systems - Services</t>
        </is>
      </c>
    </row>
    <row r="56" ht="18" customHeight="1">
      <c r="A56" s="84" t="n"/>
      <c r="B56" s="64" t="inlineStr">
        <is>
          <t>GLIG-60081/26</t>
        </is>
      </c>
      <c r="C56" s="64" t="inlineStr">
        <is>
          <t>FS-ITBP tax invoice</t>
        </is>
      </c>
      <c r="D56" s="64" t="inlineStr">
        <is>
          <t>Others</t>
        </is>
      </c>
      <c r="E56" s="64" t="n"/>
      <c r="F56" s="82" t="n"/>
      <c r="G56" s="64" t="n"/>
      <c r="H56" s="64" t="n"/>
      <c r="I56" s="64" t="n"/>
      <c r="J56" s="84" t="e">
        <v>#N/A</v>
      </c>
      <c r="K56" s="84" t="e">
        <v>#N/A</v>
      </c>
      <c r="L56" s="92" t="e">
        <v>#N/A</v>
      </c>
      <c r="M56" s="84" t="n"/>
      <c r="T56" t="inlineStr">
        <is>
          <t>IT Equipment - ITBP Tax Invoice</t>
        </is>
      </c>
    </row>
    <row r="57" ht="18" customHeight="1">
      <c r="A57" s="84" t="n"/>
      <c r="B57" s="64" t="inlineStr">
        <is>
          <t>GLIG-60082/26</t>
        </is>
      </c>
      <c r="C57" s="64" t="inlineStr">
        <is>
          <t>fs-x10 sample test</t>
        </is>
      </c>
      <c r="D57" s="64" t="inlineStr">
        <is>
          <t>Others</t>
        </is>
      </c>
      <c r="E57" s="64" t="n"/>
      <c r="F57" s="82" t="n"/>
      <c r="G57" s="64" t="n"/>
      <c r="H57" s="64" t="n"/>
      <c r="I57" s="64" t="n"/>
      <c r="J57" s="84" t="e">
        <v>#N/A</v>
      </c>
      <c r="K57" s="84" t="e">
        <v>#N/A</v>
      </c>
      <c r="L57" s="92" t="e">
        <v>#N/A</v>
      </c>
      <c r="M57" s="84" t="n"/>
      <c r="T57" t="inlineStr">
        <is>
          <t>IT Equipment - X10 System</t>
        </is>
      </c>
    </row>
    <row r="58" ht="18" customHeight="1">
      <c r="A58" s="88" t="n">
        <v>97</v>
      </c>
      <c r="B58" s="64" t="inlineStr">
        <is>
          <t>GLIG-60098/26-1</t>
        </is>
      </c>
      <c r="C58" s="64" t="inlineStr">
        <is>
          <t>Reliability Nitrogen Generator</t>
        </is>
      </c>
      <c r="D58" s="64" t="inlineStr">
        <is>
          <t>Spares</t>
        </is>
      </c>
      <c r="E58" s="64" t="inlineStr">
        <is>
          <t>Pending Delivery</t>
        </is>
      </c>
      <c r="F58" s="82" t="n"/>
      <c r="G58" s="83" t="n"/>
      <c r="H58" s="64" t="inlineStr">
        <is>
          <t>Po issued</t>
        </is>
      </c>
      <c r="I58" s="64" t="n"/>
      <c r="J58" s="84" t="inlineStr">
        <is>
          <t>Air Products AS</t>
        </is>
      </c>
      <c r="K58" s="84" t="inlineStr">
        <is>
          <t>USD</t>
        </is>
      </c>
      <c r="L58" s="92" t="n">
        <v>12019.56</v>
      </c>
      <c r="M58" s="84" t="n"/>
      <c r="T58" t="inlineStr">
        <is>
          <t>Nitrogen Generator</t>
        </is>
      </c>
    </row>
    <row r="59" ht="18" customHeight="1">
      <c r="A59" s="88" t="n">
        <v>26</v>
      </c>
      <c r="B59" s="64" t="inlineStr">
        <is>
          <t>GLIG-60024/26-1</t>
        </is>
      </c>
      <c r="C59" s="64" t="inlineStr">
        <is>
          <t>Shipyard Extra Buyer Supply - HiNAS SVM 10800 A-Q-2025-09-02_R0</t>
        </is>
      </c>
      <c r="D59" s="64" t="inlineStr">
        <is>
          <t>Spares</t>
        </is>
      </c>
      <c r="E59" s="64" t="inlineStr">
        <is>
          <t>Delivered</t>
        </is>
      </c>
      <c r="F59" s="82" t="n">
        <v>46070</v>
      </c>
      <c r="G59" s="83" t="n"/>
      <c r="H59" s="64" t="inlineStr">
        <is>
          <t>Delivered</t>
        </is>
      </c>
      <c r="I59" s="64" t="n"/>
      <c r="J59" s="84" t="inlineStr">
        <is>
          <t>Avikus Co., Ltd.</t>
        </is>
      </c>
      <c r="K59" s="84" t="inlineStr">
        <is>
          <t>USD</t>
        </is>
      </c>
      <c r="L59" s="92" t="n">
        <v>63600.15</v>
      </c>
      <c r="M59" s="84" t="n"/>
      <c r="T59" t="inlineStr">
        <is>
          <t>Navigation - HiNAS SVM</t>
        </is>
      </c>
    </row>
    <row r="60" ht="18" customHeight="1">
      <c r="A60" s="88" t="n">
        <v>25</v>
      </c>
      <c r="B60" s="64" t="inlineStr">
        <is>
          <t>GLIG-60005/26-1</t>
        </is>
      </c>
      <c r="C60" s="64" t="inlineStr">
        <is>
          <t>Shipyard Extra Owner supply - Captains Eye</t>
        </is>
      </c>
      <c r="D60" s="64" t="inlineStr">
        <is>
          <t>Spares</t>
        </is>
      </c>
      <c r="E60" s="64" t="inlineStr">
        <is>
          <t>Pending Delivery</t>
        </is>
      </c>
      <c r="F60" s="82" t="n">
        <v>46037</v>
      </c>
      <c r="G60" s="83" t="n"/>
      <c r="H60" s="64" t="inlineStr">
        <is>
          <t>Shipped at Yard</t>
        </is>
      </c>
      <c r="I60" s="64" t="inlineStr">
        <is>
          <t>Seyi to confirm on the Installation cost if Any</t>
        </is>
      </c>
      <c r="J60" s="84" t="inlineStr">
        <is>
          <t>Captain's Eye</t>
        </is>
      </c>
      <c r="K60" s="84" t="inlineStr">
        <is>
          <t>USD</t>
        </is>
      </c>
      <c r="L60" s="92" t="n">
        <v>224200</v>
      </c>
      <c r="M60" s="84" t="n"/>
      <c r="T60" t="inlineStr">
        <is>
          <t>Navigation - Captains Eye</t>
        </is>
      </c>
    </row>
    <row r="61" ht="18" customHeight="1">
      <c r="A61" s="88" t="n">
        <v>24</v>
      </c>
      <c r="B61" s="64" t="inlineStr">
        <is>
          <t>GLIG-60038/26-1</t>
        </is>
      </c>
      <c r="C61" s="64" t="inlineStr">
        <is>
          <t>Reliability Spares - Fire detection system</t>
        </is>
      </c>
      <c r="D61" s="64" t="inlineStr">
        <is>
          <t>Spares</t>
        </is>
      </c>
      <c r="E61" s="64" t="inlineStr">
        <is>
          <t>Pending Delivery</t>
        </is>
      </c>
      <c r="F61" s="82" t="n">
        <v>46087</v>
      </c>
      <c r="G61" s="83" t="n"/>
      <c r="H61" s="65" t="inlineStr">
        <is>
          <t>Shipped to RMS</t>
        </is>
      </c>
      <c r="I61" s="64" t="n"/>
      <c r="J61" s="84" t="inlineStr">
        <is>
          <t>Consilium Marine and Safety Canada</t>
        </is>
      </c>
      <c r="K61" s="84" t="inlineStr">
        <is>
          <t>USD</t>
        </is>
      </c>
      <c r="L61" s="92" t="n">
        <v>9933</v>
      </c>
      <c r="M61" s="84" t="n"/>
      <c r="T61" t="inlineStr">
        <is>
          <t>Fire Detection System</t>
        </is>
      </c>
    </row>
    <row r="62" ht="18" customHeight="1">
      <c r="A62" s="88" t="n">
        <v>16</v>
      </c>
      <c r="B62" s="64" t="inlineStr">
        <is>
          <t>GLIG-60037/26-1</t>
        </is>
      </c>
      <c r="C62" s="64" t="inlineStr">
        <is>
          <t>Reliabiltiy Spares - Gas Detection System</t>
        </is>
      </c>
      <c r="D62" s="64" t="inlineStr">
        <is>
          <t>Spares</t>
        </is>
      </c>
      <c r="E62" s="64" t="inlineStr">
        <is>
          <t>Pending Delivery</t>
        </is>
      </c>
      <c r="F62" s="82" t="n">
        <v>46083</v>
      </c>
      <c r="G62" s="83" t="n"/>
      <c r="H62" s="65" t="inlineStr">
        <is>
          <t>Shipped to RMS</t>
        </is>
      </c>
      <c r="I62" s="64" t="n"/>
      <c r="J62" s="84" t="inlineStr">
        <is>
          <t>Consilium Marine and Safety Canada</t>
        </is>
      </c>
      <c r="K62" s="84" t="inlineStr">
        <is>
          <t>USD</t>
        </is>
      </c>
      <c r="L62" s="92" t="n">
        <v>28136</v>
      </c>
      <c r="M62" s="84" t="n"/>
      <c r="T62" t="inlineStr">
        <is>
          <t>Gas Detection System</t>
        </is>
      </c>
    </row>
    <row r="63" ht="18" customHeight="1">
      <c r="A63" s="88" t="n">
        <v>37</v>
      </c>
      <c r="B63" s="64" t="inlineStr">
        <is>
          <t>GLIG-60005/25-1</t>
        </is>
      </c>
      <c r="C63" s="64" t="inlineStr">
        <is>
          <t>SHIPYARD EXTRA OWNER SUPPLY - SWS-10.8k CEU extra cost for SMiG application</t>
        </is>
      </c>
      <c r="D63" s="64" t="inlineStr">
        <is>
          <t>Spares</t>
        </is>
      </c>
      <c r="E63" s="64" t="inlineStr">
        <is>
          <t>Pending Delivery</t>
        </is>
      </c>
      <c r="F63" s="82" t="n">
        <v>46065</v>
      </c>
      <c r="G63" s="83" t="n"/>
      <c r="H63" s="64" t="inlineStr">
        <is>
          <t>Checking with supplier if this is commissioed</t>
        </is>
      </c>
      <c r="I63" s="64" t="n"/>
      <c r="J63" s="84" t="inlineStr">
        <is>
          <t>Consilium Marine and Safety Canada</t>
        </is>
      </c>
      <c r="K63" s="84" t="inlineStr">
        <is>
          <t>USD</t>
        </is>
      </c>
      <c r="L63" s="92" t="n">
        <v>19300</v>
      </c>
      <c r="M63" s="84" t="n"/>
      <c r="T63" t="inlineStr">
        <is>
          <t>Safety Integration - SMiG</t>
        </is>
      </c>
    </row>
    <row r="64" ht="18" customHeight="1">
      <c r="A64" s="88" t="n">
        <v>96</v>
      </c>
      <c r="B64" s="64" t="inlineStr">
        <is>
          <t>GLIG-60048/26-1</t>
        </is>
      </c>
      <c r="C64" s="64" t="inlineStr">
        <is>
          <t>Reliability - Donghwa Spares for BOG Compressor</t>
        </is>
      </c>
      <c r="D64" s="64" t="inlineStr">
        <is>
          <t>Spares</t>
        </is>
      </c>
      <c r="E64" s="64" t="inlineStr">
        <is>
          <t>Pending Delivery</t>
        </is>
      </c>
      <c r="F64" s="82" t="n">
        <v>46111</v>
      </c>
      <c r="G64" s="83" t="n"/>
      <c r="H64" s="64" t="inlineStr">
        <is>
          <t>Awaiting Readiness</t>
        </is>
      </c>
      <c r="I64" s="64" t="n"/>
      <c r="J64" s="84" t="inlineStr">
        <is>
          <t>DONGHWA ENTEC CO. ,LTD</t>
        </is>
      </c>
      <c r="K64" s="84" t="inlineStr">
        <is>
          <t>USD</t>
        </is>
      </c>
      <c r="L64" s="92" t="n">
        <v>7060</v>
      </c>
      <c r="M64" s="84" t="n"/>
      <c r="T64" t="inlineStr">
        <is>
          <t>BOG Compressor Spares</t>
        </is>
      </c>
    </row>
    <row r="65" ht="18" customHeight="1">
      <c r="A65" s="88" t="n">
        <v>89</v>
      </c>
      <c r="B65" s="64" t="inlineStr">
        <is>
          <t>GLIG-60047/26-1</t>
        </is>
      </c>
      <c r="C65" s="64" t="inlineStr">
        <is>
          <t>Pre Delivery - Sample Cooler</t>
        </is>
      </c>
      <c r="D65" s="64" t="inlineStr">
        <is>
          <t>Spares</t>
        </is>
      </c>
      <c r="E65" s="64" t="inlineStr">
        <is>
          <t>Delivered</t>
        </is>
      </c>
      <c r="F65" s="82" t="n">
        <v>46101</v>
      </c>
      <c r="G65" s="83" t="n"/>
      <c r="H65" s="64" t="inlineStr">
        <is>
          <t>Delivered</t>
        </is>
      </c>
      <c r="I65" s="64" t="n"/>
      <c r="J65" s="84" t="inlineStr">
        <is>
          <t>Drew Marine USA, Inc</t>
        </is>
      </c>
      <c r="K65" s="84" t="inlineStr">
        <is>
          <t>USD</t>
        </is>
      </c>
      <c r="L65" s="92" t="n">
        <v>10858</v>
      </c>
      <c r="M65" s="84" t="n"/>
      <c r="T65" t="inlineStr">
        <is>
          <t>Sample Cooler</t>
        </is>
      </c>
    </row>
    <row r="66" ht="18" customHeight="1">
      <c r="A66" s="88" t="n">
        <v>4</v>
      </c>
      <c r="B66" s="64" t="inlineStr">
        <is>
          <t>GLIG-60026/26-2</t>
        </is>
      </c>
      <c r="C66" s="64" t="inlineStr">
        <is>
          <t>Reliability Spares - 10,8K CEU SWS - GVT- Eltronic</t>
        </is>
      </c>
      <c r="D66" s="64" t="inlineStr">
        <is>
          <t>Spares</t>
        </is>
      </c>
      <c r="E66" s="64" t="inlineStr">
        <is>
          <t>Pending Delivery</t>
        </is>
      </c>
      <c r="F66" s="82" t="n">
        <v>46084</v>
      </c>
      <c r="G66" s="83" t="n"/>
      <c r="H66" s="64" t="inlineStr">
        <is>
          <t>Po ready asked for Shipping Details</t>
        </is>
      </c>
      <c r="I66" s="64" t="n"/>
      <c r="J66" s="84" t="inlineStr">
        <is>
          <t>Eltronic FuelTech A/S</t>
        </is>
      </c>
      <c r="K66" s="84" t="inlineStr">
        <is>
          <t>EUR</t>
        </is>
      </c>
      <c r="L66" s="92" t="n">
        <v>2431</v>
      </c>
      <c r="M66" s="84" t="n"/>
      <c r="T66" t="inlineStr">
        <is>
          <t>Boiler Spares</t>
        </is>
      </c>
    </row>
    <row r="67" ht="18" customHeight="1">
      <c r="A67" s="88" t="n">
        <v>40</v>
      </c>
      <c r="B67" s="64" t="inlineStr">
        <is>
          <t>GLIG-60042/26-1</t>
        </is>
      </c>
      <c r="C67" s="64" t="inlineStr">
        <is>
          <t>SHIPYARD EXTRA OWNER SUPPLY- Abanaki Skimmers</t>
        </is>
      </c>
      <c r="D67" s="64" t="inlineStr">
        <is>
          <t>Spares</t>
        </is>
      </c>
      <c r="E67" s="64" t="inlineStr">
        <is>
          <t>Delivered</t>
        </is>
      </c>
      <c r="F67" s="82" t="n">
        <v>46100</v>
      </c>
      <c r="G67" s="83" t="n"/>
      <c r="H67" s="64" t="inlineStr">
        <is>
          <t>Order shipped to Yard Fedex #889699529619</t>
        </is>
      </c>
      <c r="I67" s="64" t="inlineStr">
        <is>
          <t>Delivered</t>
        </is>
      </c>
      <c r="J67" s="84" t="inlineStr">
        <is>
          <t>Hermont Marine Inc</t>
        </is>
      </c>
      <c r="K67" s="84" t="inlineStr">
        <is>
          <t>USD</t>
        </is>
      </c>
      <c r="L67" s="92" t="n">
        <v>10325</v>
      </c>
      <c r="M67" s="84" t="n"/>
      <c r="T67" t="inlineStr">
        <is>
          <t>Oil Skimmers - Abanaki</t>
        </is>
      </c>
    </row>
    <row r="68" ht="18" customHeight="1">
      <c r="A68" s="88" t="n">
        <v>18</v>
      </c>
      <c r="B68" s="64" t="inlineStr">
        <is>
          <t>GLIG-60034/26-1</t>
        </is>
      </c>
      <c r="C68" s="64" t="inlineStr">
        <is>
          <t>Jonghap - PCTC Loose Fittings Procurement</t>
        </is>
      </c>
      <c r="D68" s="64" t="inlineStr">
        <is>
          <t>Spares</t>
        </is>
      </c>
      <c r="E68" s="64" t="inlineStr">
        <is>
          <t>Pending Delivery</t>
        </is>
      </c>
      <c r="F68" s="82" t="n">
        <v>46084</v>
      </c>
      <c r="G68" s="83" t="n"/>
      <c r="H68" s="64" t="inlineStr">
        <is>
          <t>Weekly updated Provided</t>
        </is>
      </c>
      <c r="I68" s="64" t="inlineStr">
        <is>
          <t>GLIG-60034/26-1 cancelled and GLIG-60034/26-2 to be approved</t>
        </is>
      </c>
      <c r="J68" s="84" t="inlineStr">
        <is>
          <t>Jonghap Maritime Engineering Inc.</t>
        </is>
      </c>
      <c r="K68" s="84" t="inlineStr">
        <is>
          <t>USD</t>
        </is>
      </c>
      <c r="L68" s="92" t="n">
        <v>486174.37</v>
      </c>
      <c r="M68" s="84" t="n"/>
      <c r="T68" t="inlineStr">
        <is>
          <t>RO-RO Equipment - Loose Fittings</t>
        </is>
      </c>
    </row>
    <row r="69" ht="18" customHeight="1">
      <c r="A69" s="88" t="n">
        <v>13</v>
      </c>
      <c r="B69" s="64" t="inlineStr">
        <is>
          <t>GLIG-60033/26-1</t>
        </is>
      </c>
      <c r="C69" s="64" t="inlineStr">
        <is>
          <t>Reliability Spares - PCTC-Seaspan - Boilers QUOT26012103</t>
        </is>
      </c>
      <c r="D69" s="64" t="inlineStr">
        <is>
          <t>Spares</t>
        </is>
      </c>
      <c r="E69" s="64" t="inlineStr">
        <is>
          <t>Pending Delivery</t>
        </is>
      </c>
      <c r="F69" s="82" t="n">
        <v>46087</v>
      </c>
      <c r="G69" s="83" t="n"/>
      <c r="H69" s="64" t="inlineStr">
        <is>
          <t>Awaiting Readiness</t>
        </is>
      </c>
      <c r="I69" s="64" t="n"/>
      <c r="J69" s="84" t="inlineStr">
        <is>
          <t>Kangrim Industries Company Limited</t>
        </is>
      </c>
      <c r="K69" s="84" t="inlineStr">
        <is>
          <t>USD</t>
        </is>
      </c>
      <c r="L69" s="92" t="n">
        <v>23967.9</v>
      </c>
      <c r="M69" s="84" t="n"/>
      <c r="T69" t="inlineStr">
        <is>
          <t>Boiler Spares</t>
        </is>
      </c>
    </row>
    <row r="70" ht="18" customHeight="1">
      <c r="A70" s="88" t="n">
        <v>92</v>
      </c>
      <c r="B70" s="87" t="inlineStr">
        <is>
          <t>GLIG-60079/26-1</t>
        </is>
      </c>
      <c r="C70" s="64" t="inlineStr">
        <is>
          <t>Main Engine Spares</t>
        </is>
      </c>
      <c r="D70" s="64" t="inlineStr">
        <is>
          <t>Spares</t>
        </is>
      </c>
      <c r="E70" s="64" t="inlineStr">
        <is>
          <t>Pending Delivery</t>
        </is>
      </c>
      <c r="F70" s="82" t="n"/>
      <c r="G70" s="83" t="n"/>
      <c r="H70" s="64" t="inlineStr">
        <is>
          <t>Awaiting Readiness</t>
        </is>
      </c>
      <c r="I70" s="64" t="n"/>
      <c r="J70" s="84" t="inlineStr">
        <is>
          <t>MAN B and W Diesel-Copenhagen Denmark</t>
        </is>
      </c>
      <c r="K70" s="84" t="inlineStr">
        <is>
          <t>EUR</t>
        </is>
      </c>
      <c r="L70" s="92" t="n">
        <v>215083.08</v>
      </c>
      <c r="M70" s="84" t="n"/>
      <c r="T70" t="inlineStr">
        <is>
          <t>Engine Spares - Main Engine</t>
        </is>
      </c>
    </row>
    <row r="71" ht="18" customHeight="1">
      <c r="A71" s="88" t="n">
        <v>119</v>
      </c>
      <c r="B71" s="64" t="inlineStr">
        <is>
          <t>GLIG-60094/26-1</t>
        </is>
      </c>
      <c r="C71" s="64" t="inlineStr">
        <is>
          <t>EV Lance</t>
        </is>
      </c>
      <c r="D71" s="64" t="inlineStr">
        <is>
          <t>Spares</t>
        </is>
      </c>
      <c r="E71" s="64" t="inlineStr">
        <is>
          <t>Pending Delivery</t>
        </is>
      </c>
      <c r="F71" s="82" t="n"/>
      <c r="G71" s="83" t="n"/>
      <c r="H71" s="64" t="inlineStr">
        <is>
          <t>Awaiting Readiness</t>
        </is>
      </c>
      <c r="I71" s="64" t="n"/>
      <c r="J71" s="84" t="inlineStr">
        <is>
          <t>MOL Techno Trade Ltd</t>
        </is>
      </c>
      <c r="K71" s="84" t="inlineStr">
        <is>
          <t>JPY</t>
        </is>
      </c>
      <c r="L71" s="92" t="n">
        <v>1794590</v>
      </c>
      <c r="M71" s="84" t="n"/>
      <c r="T71" t="inlineStr">
        <is>
          <t>EV Lance</t>
        </is>
      </c>
    </row>
    <row r="72" ht="18" customHeight="1">
      <c r="A72" s="88" t="n">
        <v>66</v>
      </c>
      <c r="B72" s="64" t="inlineStr">
        <is>
          <t>GLIG-60046/26-1</t>
        </is>
      </c>
      <c r="C72" s="64" t="inlineStr">
        <is>
          <t>Seatab</t>
        </is>
      </c>
      <c r="D72" s="64" t="inlineStr">
        <is>
          <t>Spares</t>
        </is>
      </c>
      <c r="E72" s="64" t="inlineStr">
        <is>
          <t>Pending Delivery</t>
        </is>
      </c>
      <c r="F72" s="82" t="n"/>
      <c r="G72" s="83" t="n"/>
      <c r="H72" s="64" t="inlineStr">
        <is>
          <t>Awaiting Readiness</t>
        </is>
      </c>
      <c r="I72" s="64" t="inlineStr">
        <is>
          <t>Cannot deliver at China, will be deliverde at Sailing Port</t>
        </is>
      </c>
      <c r="J72" s="84" t="inlineStr">
        <is>
          <t>OneOcean AS</t>
        </is>
      </c>
      <c r="K72" s="84" t="inlineStr">
        <is>
          <t>USD</t>
        </is>
      </c>
      <c r="L72" s="92" t="n">
        <v>3887.28</v>
      </c>
      <c r="M72" s="84" t="n"/>
      <c r="T72" t="inlineStr">
        <is>
          <t>Seatab</t>
        </is>
      </c>
    </row>
    <row r="73" ht="18" customHeight="1">
      <c r="A73" s="88" t="n">
        <v>110</v>
      </c>
      <c r="B73" s="64" t="inlineStr">
        <is>
          <t>GLIG-60088/26-1</t>
        </is>
      </c>
      <c r="C73" s="64" t="inlineStr">
        <is>
          <t>Gas meters</t>
        </is>
      </c>
      <c r="D73" s="64" t="inlineStr">
        <is>
          <t>Spares</t>
        </is>
      </c>
      <c r="E73" s="64" t="inlineStr">
        <is>
          <t>Pending Delivery</t>
        </is>
      </c>
      <c r="F73" s="82" t="n"/>
      <c r="G73" s="83" t="n"/>
      <c r="H73" s="64" t="inlineStr">
        <is>
          <t>Poseidon working on a earlier date</t>
        </is>
      </c>
      <c r="I73" s="64" t="n"/>
      <c r="J73" s="84" t="inlineStr">
        <is>
          <t>POSEIDON MARINE SUPPLIES LTD</t>
        </is>
      </c>
      <c r="K73" s="84" t="inlineStr">
        <is>
          <t>EUR</t>
        </is>
      </c>
      <c r="L73" s="92" t="n">
        <v>2400.16</v>
      </c>
      <c r="M73" s="84" t="n"/>
      <c r="T73" t="inlineStr">
        <is>
          <t>Gas Meters</t>
        </is>
      </c>
    </row>
    <row r="74" ht="18" customHeight="1">
      <c r="A74" s="88" t="n">
        <v>41</v>
      </c>
      <c r="B74" s="64" t="inlineStr">
        <is>
          <t>GLIG-60043/26-1</t>
        </is>
      </c>
      <c r="C74" s="64" t="inlineStr">
        <is>
          <t>Garbage Compactor</t>
        </is>
      </c>
      <c r="D74" s="64" t="inlineStr">
        <is>
          <t>Spares</t>
        </is>
      </c>
      <c r="E74" s="64" t="inlineStr">
        <is>
          <t>Delivered</t>
        </is>
      </c>
      <c r="F74" s="82" t="n"/>
      <c r="G74" s="83" t="n"/>
      <c r="H74" s="64" t="inlineStr">
        <is>
          <t>Delivered as per POD</t>
        </is>
      </c>
      <c r="I74" s="64" t="n"/>
      <c r="J74" s="84" t="inlineStr">
        <is>
          <t>Vessel Link Marine Supply &amp; Service Ltd</t>
        </is>
      </c>
      <c r="K74" s="84" t="inlineStr">
        <is>
          <t>USD</t>
        </is>
      </c>
      <c r="L74" s="92" t="n">
        <v>4350</v>
      </c>
      <c r="M74" s="84" t="n"/>
      <c r="T74" t="inlineStr">
        <is>
          <t>Garbage Compactor</t>
        </is>
      </c>
    </row>
    <row r="75" ht="18" customHeight="1">
      <c r="A75" s="88" t="n">
        <v>84</v>
      </c>
      <c r="B75" s="64" t="inlineStr">
        <is>
          <t>GLIG-60100/26-1</t>
        </is>
      </c>
      <c r="C75" s="64" t="inlineStr">
        <is>
          <t>UHF Radio (Handheld)</t>
        </is>
      </c>
      <c r="D75" s="64" t="inlineStr">
        <is>
          <t>Spares</t>
        </is>
      </c>
      <c r="E75" s="64" t="inlineStr">
        <is>
          <t>Pending Delivery</t>
        </is>
      </c>
      <c r="F75" s="82" t="n"/>
      <c r="G75" s="83" t="n"/>
      <c r="H75" s="64" t="inlineStr">
        <is>
          <t>Po issued for 6 Vsl's</t>
        </is>
      </c>
      <c r="I75" s="64" t="n"/>
      <c r="J75" s="84" t="inlineStr">
        <is>
          <t>Vessel Link Marine Supply &amp; Service Ltd</t>
        </is>
      </c>
      <c r="K75" s="84" t="inlineStr">
        <is>
          <t>USD</t>
        </is>
      </c>
      <c r="L75" s="92" t="n">
        <v>32128</v>
      </c>
      <c r="M75" s="84" t="n"/>
      <c r="T75" t="inlineStr">
        <is>
          <t>UHF Radio</t>
        </is>
      </c>
    </row>
    <row r="76" ht="18" customHeight="1">
      <c r="A76" s="88" t="n"/>
      <c r="B76" s="64" t="inlineStr">
        <is>
          <t>GLIG-60093/26-1</t>
        </is>
      </c>
      <c r="C76" s="64" t="inlineStr">
        <is>
          <t>VISWA Line Samplers</t>
        </is>
      </c>
      <c r="D76" s="64" t="inlineStr">
        <is>
          <t>Spares</t>
        </is>
      </c>
      <c r="E76" s="64" t="inlineStr">
        <is>
          <t>Pending Delivery</t>
        </is>
      </c>
      <c r="F76" s="82" t="n"/>
      <c r="G76" s="83" t="n"/>
      <c r="H76" s="64" t="inlineStr">
        <is>
          <t>Awaiting Readiness</t>
        </is>
      </c>
      <c r="I76" s="64" t="n"/>
      <c r="J76" s="84" t="inlineStr">
        <is>
          <t>Viswam Limited</t>
        </is>
      </c>
      <c r="K76" s="84" t="inlineStr">
        <is>
          <t>USD</t>
        </is>
      </c>
      <c r="L76" s="92" t="n">
        <v>1630</v>
      </c>
      <c r="M76" s="84" t="n"/>
      <c r="T76" t="inlineStr">
        <is>
          <t>VISWA Line Samplers</t>
        </is>
      </c>
    </row>
    <row r="77" ht="18" customHeight="1">
      <c r="A77" s="88" t="n">
        <v>93</v>
      </c>
      <c r="B77" s="64" t="inlineStr">
        <is>
          <t>GLIG-60080/26-1</t>
        </is>
      </c>
      <c r="C77" s="64" t="inlineStr">
        <is>
          <t>Aux. Engine Spares</t>
        </is>
      </c>
      <c r="D77" s="64" t="inlineStr">
        <is>
          <t>Spares</t>
        </is>
      </c>
      <c r="E77" s="64" t="inlineStr">
        <is>
          <t>Pending Delivery</t>
        </is>
      </c>
      <c r="F77" s="82" t="n"/>
      <c r="G77" s="83" t="n"/>
      <c r="H77" s="64" t="inlineStr">
        <is>
          <t>Po issued on Wartsila</t>
        </is>
      </c>
      <c r="I77" s="64" t="n"/>
      <c r="J77" s="84" t="inlineStr">
        <is>
          <t>Wartsila Canada Inc.</t>
        </is>
      </c>
      <c r="K77" s="84" t="inlineStr">
        <is>
          <t>EUR</t>
        </is>
      </c>
      <c r="L77" s="92" t="n">
        <v>113839.26</v>
      </c>
      <c r="M77" s="84" t="n"/>
      <c r="T77" t="inlineStr">
        <is>
          <t>Engine Spares - Auxiliary Engine</t>
        </is>
      </c>
    </row>
    <row r="78" ht="18" customHeight="1">
      <c r="A78" s="88" t="n">
        <v>19</v>
      </c>
      <c r="B78" s="87" t="inlineStr">
        <is>
          <t>GLIG-60087/26-1</t>
        </is>
      </c>
      <c r="C78" s="64" t="inlineStr">
        <is>
          <t>Buyer Supply - 10,800 PCTC Citadel VHF/GPS and UHF ANTENNA system</t>
        </is>
      </c>
      <c r="D78" s="64" t="inlineStr">
        <is>
          <t>Spares</t>
        </is>
      </c>
      <c r="E78" s="64" t="inlineStr">
        <is>
          <t>Pending Delivery</t>
        </is>
      </c>
      <c r="F78" s="82" t="n">
        <v>46083</v>
      </c>
      <c r="G78" s="83" t="n"/>
      <c r="H78" s="64" t="inlineStr">
        <is>
          <t>Po issued on West Nautical</t>
        </is>
      </c>
      <c r="I78" s="64" t="n"/>
      <c r="J78" s="84" t="inlineStr">
        <is>
          <t>West Nautical Pte Ltd</t>
        </is>
      </c>
      <c r="K78" s="84" t="inlineStr">
        <is>
          <t>USD</t>
        </is>
      </c>
      <c r="L78" s="92" t="n">
        <v>39000.01</v>
      </c>
      <c r="M78" s="84" t="n"/>
      <c r="T78" t="inlineStr">
        <is>
          <t>Citadel VHF/GPS/UHF System</t>
        </is>
      </c>
    </row>
    <row r="79" ht="18" customHeight="1">
      <c r="A79" s="88" t="n">
        <v>83</v>
      </c>
      <c r="B79" s="87" t="inlineStr">
        <is>
          <t>GLIG-60066/26-1</t>
        </is>
      </c>
      <c r="C79" s="64" t="inlineStr">
        <is>
          <t>Mooring Rope</t>
        </is>
      </c>
      <c r="D79" s="64" t="inlineStr">
        <is>
          <t>Spares</t>
        </is>
      </c>
      <c r="E79" s="64" t="inlineStr">
        <is>
          <t>Pending Delivery</t>
        </is>
      </c>
      <c r="F79" s="82" t="n"/>
      <c r="G79" s="83" t="n"/>
      <c r="H79" s="64" t="inlineStr">
        <is>
          <t>Po issued on Xinglun</t>
        </is>
      </c>
      <c r="I79" s="64" t="n"/>
      <c r="J79" s="84" t="inlineStr">
        <is>
          <t>XINGLUN ROPE CABLE CO.,LTD</t>
        </is>
      </c>
      <c r="K79" s="84" t="inlineStr">
        <is>
          <t>USD</t>
        </is>
      </c>
      <c r="L79" s="92" t="n">
        <v>80788.25</v>
      </c>
      <c r="M79" s="84" t="n"/>
      <c r="T79" t="inlineStr">
        <is>
          <t>Mooring Ropes</t>
        </is>
      </c>
    </row>
    <row r="80" ht="18" customHeight="1">
      <c r="A80" s="88" t="n">
        <v>6</v>
      </c>
      <c r="B80" s="64" t="inlineStr">
        <is>
          <t>GLIG-60003/25</t>
        </is>
      </c>
      <c r="C80" s="64" t="inlineStr">
        <is>
          <t>Citadel VHF/GPS and UHF ANTENNA system</t>
        </is>
      </c>
      <c r="D80" s="64" t="inlineStr">
        <is>
          <t>Spares</t>
        </is>
      </c>
      <c r="E80" s="64" t="inlineStr">
        <is>
          <t>Delivered</t>
        </is>
      </c>
      <c r="F80" s="82" t="n"/>
      <c r="G80" s="83" t="n"/>
      <c r="H80" s="64" t="inlineStr">
        <is>
          <t>PO 000030180276 Dummy Po raised as Vendor not enlisted in Jibe</t>
        </is>
      </c>
      <c r="I80" s="64" t="inlineStr">
        <is>
          <t>Sahaya to create Po in Jibe</t>
        </is>
      </c>
      <c r="J80" s="84" t="e">
        <v>#N/A</v>
      </c>
      <c r="K80" s="84" t="e">
        <v>#N/A</v>
      </c>
      <c r="L80" s="92" t="e">
        <v>#N/A</v>
      </c>
      <c r="M80" s="84" t="n"/>
      <c r="T80" t="inlineStr">
        <is>
          <t>Citadel VHF/GPS/UHF System</t>
        </is>
      </c>
    </row>
    <row r="81">
      <c r="A81" s="88" t="n">
        <v>73</v>
      </c>
      <c r="B81" s="64" t="inlineStr">
        <is>
          <t>GLIG-60085/26-1</t>
        </is>
      </c>
      <c r="C81" s="64" t="inlineStr">
        <is>
          <t>Air driven HP Pump - For hydraulic nuts for M/E</t>
        </is>
      </c>
      <c r="D81" s="64" t="inlineStr">
        <is>
          <t>Spares</t>
        </is>
      </c>
      <c r="E81" s="64" t="inlineStr">
        <is>
          <t>Pending Delivery</t>
        </is>
      </c>
      <c r="F81" s="82" t="n"/>
      <c r="G81" s="83" t="n"/>
      <c r="H81" s="64" t="inlineStr">
        <is>
          <t>Po issued on 6 Vsl's</t>
        </is>
      </c>
      <c r="I81" s="64" t="n"/>
      <c r="J81" s="84" t="e">
        <v>#N/A</v>
      </c>
      <c r="K81" s="84" t="e">
        <v>#N/A</v>
      </c>
      <c r="L81" s="92" t="e">
        <v>#N/A</v>
      </c>
      <c r="M81" s="84" t="n"/>
      <c r="T81" t="inlineStr">
        <is>
          <t>High Pressure Washer</t>
        </is>
      </c>
    </row>
    <row r="82" ht="18" customHeight="1">
      <c r="A82" s="88" t="n">
        <v>94</v>
      </c>
      <c r="B82" s="64" t="n"/>
      <c r="C82" s="64" t="inlineStr">
        <is>
          <t>Reliability RO-RO Equipment (Main &amp; Centre Ramp spares + inner Ramp spares)</t>
        </is>
      </c>
      <c r="D82" s="64" t="inlineStr">
        <is>
          <t>Spares</t>
        </is>
      </c>
      <c r="E82" s="64" t="inlineStr">
        <is>
          <t>Not Created</t>
        </is>
      </c>
      <c r="F82" s="82" t="n"/>
      <c r="G82" s="83" t="n"/>
      <c r="H82" s="64" t="inlineStr">
        <is>
          <t>Quotes recd by OPS</t>
        </is>
      </c>
      <c r="I82" s="64" t="inlineStr">
        <is>
          <t>Kshitij to fwd to enlist in Database</t>
        </is>
      </c>
      <c r="J82" s="84" t="e">
        <v>#N/A</v>
      </c>
      <c r="K82" s="84" t="e">
        <v>#N/A</v>
      </c>
      <c r="L82" s="92" t="e">
        <v>#N/A</v>
      </c>
      <c r="M82" s="84" t="n"/>
      <c r="T82" t="inlineStr">
        <is>
          <t>RO-RO Equipment - Spares</t>
        </is>
      </c>
    </row>
    <row r="83" ht="18" customHeight="1">
      <c r="A83" s="88" t="n">
        <v>95</v>
      </c>
      <c r="B83" s="64" t="n"/>
      <c r="C83" s="64" t="inlineStr">
        <is>
          <t>Reliability HP Pump Skid</t>
        </is>
      </c>
      <c r="D83" s="64" t="inlineStr">
        <is>
          <t>Spares</t>
        </is>
      </c>
      <c r="E83" s="64" t="inlineStr">
        <is>
          <t>Not Created</t>
        </is>
      </c>
      <c r="F83" s="82" t="n"/>
      <c r="G83" s="83" t="n"/>
      <c r="H83" s="64" t="inlineStr">
        <is>
          <t>Supplier not seen in Jibe</t>
        </is>
      </c>
      <c r="I83" s="64" t="n"/>
      <c r="J83" s="84" t="e">
        <v>#N/A</v>
      </c>
      <c r="K83" s="84" t="e">
        <v>#N/A</v>
      </c>
      <c r="L83" s="92" t="e">
        <v>#N/A</v>
      </c>
      <c r="M83" s="84" t="n"/>
      <c r="T83" t="inlineStr">
        <is>
          <t>High Pressure Washer</t>
        </is>
      </c>
    </row>
    <row r="84" ht="18" customHeight="1">
      <c r="A84" s="88" t="n">
        <v>107</v>
      </c>
      <c r="B84" s="64" t="n"/>
      <c r="C84" s="64" t="inlineStr">
        <is>
          <t>Reefer cable and plugs extensions</t>
        </is>
      </c>
      <c r="D84" s="64" t="inlineStr">
        <is>
          <t>Spares</t>
        </is>
      </c>
      <c r="E84" s="64" t="inlineStr">
        <is>
          <t>Not Created</t>
        </is>
      </c>
      <c r="F84" s="82" t="n"/>
      <c r="G84" s="83" t="n"/>
      <c r="H84" s="64" t="inlineStr">
        <is>
          <t>Seyi to confirmif this is needed</t>
        </is>
      </c>
      <c r="I84" s="64" t="inlineStr">
        <is>
          <t>Monirul to discuss with Seyi</t>
        </is>
      </c>
      <c r="J84" s="84" t="e">
        <v>#N/A</v>
      </c>
      <c r="K84" s="84" t="e">
        <v>#N/A</v>
      </c>
      <c r="L84" s="92" t="e">
        <v>#N/A</v>
      </c>
      <c r="M84" s="84" t="n"/>
      <c r="T84" t="inlineStr">
        <is>
          <t>Refrigerant Equipment</t>
        </is>
      </c>
    </row>
    <row r="85" ht="18" customHeight="1">
      <c r="A85" s="88" t="n">
        <v>110</v>
      </c>
      <c r="B85" s="64" t="inlineStr">
        <is>
          <t>GLIG-60115/26</t>
        </is>
      </c>
      <c r="C85" s="64" t="inlineStr">
        <is>
          <t>Gas Cylinders</t>
        </is>
      </c>
      <c r="D85" s="64" t="inlineStr">
        <is>
          <t>Spares</t>
        </is>
      </c>
      <c r="E85" s="64" t="inlineStr">
        <is>
          <t>Pending Approval</t>
        </is>
      </c>
      <c r="F85" s="82" t="n"/>
      <c r="G85" s="83" t="n"/>
      <c r="H85" s="64" t="inlineStr">
        <is>
          <t>Poseidon working on a earlier date</t>
        </is>
      </c>
      <c r="I85" s="64" t="n"/>
      <c r="J85" s="84" t="e">
        <v>#N/A</v>
      </c>
      <c r="K85" s="84" t="e">
        <v>#N/A</v>
      </c>
      <c r="L85" s="92" t="e">
        <v>#N/A</v>
      </c>
      <c r="M85" s="84" t="n"/>
      <c r="T85" t="inlineStr">
        <is>
          <t>Industrial Gases</t>
        </is>
      </c>
    </row>
    <row r="86" ht="18" customHeight="1">
      <c r="A86" s="88" t="n">
        <v>116</v>
      </c>
      <c r="B86" s="64" t="n"/>
      <c r="C86" s="64" t="inlineStr">
        <is>
          <t>Thermal Stop PO</t>
        </is>
      </c>
      <c r="D86" s="64" t="inlineStr">
        <is>
          <t>Spares</t>
        </is>
      </c>
      <c r="E86" s="64" t="inlineStr">
        <is>
          <t>Not Created</t>
        </is>
      </c>
      <c r="F86" s="82" t="n"/>
      <c r="G86" s="83" t="n"/>
      <c r="H86" s="64" t="inlineStr">
        <is>
          <t>Onhold as advised by Abhishek</t>
        </is>
      </c>
      <c r="I86" s="64" t="inlineStr">
        <is>
          <t>Abhishek to review and advise further</t>
        </is>
      </c>
      <c r="J86" s="84" t="e">
        <v>#N/A</v>
      </c>
      <c r="K86" s="84" t="e">
        <v>#N/A</v>
      </c>
      <c r="L86" s="92" t="e">
        <v>#N/A</v>
      </c>
      <c r="M86" s="84" t="n"/>
      <c r="T86" t="inlineStr">
        <is>
          <t>Shipyard / Miscellaneous</t>
        </is>
      </c>
    </row>
    <row r="87" ht="18" customHeight="1">
      <c r="A87" s="88" t="n">
        <v>120</v>
      </c>
      <c r="B87" s="64" t="n"/>
      <c r="C87" s="64" t="inlineStr">
        <is>
          <t>Receptacles</t>
        </is>
      </c>
      <c r="D87" s="64" t="inlineStr">
        <is>
          <t>Spares</t>
        </is>
      </c>
      <c r="E87" s="64" t="inlineStr">
        <is>
          <t>Not Created</t>
        </is>
      </c>
      <c r="F87" s="82" t="n"/>
      <c r="G87" s="83" t="n"/>
      <c r="H87" s="64" t="inlineStr">
        <is>
          <t>Already Delivered at Yard 220 VAC 1PH, Buyer Supplied Equipment</t>
        </is>
      </c>
      <c r="I87" s="64" t="inlineStr">
        <is>
          <t>Monirul to confirm with Seyi/ Su</t>
        </is>
      </c>
      <c r="J87" s="84" t="e">
        <v>#N/A</v>
      </c>
      <c r="K87" s="84" t="e">
        <v>#N/A</v>
      </c>
      <c r="L87" s="92" t="e">
        <v>#N/A</v>
      </c>
      <c r="M87" s="84" t="n"/>
      <c r="T87" t="inlineStr">
        <is>
          <t>Shipyard / Miscellaneous</t>
        </is>
      </c>
    </row>
    <row r="88" ht="18" customHeight="1">
      <c r="A88" s="88" t="n">
        <v>65</v>
      </c>
      <c r="B88" s="64" t="n"/>
      <c r="C88" s="64" t="inlineStr">
        <is>
          <t>Trelleborg Safe lanes</t>
        </is>
      </c>
      <c r="D88" s="64" t="inlineStr">
        <is>
          <t>Spares</t>
        </is>
      </c>
      <c r="E88" s="64" t="inlineStr">
        <is>
          <t>Not Created</t>
        </is>
      </c>
      <c r="F88" s="82" t="n"/>
      <c r="G88" s="83" t="n"/>
      <c r="H88" s="64" t="inlineStr">
        <is>
          <t>Delivered by Yard on Sws Vsl's</t>
        </is>
      </c>
      <c r="I88" s="64" t="n"/>
      <c r="J88" s="84" t="e">
        <v>#N/A</v>
      </c>
      <c r="K88" s="84" t="e">
        <v>#N/A</v>
      </c>
      <c r="L88" s="92" t="e">
        <v>#N/A</v>
      </c>
      <c r="M88" s="84" t="n"/>
      <c r="T88" t="inlineStr">
        <is>
          <t>Safety &amp; PPE</t>
        </is>
      </c>
    </row>
    <row r="89" ht="18" customHeight="1">
      <c r="A89" s="84" t="n"/>
      <c r="B89" s="64" t="inlineStr">
        <is>
          <t>GLIG-60101/26</t>
        </is>
      </c>
      <c r="C89" s="64" t="inlineStr">
        <is>
          <t>Main Engine - Additional Spares</t>
        </is>
      </c>
      <c r="D89" s="64" t="inlineStr">
        <is>
          <t>Spares</t>
        </is>
      </c>
      <c r="E89" s="64" t="inlineStr">
        <is>
          <t>Pending Approval</t>
        </is>
      </c>
      <c r="F89" s="82" t="n"/>
      <c r="G89" s="64" t="n"/>
      <c r="H89" s="64" t="n"/>
      <c r="I89" s="64" t="inlineStr">
        <is>
          <t>Monirul to Approve Po</t>
        </is>
      </c>
      <c r="J89" s="84" t="e">
        <v>#N/A</v>
      </c>
      <c r="K89" s="84" t="e">
        <v>#N/A</v>
      </c>
      <c r="L89" s="92" t="e">
        <v>#N/A</v>
      </c>
      <c r="M89" s="84" t="n"/>
      <c r="T89" t="inlineStr">
        <is>
          <t>Engine Spares - Main Engine</t>
        </is>
      </c>
    </row>
    <row r="90" ht="18" customHeight="1">
      <c r="A90" s="88" t="n">
        <v>50</v>
      </c>
      <c r="B90" s="64" t="inlineStr">
        <is>
          <t>GLIG-60103/26-1</t>
        </is>
      </c>
      <c r="C90" s="64" t="inlineStr">
        <is>
          <t>IMPA Stores - BA Compressor</t>
        </is>
      </c>
      <c r="D90" s="64" t="inlineStr">
        <is>
          <t>Stores</t>
        </is>
      </c>
      <c r="E90" s="64" t="inlineStr">
        <is>
          <t>Pending Delivery</t>
        </is>
      </c>
      <c r="F90" s="82" t="n"/>
      <c r="G90" s="83" t="n"/>
      <c r="H90" s="64" t="inlineStr">
        <is>
          <t>Dan Marine at Yard</t>
        </is>
      </c>
      <c r="I90" s="64" t="n"/>
      <c r="J90" s="84" t="inlineStr">
        <is>
          <t>Dan Marine Group Ltd.</t>
        </is>
      </c>
      <c r="K90" s="84" t="inlineStr">
        <is>
          <t>USD</t>
        </is>
      </c>
      <c r="L90" s="92" t="n">
        <v>6929.02</v>
      </c>
      <c r="M90" s="84" t="n"/>
      <c r="T90" t="inlineStr">
        <is>
          <t>IMPA Stores - BA Compressor</t>
        </is>
      </c>
    </row>
    <row r="91" ht="18" customHeight="1">
      <c r="A91" s="88" t="n">
        <v>70</v>
      </c>
      <c r="B91" s="64" t="inlineStr">
        <is>
          <t>GLIG-60102/26-1</t>
        </is>
      </c>
      <c r="C91" s="64" t="inlineStr">
        <is>
          <t>Temperature Calibrators</t>
        </is>
      </c>
      <c r="D91" s="64" t="inlineStr">
        <is>
          <t>Stores</t>
        </is>
      </c>
      <c r="E91" s="64" t="inlineStr">
        <is>
          <t>Pending Delivery</t>
        </is>
      </c>
      <c r="F91" s="82" t="n"/>
      <c r="G91" s="83" t="n"/>
      <c r="H91" s="64" t="inlineStr">
        <is>
          <t>Po raised for 6 Vsl's</t>
        </is>
      </c>
      <c r="I91" s="64" t="n"/>
      <c r="J91" s="84" t="inlineStr">
        <is>
          <t>Dan Marine Group Ltd.</t>
        </is>
      </c>
      <c r="K91" s="84" t="inlineStr">
        <is>
          <t>USD</t>
        </is>
      </c>
      <c r="L91" s="92" t="n">
        <v>5860</v>
      </c>
      <c r="M91" s="84" t="n"/>
      <c r="T91" t="inlineStr">
        <is>
          <t>Temperature Calibrators</t>
        </is>
      </c>
    </row>
    <row r="92" ht="18" customHeight="1">
      <c r="A92" s="88" t="n"/>
      <c r="B92" s="64" t="inlineStr">
        <is>
          <t>GLIG-60102/26-1</t>
        </is>
      </c>
      <c r="C92" s="64" t="inlineStr">
        <is>
          <t>Pressure Calibrators</t>
        </is>
      </c>
      <c r="D92" s="64" t="inlineStr">
        <is>
          <t>Stores</t>
        </is>
      </c>
      <c r="E92" s="64" t="inlineStr">
        <is>
          <t>Pending Delivery</t>
        </is>
      </c>
      <c r="F92" s="82" t="n"/>
      <c r="G92" s="83" t="n"/>
      <c r="H92" s="64" t="inlineStr">
        <is>
          <t>Po raised for 6 Vsl's</t>
        </is>
      </c>
      <c r="I92" s="64" t="n"/>
      <c r="J92" s="84" t="inlineStr">
        <is>
          <t>Dan Marine Group Ltd.</t>
        </is>
      </c>
      <c r="K92" s="84" t="inlineStr">
        <is>
          <t>USD</t>
        </is>
      </c>
      <c r="L92" s="92" t="n">
        <v>5860</v>
      </c>
      <c r="M92" s="84" t="n"/>
      <c r="T92" t="inlineStr">
        <is>
          <t>Pressure Calibrators</t>
        </is>
      </c>
    </row>
    <row r="93" ht="18" customHeight="1">
      <c r="A93" s="88" t="n">
        <v>56</v>
      </c>
      <c r="B93" s="87" t="inlineStr">
        <is>
          <t>GLIG-60063/26-1</t>
        </is>
      </c>
      <c r="C93" s="64" t="inlineStr">
        <is>
          <t>IMPA Stores - Engine</t>
        </is>
      </c>
      <c r="D93" s="64" t="inlineStr">
        <is>
          <t>Stores</t>
        </is>
      </c>
      <c r="E93" s="64" t="inlineStr">
        <is>
          <t>Pending Delivery</t>
        </is>
      </c>
      <c r="F93" s="82" t="n"/>
      <c r="G93" s="83" t="n"/>
      <c r="H93" s="64" t="inlineStr">
        <is>
          <t>Po issued on Fuji Marine</t>
        </is>
      </c>
      <c r="I93" s="64" t="n"/>
      <c r="J93" s="84" t="inlineStr">
        <is>
          <t>Fuji Marine Logistics Shunyang(Shanghai) Co., LIMITED</t>
        </is>
      </c>
      <c r="K93" s="84" t="inlineStr">
        <is>
          <t>USD</t>
        </is>
      </c>
      <c r="L93" s="92" t="n">
        <v>6223.59</v>
      </c>
      <c r="M93" s="84" t="n"/>
      <c r="T93" t="inlineStr">
        <is>
          <t>IMPA Stores - Engine</t>
        </is>
      </c>
    </row>
    <row r="94" ht="18" customHeight="1">
      <c r="A94" s="88" t="n">
        <v>52</v>
      </c>
      <c r="B94" s="87" t="inlineStr">
        <is>
          <t>GLIG-60059/26-1</t>
        </is>
      </c>
      <c r="C94" s="64" t="inlineStr">
        <is>
          <t>IMPA Stores - Galley</t>
        </is>
      </c>
      <c r="D94" s="64" t="inlineStr">
        <is>
          <t>Stores</t>
        </is>
      </c>
      <c r="E94" s="64" t="inlineStr">
        <is>
          <t>Pending Delivery</t>
        </is>
      </c>
      <c r="F94" s="82" t="n"/>
      <c r="G94" s="83" t="n"/>
      <c r="H94" s="64" t="inlineStr">
        <is>
          <t>Po issued on Fuji Marine</t>
        </is>
      </c>
      <c r="I94" s="64" t="n"/>
      <c r="J94" s="84" t="inlineStr">
        <is>
          <t>Fuji Marine Logistics Shunyang(Shanghai) Co., LIMITED</t>
        </is>
      </c>
      <c r="K94" s="84" t="inlineStr">
        <is>
          <t>USD</t>
        </is>
      </c>
      <c r="L94" s="92" t="n">
        <v>1518.33</v>
      </c>
      <c r="M94" s="84" t="n"/>
      <c r="T94" t="inlineStr">
        <is>
          <t>IMPA Stores - Galley</t>
        </is>
      </c>
    </row>
    <row r="95" ht="18" customHeight="1">
      <c r="A95" s="88" t="n">
        <v>53</v>
      </c>
      <c r="B95" s="64" t="inlineStr">
        <is>
          <t>GLIG-60060/26-1</t>
        </is>
      </c>
      <c r="C95" s="64" t="inlineStr">
        <is>
          <t>IMPA Stores - Engine</t>
        </is>
      </c>
      <c r="D95" s="64" t="inlineStr">
        <is>
          <t>Stores</t>
        </is>
      </c>
      <c r="E95" s="64" t="inlineStr">
        <is>
          <t>Pending Delivery</t>
        </is>
      </c>
      <c r="F95" s="82" t="n"/>
      <c r="G95" s="83" t="n"/>
      <c r="H95" s="64" t="inlineStr">
        <is>
          <t>Po issued on Fuji Marine</t>
        </is>
      </c>
      <c r="I95" s="64" t="n"/>
      <c r="J95" s="84" t="inlineStr">
        <is>
          <t>Fuji Marine Logistics Shunyang(Shanghai) Co., LIMITED</t>
        </is>
      </c>
      <c r="K95" s="84" t="inlineStr">
        <is>
          <t>USD</t>
        </is>
      </c>
      <c r="L95" s="92" t="n">
        <v>6363.01</v>
      </c>
      <c r="M95" s="84" t="n"/>
      <c r="T95" t="inlineStr">
        <is>
          <t>IMPA Stores - Engine</t>
        </is>
      </c>
    </row>
    <row r="96" ht="18" customHeight="1">
      <c r="A96" s="88" t="n">
        <v>51</v>
      </c>
      <c r="B96" s="64" t="inlineStr">
        <is>
          <t>GLIG-60058/26-1</t>
        </is>
      </c>
      <c r="C96" s="64" t="inlineStr">
        <is>
          <t>IMPA Stores - ACC</t>
        </is>
      </c>
      <c r="D96" s="64" t="inlineStr">
        <is>
          <t>Stores</t>
        </is>
      </c>
      <c r="E96" s="64" t="inlineStr">
        <is>
          <t>Pending Delivery</t>
        </is>
      </c>
      <c r="F96" s="82" t="n"/>
      <c r="G96" s="83" t="n"/>
      <c r="H96" s="64" t="inlineStr">
        <is>
          <t>Po issued on Fuji Marine</t>
        </is>
      </c>
      <c r="I96" s="64" t="n"/>
      <c r="J96" s="84" t="inlineStr">
        <is>
          <t>Fuji Marine Logistics Shunyang(Shanghai) Co., LIMITED</t>
        </is>
      </c>
      <c r="K96" s="84" t="inlineStr">
        <is>
          <t>USD</t>
        </is>
      </c>
      <c r="L96" s="92" t="n">
        <v>4987.42</v>
      </c>
      <c r="M96" s="84" t="n"/>
      <c r="T96" t="inlineStr">
        <is>
          <t>IMPA Stores - Accommodation</t>
        </is>
      </c>
    </row>
    <row r="97" ht="18" customHeight="1">
      <c r="A97" s="88" t="n">
        <v>45</v>
      </c>
      <c r="B97" s="64" t="inlineStr">
        <is>
          <t>GLIG-60053/26-1</t>
        </is>
      </c>
      <c r="C97" s="64" t="inlineStr">
        <is>
          <t>IMPA Stores - Bridge</t>
        </is>
      </c>
      <c r="D97" s="64" t="inlineStr">
        <is>
          <t>Stores</t>
        </is>
      </c>
      <c r="E97" s="64" t="inlineStr">
        <is>
          <t>Pending Delivery</t>
        </is>
      </c>
      <c r="F97" s="82" t="n"/>
      <c r="G97" s="83" t="n"/>
      <c r="H97" s="64" t="inlineStr">
        <is>
          <t>Po issued on Fuji Marine</t>
        </is>
      </c>
      <c r="I97" s="64" t="n"/>
      <c r="J97" s="84" t="inlineStr">
        <is>
          <t>Fuji Marine Logistics Shunyang(Shanghai) Co., LIMITED</t>
        </is>
      </c>
      <c r="K97" s="84" t="inlineStr">
        <is>
          <t>USD</t>
        </is>
      </c>
      <c r="L97" s="92" t="n">
        <v>1145.26</v>
      </c>
      <c r="M97" s="84" t="n"/>
      <c r="T97" t="inlineStr">
        <is>
          <t>IMPA Stores - Bridge</t>
        </is>
      </c>
    </row>
    <row r="98" ht="18" customHeight="1">
      <c r="A98" s="88" t="n">
        <v>49</v>
      </c>
      <c r="B98" s="64" t="inlineStr">
        <is>
          <t>GLIG-60057/26-1</t>
        </is>
      </c>
      <c r="C98" s="64" t="inlineStr">
        <is>
          <t>IMPA Stores - Company Stationery</t>
        </is>
      </c>
      <c r="D98" s="64" t="inlineStr">
        <is>
          <t>Stores</t>
        </is>
      </c>
      <c r="E98" s="64" t="inlineStr">
        <is>
          <t>Pending Delivery</t>
        </is>
      </c>
      <c r="F98" s="82" t="n"/>
      <c r="G98" s="83" t="n"/>
      <c r="H98" s="64" t="inlineStr">
        <is>
          <t>Po issued on Longwind</t>
        </is>
      </c>
      <c r="I98" s="64" t="n"/>
      <c r="J98" s="84" t="inlineStr">
        <is>
          <t>HONGKONG LONGWIND MARINE SERVICE CO LIMITED</t>
        </is>
      </c>
      <c r="K98" s="84" t="inlineStr">
        <is>
          <t>USD</t>
        </is>
      </c>
      <c r="L98" s="92" t="n">
        <v>385.72</v>
      </c>
      <c r="M98" s="84" t="n"/>
      <c r="T98" t="inlineStr">
        <is>
          <t>IMPA Stores - Company Stationery</t>
        </is>
      </c>
    </row>
    <row r="99" ht="18" customHeight="1">
      <c r="A99" s="88" t="n">
        <v>64</v>
      </c>
      <c r="B99" s="87" t="inlineStr">
        <is>
          <t>GLIG-60091/26-1</t>
        </is>
      </c>
      <c r="C99" s="64" t="inlineStr">
        <is>
          <t>Chemical tags</t>
        </is>
      </c>
      <c r="D99" s="64" t="inlineStr">
        <is>
          <t>Stores</t>
        </is>
      </c>
      <c r="E99" s="64" t="inlineStr">
        <is>
          <t>Pending Delivery</t>
        </is>
      </c>
      <c r="F99" s="82" t="n"/>
      <c r="G99" s="83" t="n"/>
      <c r="H99" s="64" t="inlineStr">
        <is>
          <t>Po raised on 6 Vsl's</t>
        </is>
      </c>
      <c r="I99" s="64" t="inlineStr">
        <is>
          <t>Shipped to RMS</t>
        </is>
      </c>
      <c r="J99" s="84" t="inlineStr">
        <is>
          <t>HONGKONG LONGWIND MARINE SERVICE CO LIMITED</t>
        </is>
      </c>
      <c r="K99" s="84" t="inlineStr">
        <is>
          <t>USD</t>
        </is>
      </c>
      <c r="L99" s="92" t="n">
        <v>1889.1</v>
      </c>
      <c r="M99" s="84" t="n"/>
      <c r="T99" t="inlineStr">
        <is>
          <t>Safety &amp; PPE</t>
        </is>
      </c>
    </row>
    <row r="100" ht="18" customHeight="1">
      <c r="A100" s="88" t="n">
        <v>62</v>
      </c>
      <c r="B100" s="64" t="inlineStr">
        <is>
          <t>GLIG-60106/26-1</t>
        </is>
      </c>
      <c r="C100" s="64" t="inlineStr">
        <is>
          <t>LOTO Stickers</t>
        </is>
      </c>
      <c r="D100" s="64" t="inlineStr">
        <is>
          <t>Stores</t>
        </is>
      </c>
      <c r="E100" s="64" t="inlineStr">
        <is>
          <t>Pending Delivery</t>
        </is>
      </c>
      <c r="F100" s="82" t="n"/>
      <c r="G100" s="83" t="n"/>
      <c r="H100" s="64" t="inlineStr">
        <is>
          <t>Po raised on 6 Vsl's</t>
        </is>
      </c>
      <c r="I100" s="64" t="inlineStr">
        <is>
          <t>Awaiting Readiness</t>
        </is>
      </c>
      <c r="J100" s="84" t="inlineStr">
        <is>
          <t>Loto Master Inc</t>
        </is>
      </c>
      <c r="K100" s="84" t="inlineStr">
        <is>
          <t>USD</t>
        </is>
      </c>
      <c r="L100" s="92" t="n">
        <v>386.2</v>
      </c>
      <c r="M100" s="84" t="n"/>
      <c r="T100" t="inlineStr">
        <is>
          <t>Safety &amp; PPE</t>
        </is>
      </c>
    </row>
    <row r="101" ht="18" customHeight="1">
      <c r="A101" s="88" t="n">
        <v>42</v>
      </c>
      <c r="B101" s="87" t="inlineStr">
        <is>
          <t>GLIG-60050/26-1</t>
        </is>
      </c>
      <c r="C101" s="64" t="inlineStr">
        <is>
          <t>IMPA Stores Stationery</t>
        </is>
      </c>
      <c r="D101" s="64" t="inlineStr">
        <is>
          <t>Stores</t>
        </is>
      </c>
      <c r="E101" s="64" t="inlineStr">
        <is>
          <t>Pending Delivery</t>
        </is>
      </c>
      <c r="F101" s="82" t="n"/>
      <c r="G101" s="83" t="n"/>
      <c r="H101" s="64" t="inlineStr">
        <is>
          <t>Po issued on Fuji Marine</t>
        </is>
      </c>
      <c r="I101" s="64" t="n"/>
      <c r="J101" s="84" t="inlineStr">
        <is>
          <t>RMS Marine Service Company Ltd.</t>
        </is>
      </c>
      <c r="K101" s="84" t="inlineStr">
        <is>
          <t>USD</t>
        </is>
      </c>
      <c r="L101" s="92" t="n">
        <v>2697.63</v>
      </c>
      <c r="M101" s="84" t="n"/>
      <c r="T101" t="inlineStr">
        <is>
          <t>IMPA Stores - Stationery</t>
        </is>
      </c>
    </row>
    <row r="102" ht="18" customHeight="1">
      <c r="A102" s="88" t="n">
        <v>109</v>
      </c>
      <c r="B102" s="87" t="inlineStr">
        <is>
          <t>GLIG-60104/26-1</t>
        </is>
      </c>
      <c r="C102" s="64" t="inlineStr">
        <is>
          <t>Glycol</t>
        </is>
      </c>
      <c r="D102" s="64" t="inlineStr">
        <is>
          <t>Stores</t>
        </is>
      </c>
      <c r="E102" s="64" t="inlineStr">
        <is>
          <t>Pending Delivery</t>
        </is>
      </c>
      <c r="F102" s="82" t="n"/>
      <c r="G102" s="83" t="n"/>
      <c r="H102" s="64" t="inlineStr">
        <is>
          <t>Po raised on 6 Vsl's</t>
        </is>
      </c>
      <c r="I102" s="85" t="n"/>
      <c r="J102" s="84" t="inlineStr">
        <is>
          <t>RMS Marine Service Company Ltd.</t>
        </is>
      </c>
      <c r="K102" s="84" t="inlineStr">
        <is>
          <t>USD</t>
        </is>
      </c>
      <c r="L102" s="92" t="n">
        <v>2260</v>
      </c>
      <c r="M102" s="84" t="n"/>
      <c r="T102" t="inlineStr">
        <is>
          <t>Lubricants</t>
        </is>
      </c>
    </row>
    <row r="103" ht="18" customHeight="1">
      <c r="A103" s="88" t="n">
        <v>69</v>
      </c>
      <c r="B103" s="64" t="inlineStr">
        <is>
          <t>GLIG-60044/26-1</t>
        </is>
      </c>
      <c r="C103" s="64" t="inlineStr">
        <is>
          <t>Cryogenic PPE - Scandia</t>
        </is>
      </c>
      <c r="D103" s="64" t="inlineStr">
        <is>
          <t>Stores</t>
        </is>
      </c>
      <c r="E103" s="64" t="inlineStr">
        <is>
          <t>Pending Delivery</t>
        </is>
      </c>
      <c r="F103" s="82" t="n"/>
      <c r="G103" s="83" t="n"/>
      <c r="H103" s="64" t="inlineStr">
        <is>
          <t>Shipped to RMS</t>
        </is>
      </c>
      <c r="I103" s="64" t="n"/>
      <c r="J103" s="84" t="inlineStr">
        <is>
          <t>Scandia Gear Asia Pte Ltd</t>
        </is>
      </c>
      <c r="K103" s="84" t="inlineStr">
        <is>
          <t>USD</t>
        </is>
      </c>
      <c r="L103" s="92" t="n">
        <v>5272</v>
      </c>
      <c r="M103" s="84" t="n"/>
      <c r="T103" t="inlineStr">
        <is>
          <t>Cryogenic PPE</t>
        </is>
      </c>
    </row>
    <row r="104" ht="18" customHeight="1">
      <c r="A104" s="88" t="n">
        <v>63</v>
      </c>
      <c r="B104" s="64" t="inlineStr">
        <is>
          <t>GLIG-60076/26-1</t>
        </is>
      </c>
      <c r="C104" s="64" t="inlineStr">
        <is>
          <t>Steam Splash Suit</t>
        </is>
      </c>
      <c r="D104" s="64" t="inlineStr">
        <is>
          <t>Stores</t>
        </is>
      </c>
      <c r="E104" s="64" t="inlineStr">
        <is>
          <t>Pending Delivery</t>
        </is>
      </c>
      <c r="F104" s="82" t="n"/>
      <c r="G104" s="83" t="n"/>
      <c r="H104" s="64" t="inlineStr">
        <is>
          <t>Po raised on 6 Vsl's</t>
        </is>
      </c>
      <c r="I104" s="64" t="inlineStr">
        <is>
          <t>Awaiting Readiness</t>
        </is>
      </c>
      <c r="J104" s="84" t="inlineStr">
        <is>
          <t>Shiva Enterprises</t>
        </is>
      </c>
      <c r="K104" s="84" t="inlineStr">
        <is>
          <t>INR</t>
        </is>
      </c>
      <c r="L104" s="92" t="n">
        <v>83000</v>
      </c>
      <c r="M104" s="84" t="n"/>
      <c r="T104" t="inlineStr">
        <is>
          <t>Steam Splash Suit</t>
        </is>
      </c>
    </row>
    <row r="105" ht="18" customHeight="1">
      <c r="A105" s="88" t="n">
        <v>48</v>
      </c>
      <c r="B105" s="87" t="inlineStr">
        <is>
          <t>GLIG-60056/26-1</t>
        </is>
      </c>
      <c r="C105" s="64" t="inlineStr">
        <is>
          <t>IMPA Stores - FFE</t>
        </is>
      </c>
      <c r="D105" s="64" t="inlineStr">
        <is>
          <t>Stores</t>
        </is>
      </c>
      <c r="E105" s="64" t="inlineStr">
        <is>
          <t>Pending Delivery</t>
        </is>
      </c>
      <c r="F105" s="82" t="n"/>
      <c r="G105" s="83" t="n"/>
      <c r="H105" s="64" t="inlineStr">
        <is>
          <t>V-Link Delivery at yard</t>
        </is>
      </c>
      <c r="I105" s="64" t="n"/>
      <c r="J105" s="84" t="inlineStr">
        <is>
          <t>Vessel Link Marine Supply &amp; Service Ltd</t>
        </is>
      </c>
      <c r="K105" s="84" t="inlineStr">
        <is>
          <t>USD</t>
        </is>
      </c>
      <c r="L105" s="92" t="n">
        <v>377.75</v>
      </c>
      <c r="M105" s="84" t="n"/>
      <c r="T105" t="inlineStr">
        <is>
          <t>IMPA Stores - FFE</t>
        </is>
      </c>
    </row>
    <row r="106" ht="18" customHeight="1">
      <c r="A106" s="88" t="n">
        <v>67</v>
      </c>
      <c r="B106" s="64" t="inlineStr">
        <is>
          <t>GLIG-60049/26-1</t>
        </is>
      </c>
      <c r="C106" s="64" t="inlineStr">
        <is>
          <t>FLIR ESPro and E6 Pro</t>
        </is>
      </c>
      <c r="D106" s="64" t="inlineStr">
        <is>
          <t>Stores</t>
        </is>
      </c>
      <c r="E106" s="64" t="inlineStr">
        <is>
          <t>Pending Delivery</t>
        </is>
      </c>
      <c r="F106" s="82" t="n"/>
      <c r="G106" s="83" t="n"/>
      <c r="H106" s="64" t="inlineStr">
        <is>
          <t>Po Issued on V-link</t>
        </is>
      </c>
      <c r="I106" s="64" t="n"/>
      <c r="J106" s="84" t="inlineStr">
        <is>
          <t>Vessel Link Marine Supply &amp; Service Ltd</t>
        </is>
      </c>
      <c r="K106" s="84" t="inlineStr">
        <is>
          <t>USD</t>
        </is>
      </c>
      <c r="L106" s="92" t="n">
        <v>1590</v>
      </c>
      <c r="M106" s="84" t="n"/>
      <c r="T106" t="inlineStr">
        <is>
          <t>Thermal Camera (FLIR)</t>
        </is>
      </c>
    </row>
    <row r="107" ht="18" customHeight="1">
      <c r="A107" s="88" t="n">
        <v>59</v>
      </c>
      <c r="B107" s="64" t="inlineStr">
        <is>
          <t>GLIG-60072/26-1</t>
        </is>
      </c>
      <c r="C107" s="64" t="inlineStr">
        <is>
          <t>Ultrasonic Cleaning system - 230V</t>
        </is>
      </c>
      <c r="D107" s="64" t="inlineStr">
        <is>
          <t>Stores</t>
        </is>
      </c>
      <c r="E107" s="64" t="inlineStr">
        <is>
          <t>Pending Delivery</t>
        </is>
      </c>
      <c r="F107" s="82" t="n"/>
      <c r="G107" s="83" t="n"/>
      <c r="H107" s="64" t="inlineStr">
        <is>
          <t>Delivery at Yard</t>
        </is>
      </c>
      <c r="I107" s="64" t="n"/>
      <c r="J107" s="84" t="inlineStr">
        <is>
          <t>Vessel Link Marine Supply &amp; Service Ltd</t>
        </is>
      </c>
      <c r="K107" s="84" t="inlineStr">
        <is>
          <t>USD</t>
        </is>
      </c>
      <c r="L107" s="92" t="n">
        <v>1890</v>
      </c>
      <c r="M107" s="84" t="n"/>
      <c r="T107" t="inlineStr">
        <is>
          <t>Ultrasonic Cleaner</t>
        </is>
      </c>
    </row>
    <row r="108" ht="18" customHeight="1">
      <c r="A108" s="88" t="n">
        <v>60</v>
      </c>
      <c r="B108" s="64" t="inlineStr">
        <is>
          <t>GLIG-60073/26-1</t>
        </is>
      </c>
      <c r="C108" s="64" t="inlineStr">
        <is>
          <t>Pre-Delivery - OPA 90</t>
        </is>
      </c>
      <c r="D108" s="64" t="inlineStr">
        <is>
          <t>Stores</t>
        </is>
      </c>
      <c r="E108" s="64" t="inlineStr">
        <is>
          <t>Pending Delivery</t>
        </is>
      </c>
      <c r="F108" s="82" t="n"/>
      <c r="G108" s="83" t="n"/>
      <c r="H108" s="64" t="inlineStr">
        <is>
          <t>Delivery at Yard</t>
        </is>
      </c>
      <c r="I108" s="64" t="n"/>
      <c r="J108" s="84" t="inlineStr">
        <is>
          <t>Vessel Link Marine Supply &amp; Service Ltd</t>
        </is>
      </c>
      <c r="K108" s="84" t="inlineStr">
        <is>
          <t>USD</t>
        </is>
      </c>
      <c r="L108" s="92" t="n">
        <v>3400</v>
      </c>
      <c r="M108" s="84" t="n"/>
      <c r="T108" t="inlineStr">
        <is>
          <t>OPA 90 Kit</t>
        </is>
      </c>
    </row>
    <row r="109" ht="18" customHeight="1">
      <c r="A109" s="88" t="n">
        <v>61</v>
      </c>
      <c r="B109" s="64" t="inlineStr">
        <is>
          <t>GLIG-60074/26-1</t>
        </is>
      </c>
      <c r="C109" s="64" t="inlineStr">
        <is>
          <t>H.P machine - 2pcs (prefer Branded - Karcher/ KEW)</t>
        </is>
      </c>
      <c r="D109" s="64" t="inlineStr">
        <is>
          <t>Stores</t>
        </is>
      </c>
      <c r="E109" s="64" t="inlineStr">
        <is>
          <t>Pending Delivery</t>
        </is>
      </c>
      <c r="F109" s="82" t="n"/>
      <c r="G109" s="83" t="n"/>
      <c r="H109" s="64" t="inlineStr">
        <is>
          <t>Delivery at Yard</t>
        </is>
      </c>
      <c r="I109" s="64" t="n"/>
      <c r="J109" s="84" t="inlineStr">
        <is>
          <t>Vessel Link Marine Supply &amp; Service Ltd</t>
        </is>
      </c>
      <c r="K109" s="84" t="inlineStr">
        <is>
          <t>USD</t>
        </is>
      </c>
      <c r="L109" s="92" t="n">
        <v>1700</v>
      </c>
      <c r="M109" s="84" t="n"/>
      <c r="T109" t="inlineStr">
        <is>
          <t>High Pressure Washer</t>
        </is>
      </c>
    </row>
    <row r="110" ht="18" customHeight="1">
      <c r="A110" s="88" t="n">
        <v>87</v>
      </c>
      <c r="B110" s="64" t="inlineStr">
        <is>
          <t>GLIG-60084/26-1</t>
        </is>
      </c>
      <c r="C110" s="64" t="inlineStr">
        <is>
          <t>DF Tools</t>
        </is>
      </c>
      <c r="D110" s="64" t="inlineStr">
        <is>
          <t>Stores</t>
        </is>
      </c>
      <c r="E110" s="64" t="inlineStr">
        <is>
          <t>Pending Delivery</t>
        </is>
      </c>
      <c r="F110" s="82" t="n"/>
      <c r="G110" s="83" t="n"/>
      <c r="H110" s="64" t="inlineStr">
        <is>
          <t>Po issued on V-Link</t>
        </is>
      </c>
      <c r="I110" s="64" t="n"/>
      <c r="J110" s="84" t="inlineStr">
        <is>
          <t>Vessel Link Marine Supply &amp; Service Ltd</t>
        </is>
      </c>
      <c r="K110" s="84" t="inlineStr">
        <is>
          <t>USD</t>
        </is>
      </c>
      <c r="L110" s="92" t="n">
        <v>20589.04</v>
      </c>
      <c r="M110" s="84" t="n"/>
      <c r="T110" t="inlineStr">
        <is>
          <t>Dual Fuel Tools</t>
        </is>
      </c>
    </row>
    <row r="111" ht="18" customHeight="1">
      <c r="A111" s="88" t="n">
        <v>86</v>
      </c>
      <c r="B111" s="64" t="inlineStr">
        <is>
          <t>GLIG-60105/26-1</t>
        </is>
      </c>
      <c r="C111" s="64" t="inlineStr">
        <is>
          <t>Garbage Refrigerator</t>
        </is>
      </c>
      <c r="D111" s="64" t="inlineStr">
        <is>
          <t>Stores</t>
        </is>
      </c>
      <c r="E111" s="64" t="inlineStr">
        <is>
          <t>Pending Delivery</t>
        </is>
      </c>
      <c r="F111" s="82" t="n"/>
      <c r="G111" s="83" t="n"/>
      <c r="H111" s="64" t="inlineStr">
        <is>
          <t>Po's raised on 6Vsl's</t>
        </is>
      </c>
      <c r="I111" s="64" t="n"/>
      <c r="J111" s="84" t="inlineStr">
        <is>
          <t>Vessel Link Marine Supply &amp; Service Ltd</t>
        </is>
      </c>
      <c r="K111" s="84" t="inlineStr">
        <is>
          <t>USD</t>
        </is>
      </c>
      <c r="L111" s="92" t="n">
        <v>330</v>
      </c>
      <c r="M111" s="84" t="n"/>
      <c r="T111" t="inlineStr">
        <is>
          <t>Shipyard / Miscellaneous</t>
        </is>
      </c>
    </row>
    <row r="112" ht="18" customHeight="1">
      <c r="A112" s="84" t="n"/>
      <c r="B112" s="64" t="inlineStr">
        <is>
          <t>GLIG-60099/26-1</t>
        </is>
      </c>
      <c r="C112" s="64" t="inlineStr">
        <is>
          <t>Seatrial Stores</t>
        </is>
      </c>
      <c r="D112" s="64" t="inlineStr">
        <is>
          <t>Stores</t>
        </is>
      </c>
      <c r="E112" s="64" t="inlineStr">
        <is>
          <t>Pending Delivery</t>
        </is>
      </c>
      <c r="F112" s="82" t="n"/>
      <c r="G112" s="64" t="n"/>
      <c r="H112" s="64" t="inlineStr">
        <is>
          <t>Po issued for 6 Vsl's</t>
        </is>
      </c>
      <c r="I112" s="64" t="n"/>
      <c r="J112" s="84" t="inlineStr">
        <is>
          <t>Vessel Link Marine Supply &amp; Service Ltd</t>
        </is>
      </c>
      <c r="K112" s="84" t="inlineStr">
        <is>
          <t>USD</t>
        </is>
      </c>
      <c r="L112" s="92" t="n">
        <v>4757.91</v>
      </c>
      <c r="M112" s="84" t="n"/>
      <c r="T112" t="inlineStr">
        <is>
          <t>Sea Trial</t>
        </is>
      </c>
    </row>
    <row r="113" ht="18" customHeight="1">
      <c r="A113" s="88" t="n">
        <v>115</v>
      </c>
      <c r="B113" s="64" t="inlineStr">
        <is>
          <t>GLIG-60092/26-1</t>
        </is>
      </c>
      <c r="C113" s="64" t="inlineStr">
        <is>
          <t>Publications</t>
        </is>
      </c>
      <c r="D113" s="64" t="inlineStr">
        <is>
          <t>Stores</t>
        </is>
      </c>
      <c r="E113" s="64" t="inlineStr">
        <is>
          <t>Pending Delivery</t>
        </is>
      </c>
      <c r="F113" s="82" t="n"/>
      <c r="G113" s="83" t="n"/>
      <c r="H113" s="64" t="inlineStr">
        <is>
          <t>Po issued</t>
        </is>
      </c>
      <c r="I113" s="64" t="n"/>
      <c r="J113" s="84" t="inlineStr">
        <is>
          <t>Yinxiang Industrial HK Co Limited</t>
        </is>
      </c>
      <c r="K113" s="84" t="inlineStr">
        <is>
          <t>USD</t>
        </is>
      </c>
      <c r="L113" s="92" t="n">
        <v>9104.99</v>
      </c>
      <c r="M113" s="84" t="n"/>
      <c r="T113" t="inlineStr">
        <is>
          <t>Publications &amp; Manuals</t>
        </is>
      </c>
    </row>
    <row r="114" ht="18" customHeight="1">
      <c r="A114" s="88" t="n">
        <v>54</v>
      </c>
      <c r="B114" s="87" t="inlineStr">
        <is>
          <t>GLIG-60061/26-1</t>
        </is>
      </c>
      <c r="C114" s="64" t="inlineStr">
        <is>
          <t>IMPA Stores - Engine 1</t>
        </is>
      </c>
      <c r="D114" s="64" t="inlineStr">
        <is>
          <t>Stores</t>
        </is>
      </c>
      <c r="E114" s="64" t="inlineStr">
        <is>
          <t>Pending Delivery</t>
        </is>
      </c>
      <c r="F114" s="82" t="n"/>
      <c r="G114" s="83" t="n"/>
      <c r="H114" s="64" t="inlineStr">
        <is>
          <t>Po Issued</t>
        </is>
      </c>
      <c r="I114" s="64" t="n"/>
      <c r="J114" s="84" t="e">
        <v>#N/A</v>
      </c>
      <c r="K114" s="84" t="e">
        <v>#N/A</v>
      </c>
      <c r="L114" s="92" t="e">
        <v>#N/A</v>
      </c>
      <c r="M114" s="84" t="n"/>
      <c r="T114" t="inlineStr">
        <is>
          <t>IMPA Stores - Engine</t>
        </is>
      </c>
    </row>
    <row r="115" ht="18" customHeight="1">
      <c r="A115" s="88" t="n">
        <v>46</v>
      </c>
      <c r="B115" s="64" t="inlineStr">
        <is>
          <t xml:space="preserve"> GLIG-60054/26</t>
        </is>
      </c>
      <c r="C115" s="64" t="inlineStr">
        <is>
          <t>IMPA Stores - Gym</t>
        </is>
      </c>
      <c r="D115" s="64" t="inlineStr">
        <is>
          <t>Stores</t>
        </is>
      </c>
      <c r="E115" s="64" t="inlineStr">
        <is>
          <t>Pending Approval</t>
        </is>
      </c>
      <c r="F115" s="82" t="n"/>
      <c r="G115" s="83" t="n"/>
      <c r="H115" s="64" t="inlineStr">
        <is>
          <t>Quotes recd</t>
        </is>
      </c>
      <c r="I115" s="64" t="inlineStr">
        <is>
          <t>Monirul to revieW and approve Po</t>
        </is>
      </c>
      <c r="J115" s="84" t="e">
        <v>#N/A</v>
      </c>
      <c r="K115" s="84" t="e">
        <v>#N/A</v>
      </c>
      <c r="L115" s="92" t="e">
        <v>#N/A</v>
      </c>
      <c r="M115" s="84" t="n"/>
      <c r="T115" t="inlineStr">
        <is>
          <t>IMPA Stores - Gym</t>
        </is>
      </c>
    </row>
    <row r="116" ht="18" customHeight="1">
      <c r="A116" s="88" t="n">
        <v>44</v>
      </c>
      <c r="B116" s="64" t="inlineStr">
        <is>
          <t xml:space="preserve"> GLIG-60052/26</t>
        </is>
      </c>
      <c r="C116" s="64" t="inlineStr">
        <is>
          <t>IMPA Stores - Deck</t>
        </is>
      </c>
      <c r="D116" s="64" t="inlineStr">
        <is>
          <t>Stores</t>
        </is>
      </c>
      <c r="E116" s="64" t="inlineStr">
        <is>
          <t>Pending Approval</t>
        </is>
      </c>
      <c r="F116" s="82" t="n"/>
      <c r="G116" s="83" t="n"/>
      <c r="H116" s="64" t="inlineStr">
        <is>
          <t>Quotes recd</t>
        </is>
      </c>
      <c r="I116" s="64" t="inlineStr">
        <is>
          <t>Monirul to revieW and approve Po</t>
        </is>
      </c>
      <c r="J116" s="84" t="e">
        <v>#N/A</v>
      </c>
      <c r="K116" s="84" t="e">
        <v>#N/A</v>
      </c>
      <c r="L116" s="92" t="e">
        <v>#N/A</v>
      </c>
      <c r="M116" s="84" t="n"/>
      <c r="T116" t="inlineStr">
        <is>
          <t>IMPA Stores - Deck</t>
        </is>
      </c>
    </row>
    <row r="117" ht="18" customHeight="1">
      <c r="A117" s="88" t="n">
        <v>57</v>
      </c>
      <c r="B117" s="64" t="inlineStr">
        <is>
          <t>GLIG-60064/26</t>
        </is>
      </c>
      <c r="C117" s="64" t="inlineStr">
        <is>
          <t>IMPA Stores - Electric</t>
        </is>
      </c>
      <c r="D117" s="64" t="inlineStr">
        <is>
          <t>Stores</t>
        </is>
      </c>
      <c r="E117" s="64" t="inlineStr">
        <is>
          <t>Pending Approval</t>
        </is>
      </c>
      <c r="F117" s="82" t="n"/>
      <c r="G117" s="83" t="n"/>
      <c r="H117" s="64" t="inlineStr">
        <is>
          <t>Quotes recd</t>
        </is>
      </c>
      <c r="I117" s="64" t="inlineStr">
        <is>
          <t>Monirul to revieW and approve Po</t>
        </is>
      </c>
      <c r="J117" s="84" t="e">
        <v>#N/A</v>
      </c>
      <c r="K117" s="84" t="e">
        <v>#N/A</v>
      </c>
      <c r="L117" s="92" t="e">
        <v>#N/A</v>
      </c>
      <c r="M117" s="84" t="n"/>
      <c r="T117" t="inlineStr">
        <is>
          <t>IMPA Stores - Electric</t>
        </is>
      </c>
    </row>
    <row r="118" ht="18" customHeight="1">
      <c r="A118" s="88" t="n">
        <v>55</v>
      </c>
      <c r="B118" s="87" t="inlineStr">
        <is>
          <t>GLIG-60062/26-1</t>
        </is>
      </c>
      <c r="C118" s="64" t="inlineStr">
        <is>
          <t>IMPA Stores - Engine</t>
        </is>
      </c>
      <c r="D118" s="64" t="inlineStr">
        <is>
          <t>Stores</t>
        </is>
      </c>
      <c r="E118" s="64" t="inlineStr">
        <is>
          <t>Pending Delivery</t>
        </is>
      </c>
      <c r="F118" s="82" t="n"/>
      <c r="G118" s="83" t="n"/>
      <c r="H118" s="64" t="inlineStr">
        <is>
          <t>Po Issued</t>
        </is>
      </c>
      <c r="I118" s="64" t="n"/>
      <c r="J118" s="84" t="e">
        <v>#N/A</v>
      </c>
      <c r="K118" s="84" t="e">
        <v>#N/A</v>
      </c>
      <c r="L118" s="92" t="e">
        <v>#N/A</v>
      </c>
      <c r="M118" s="84" t="n"/>
      <c r="T118" t="inlineStr">
        <is>
          <t>IMPA Stores - Engine</t>
        </is>
      </c>
    </row>
    <row r="119" ht="18" customHeight="1">
      <c r="A119" s="88" t="n">
        <v>47</v>
      </c>
      <c r="B119" s="87" t="inlineStr">
        <is>
          <t>GLIG-60055/26-1</t>
        </is>
      </c>
      <c r="C119" s="64" t="inlineStr">
        <is>
          <t>IMPA Stores - Crew</t>
        </is>
      </c>
      <c r="D119" s="64" t="inlineStr">
        <is>
          <t>Stores</t>
        </is>
      </c>
      <c r="E119" s="64" t="inlineStr">
        <is>
          <t>Pending Delivery</t>
        </is>
      </c>
      <c r="F119" s="82" t="n"/>
      <c r="G119" s="83" t="n"/>
      <c r="H119" s="64" t="inlineStr">
        <is>
          <t>Po Issued</t>
        </is>
      </c>
      <c r="I119" s="64" t="n"/>
      <c r="J119" s="84" t="e">
        <v>#N/A</v>
      </c>
      <c r="K119" s="84" t="e">
        <v>#N/A</v>
      </c>
      <c r="L119" s="92" t="e">
        <v>#N/A</v>
      </c>
      <c r="M119" s="84" t="n"/>
      <c r="T119" t="inlineStr">
        <is>
          <t>IMPA Stores - Crew</t>
        </is>
      </c>
    </row>
    <row r="120" ht="18" customHeight="1">
      <c r="A120" s="88" t="n">
        <v>43</v>
      </c>
      <c r="B120" s="87" t="inlineStr">
        <is>
          <t>GLIG-60051/26-1</t>
        </is>
      </c>
      <c r="C120" s="64" t="inlineStr">
        <is>
          <t>IMPA Stores - SOPEP</t>
        </is>
      </c>
      <c r="D120" s="64" t="inlineStr">
        <is>
          <t>Stores</t>
        </is>
      </c>
      <c r="E120" s="64" t="inlineStr">
        <is>
          <t>Pending Approval</t>
        </is>
      </c>
      <c r="F120" s="82" t="n"/>
      <c r="G120" s="83" t="n"/>
      <c r="H120" s="64" t="inlineStr">
        <is>
          <t>Quotes recd</t>
        </is>
      </c>
      <c r="I120" s="64" t="inlineStr">
        <is>
          <t>Monirul to revieW and approve Po</t>
        </is>
      </c>
      <c r="J120" s="84" t="e">
        <v>#N/A</v>
      </c>
      <c r="K120" s="84" t="e">
        <v>#N/A</v>
      </c>
      <c r="L120" s="92" t="e">
        <v>#N/A</v>
      </c>
      <c r="M120" s="84" t="n"/>
      <c r="T120" t="inlineStr">
        <is>
          <t>IMPA Stores - SOPEP</t>
        </is>
      </c>
    </row>
    <row r="121" ht="18" customHeight="1">
      <c r="A121" s="88" t="n">
        <v>58</v>
      </c>
      <c r="B121" s="64" t="n"/>
      <c r="C121" s="64" t="inlineStr">
        <is>
          <t>IMPA Stores - Instrumenation</t>
        </is>
      </c>
      <c r="D121" s="64" t="inlineStr">
        <is>
          <t>Stores</t>
        </is>
      </c>
      <c r="E121" s="64" t="inlineStr">
        <is>
          <t>Not Created</t>
        </is>
      </c>
      <c r="F121" s="82" t="n"/>
      <c r="G121" s="83" t="n"/>
      <c r="H121" s="64" t="inlineStr">
        <is>
          <t>Parts not enlisted</t>
        </is>
      </c>
      <c r="I121" s="64" t="inlineStr">
        <is>
          <t>Sahaya to send relevant email to Monirul to revieW and approve Po</t>
        </is>
      </c>
      <c r="J121" s="84" t="e">
        <v>#N/A</v>
      </c>
      <c r="K121" s="84" t="e">
        <v>#N/A</v>
      </c>
      <c r="L121" s="92" t="e">
        <v>#N/A</v>
      </c>
      <c r="M121" s="84" t="n"/>
      <c r="T121" t="inlineStr">
        <is>
          <t>IMPA Stores - Instrumentation</t>
        </is>
      </c>
    </row>
    <row r="122" ht="18" customHeight="1">
      <c r="A122" s="88" t="n">
        <v>68</v>
      </c>
      <c r="B122" s="87" t="inlineStr">
        <is>
          <t>GLIG-60109/26-1</t>
        </is>
      </c>
      <c r="C122" s="64" t="inlineStr">
        <is>
          <t>Explosion Proof Camera</t>
        </is>
      </c>
      <c r="D122" s="64" t="inlineStr">
        <is>
          <t>Stores</t>
        </is>
      </c>
      <c r="E122" s="64" t="inlineStr">
        <is>
          <t>Pending Approval</t>
        </is>
      </c>
      <c r="F122" s="82" t="n"/>
      <c r="G122" s="83" t="n"/>
      <c r="H122" s="64" t="inlineStr">
        <is>
          <t>Po raised on 6 Vsl's</t>
        </is>
      </c>
      <c r="I122" s="64" t="inlineStr">
        <is>
          <t>Monirul to Approve Po</t>
        </is>
      </c>
      <c r="J122" s="84" t="e">
        <v>#N/A</v>
      </c>
      <c r="K122" s="84" t="e">
        <v>#N/A</v>
      </c>
      <c r="L122" s="92" t="e">
        <v>#N/A</v>
      </c>
      <c r="M122" s="84" t="n"/>
      <c r="T122" t="inlineStr">
        <is>
          <t>Thermal Camera (FLIR)</t>
        </is>
      </c>
    </row>
    <row r="123">
      <c r="A123" s="88" t="n">
        <v>102</v>
      </c>
      <c r="B123" s="64" t="n"/>
      <c r="C123" s="64" t="inlineStr">
        <is>
          <t>Domestic refrigerators 200 litres for rec rooms to be added to stores supplies</t>
        </is>
      </c>
      <c r="D123" s="64" t="inlineStr">
        <is>
          <t>Stores</t>
        </is>
      </c>
      <c r="E123" s="64" t="inlineStr">
        <is>
          <t>Not Created</t>
        </is>
      </c>
      <c r="F123" s="82" t="n"/>
      <c r="G123" s="83" t="n"/>
      <c r="H123" s="64" t="inlineStr">
        <is>
          <t>Po to be raised on Dan Marine</t>
        </is>
      </c>
      <c r="I123" s="64" t="inlineStr">
        <is>
          <t>Parts to be enlisted in Jibe</t>
        </is>
      </c>
      <c r="J123" s="84" t="e">
        <v>#N/A</v>
      </c>
      <c r="K123" s="84" t="e">
        <v>#N/A</v>
      </c>
      <c r="L123" s="92" t="e">
        <v>#N/A</v>
      </c>
      <c r="M123" s="84" t="n"/>
      <c r="T123" t="inlineStr">
        <is>
          <t>Crew Care &amp; Provisions</t>
        </is>
      </c>
    </row>
    <row r="124">
      <c r="A124" s="88" t="n">
        <v>104</v>
      </c>
      <c r="B124" s="64" t="n"/>
      <c r="C124" s="64" t="inlineStr">
        <is>
          <t>Ozone sterliser</t>
        </is>
      </c>
      <c r="D124" s="64" t="inlineStr">
        <is>
          <t>Stores</t>
        </is>
      </c>
      <c r="E124" s="64" t="inlineStr">
        <is>
          <t>Not Created</t>
        </is>
      </c>
      <c r="F124" s="82" t="n"/>
      <c r="G124" s="83" t="n"/>
      <c r="H124" s="64" t="n"/>
      <c r="I124" s="64" t="inlineStr">
        <is>
          <t>Monirul to followup with Seyi</t>
        </is>
      </c>
      <c r="J124" s="84" t="e">
        <v>#N/A</v>
      </c>
      <c r="K124" s="84" t="e">
        <v>#N/A</v>
      </c>
      <c r="L124" s="92" t="e">
        <v>#N/A</v>
      </c>
      <c r="M124" s="84" t="n"/>
      <c r="T124" t="inlineStr">
        <is>
          <t>Shipyard / Miscellaneous</t>
        </is>
      </c>
    </row>
    <row r="125">
      <c r="A125" s="88" t="n">
        <v>105</v>
      </c>
      <c r="B125" s="64" t="n"/>
      <c r="C125" s="64" t="inlineStr">
        <is>
          <t>Suez light</t>
        </is>
      </c>
      <c r="D125" s="64" t="inlineStr">
        <is>
          <t>Stores</t>
        </is>
      </c>
      <c r="E125" s="64" t="inlineStr">
        <is>
          <t>Not Created</t>
        </is>
      </c>
      <c r="F125" s="82" t="n"/>
      <c r="G125" s="83" t="n"/>
      <c r="H125" s="64" t="inlineStr">
        <is>
          <t>seyi will provide details on if need to supply</t>
        </is>
      </c>
      <c r="I125" s="64" t="inlineStr">
        <is>
          <t>Yard Free Supply</t>
        </is>
      </c>
      <c r="J125" s="84" t="e">
        <v>#N/A</v>
      </c>
      <c r="K125" s="84" t="e">
        <v>#N/A</v>
      </c>
      <c r="L125" s="92" t="e">
        <v>#N/A</v>
      </c>
      <c r="M125" s="84" t="n"/>
      <c r="T125" t="inlineStr">
        <is>
          <t>Shipyard / Miscellaneous</t>
        </is>
      </c>
    </row>
    <row r="126">
      <c r="A126" s="88" t="n">
        <v>108</v>
      </c>
      <c r="B126" s="64" t="n"/>
      <c r="C126" s="64" t="inlineStr">
        <is>
          <t xml:space="preserve">Manual chain blocks </t>
        </is>
      </c>
      <c r="D126" s="64" t="inlineStr">
        <is>
          <t>Stores</t>
        </is>
      </c>
      <c r="E126" s="64" t="inlineStr">
        <is>
          <t>Not Created</t>
        </is>
      </c>
      <c r="F126" s="82" t="n"/>
      <c r="G126" s="83" t="n"/>
      <c r="H126" s="64" t="inlineStr">
        <is>
          <t>QTY REQUIRED</t>
        </is>
      </c>
      <c r="I126" s="64" t="inlineStr">
        <is>
          <t>Monirul to discuss with Seyi</t>
        </is>
      </c>
      <c r="J126" s="84" t="e">
        <v>#N/A</v>
      </c>
      <c r="K126" s="84" t="e">
        <v>#N/A</v>
      </c>
      <c r="L126" s="92" t="e">
        <v>#N/A</v>
      </c>
      <c r="M126" s="84" t="n"/>
      <c r="T126" t="inlineStr">
        <is>
          <t>Shipyard / Miscellaneous</t>
        </is>
      </c>
    </row>
    <row r="127">
      <c r="A127" s="88" t="n">
        <v>111</v>
      </c>
      <c r="B127" s="64" t="n"/>
      <c r="C127" s="64" t="inlineStr">
        <is>
          <t>Welding machine in Workshop 440 v</t>
        </is>
      </c>
      <c r="D127" s="64" t="inlineStr">
        <is>
          <t>Stores</t>
        </is>
      </c>
      <c r="E127" s="64" t="inlineStr">
        <is>
          <t>Not Created</t>
        </is>
      </c>
      <c r="F127" s="82" t="n"/>
      <c r="G127" s="83" t="n"/>
      <c r="H127" s="64" t="inlineStr">
        <is>
          <t>Checking with Kshitij if Quoted reqd</t>
        </is>
      </c>
      <c r="I127" s="64" t="n"/>
      <c r="J127" s="84" t="e">
        <v>#N/A</v>
      </c>
      <c r="K127" s="84" t="e">
        <v>#N/A</v>
      </c>
      <c r="L127" s="92" t="e">
        <v>#N/A</v>
      </c>
      <c r="M127" s="84" t="n"/>
      <c r="T127" t="inlineStr">
        <is>
          <t>Welding Equipment</t>
        </is>
      </c>
    </row>
    <row r="128">
      <c r="A128" s="88" t="n">
        <v>112</v>
      </c>
      <c r="B128" s="87" t="inlineStr">
        <is>
          <t>GLIG-60114/26-1</t>
        </is>
      </c>
      <c r="C128" s="64" t="inlineStr">
        <is>
          <t>Service Car</t>
        </is>
      </c>
      <c r="D128" s="64" t="inlineStr">
        <is>
          <t>Stores</t>
        </is>
      </c>
      <c r="E128" s="64" t="inlineStr">
        <is>
          <t>Pending Delivery</t>
        </is>
      </c>
      <c r="F128" s="82" t="n"/>
      <c r="G128" s="83" t="n"/>
      <c r="H128" s="64" t="inlineStr">
        <is>
          <t>Po raised on V-link for 6 Vsls</t>
        </is>
      </c>
      <c r="I128" s="64" t="n"/>
      <c r="J128" s="84" t="e">
        <v>#N/A</v>
      </c>
      <c r="K128" s="84" t="e">
        <v>#N/A</v>
      </c>
      <c r="L128" s="92" t="e">
        <v>#N/A</v>
      </c>
      <c r="M128" s="84" t="n"/>
      <c r="T128" t="inlineStr">
        <is>
          <t>Shipyard / Miscellaneous</t>
        </is>
      </c>
    </row>
    <row r="129">
      <c r="A129" s="88" t="n">
        <v>112</v>
      </c>
      <c r="B129" s="64" t="inlineStr">
        <is>
          <t>GLIG-60113/26</t>
        </is>
      </c>
      <c r="C129" s="64" t="inlineStr">
        <is>
          <t>Forlift</t>
        </is>
      </c>
      <c r="D129" s="64" t="inlineStr">
        <is>
          <t>Stores</t>
        </is>
      </c>
      <c r="E129" s="64" t="inlineStr">
        <is>
          <t>Pending Approval</t>
        </is>
      </c>
      <c r="F129" s="82" t="n"/>
      <c r="G129" s="83" t="n"/>
      <c r="H129" s="64" t="inlineStr">
        <is>
          <t>Po raised on V-link for 6 Vsls</t>
        </is>
      </c>
      <c r="I129" s="64" t="inlineStr">
        <is>
          <t>Monirul to Approve Po</t>
        </is>
      </c>
      <c r="J129" s="84" t="e">
        <v>#N/A</v>
      </c>
      <c r="K129" s="84" t="e">
        <v>#N/A</v>
      </c>
      <c r="L129" s="92" t="e">
        <v>#N/A</v>
      </c>
      <c r="M129" s="84" t="n"/>
      <c r="T129" t="inlineStr">
        <is>
          <t>Shipyard / Miscellaneous</t>
        </is>
      </c>
    </row>
    <row r="130">
      <c r="A130" s="88" t="n">
        <v>117</v>
      </c>
      <c r="B130" s="64" t="n"/>
      <c r="C130" s="64" t="inlineStr">
        <is>
          <t>Alcometer</t>
        </is>
      </c>
      <c r="D130" s="64" t="inlineStr">
        <is>
          <t>Stores</t>
        </is>
      </c>
      <c r="E130" s="64" t="inlineStr">
        <is>
          <t>Not Created</t>
        </is>
      </c>
      <c r="F130" s="82" t="n"/>
      <c r="G130" s="83" t="n"/>
      <c r="H130" s="64" t="inlineStr">
        <is>
          <t>Po to be raised on Dan Marine</t>
        </is>
      </c>
      <c r="I130" s="64" t="inlineStr">
        <is>
          <t>Parts to be enlisted in Jibe</t>
        </is>
      </c>
      <c r="J130" s="84" t="e">
        <v>#N/A</v>
      </c>
      <c r="K130" s="84" t="e">
        <v>#N/A</v>
      </c>
      <c r="L130" s="92" t="e">
        <v>#N/A</v>
      </c>
      <c r="M130" s="84" t="n"/>
      <c r="T130" t="inlineStr">
        <is>
          <t>Shipyard / Miscellaneous</t>
        </is>
      </c>
    </row>
    <row r="131">
      <c r="A131" s="88" t="n">
        <v>118</v>
      </c>
      <c r="B131" s="64" t="n"/>
      <c r="C131" s="64" t="inlineStr">
        <is>
          <t>Bosch GLM-50 or Laser Distance Measuring Tool</t>
        </is>
      </c>
      <c r="D131" s="64" t="inlineStr">
        <is>
          <t>Stores</t>
        </is>
      </c>
      <c r="E131" s="64" t="inlineStr">
        <is>
          <t>Not Created</t>
        </is>
      </c>
      <c r="F131" s="82" t="n"/>
      <c r="G131" s="83" t="n"/>
      <c r="H131" s="64" t="inlineStr">
        <is>
          <t>Po to be raised on Dan Marine</t>
        </is>
      </c>
      <c r="I131" s="64" t="inlineStr">
        <is>
          <t>Parts to be enlisted in Jibe</t>
        </is>
      </c>
      <c r="J131" s="84" t="e">
        <v>#N/A</v>
      </c>
      <c r="K131" s="84" t="e">
        <v>#N/A</v>
      </c>
      <c r="L131" s="92" t="e">
        <v>#N/A</v>
      </c>
      <c r="M131" s="84" t="n"/>
      <c r="T131" t="inlineStr">
        <is>
          <t>Shipyard / Miscellaneous</t>
        </is>
      </c>
    </row>
    <row r="132">
      <c r="A132" s="88" t="n">
        <v>91</v>
      </c>
      <c r="B132" s="64" t="n"/>
      <c r="C132" s="64" t="inlineStr">
        <is>
          <t>Stanchions</t>
        </is>
      </c>
      <c r="D132" s="64" t="inlineStr">
        <is>
          <t>Stores</t>
        </is>
      </c>
      <c r="E132" s="64" t="inlineStr">
        <is>
          <t>Not Created</t>
        </is>
      </c>
      <c r="F132" s="82" t="n"/>
      <c r="G132" s="83" t="n"/>
      <c r="H132" s="64" t="inlineStr">
        <is>
          <t>Offer from GMS shared with Kshitij (Lead time 1 Month) presently on hold</t>
        </is>
      </c>
      <c r="I132" s="64" t="inlineStr">
        <is>
          <t>Monirul To check with Abhishek, Seyi and Su</t>
        </is>
      </c>
      <c r="J132" s="84" t="e">
        <v>#N/A</v>
      </c>
      <c r="K132" s="84" t="e">
        <v>#N/A</v>
      </c>
      <c r="L132" s="92" t="e">
        <v>#N/A</v>
      </c>
      <c r="M132" s="84" t="n"/>
      <c r="T132" t="inlineStr">
        <is>
          <t>Shipyard / Miscellaneous</t>
        </is>
      </c>
    </row>
    <row r="133">
      <c r="A133" s="84" t="n"/>
      <c r="B133" s="64" t="n"/>
      <c r="C133" s="64" t="inlineStr">
        <is>
          <t>Deck Sweeper</t>
        </is>
      </c>
      <c r="D133" s="64" t="inlineStr">
        <is>
          <t>Stores</t>
        </is>
      </c>
      <c r="E133" s="64" t="n"/>
      <c r="F133" s="82" t="n"/>
      <c r="G133" s="64" t="n"/>
      <c r="H133" s="64" t="inlineStr">
        <is>
          <t>Awaiting Chinese offer from Dan Marine</t>
        </is>
      </c>
      <c r="I133" s="64" t="inlineStr">
        <is>
          <t>Monirul To check with Abhishek, Seyi and Su</t>
        </is>
      </c>
      <c r="J133" s="84" t="e">
        <v>#N/A</v>
      </c>
      <c r="K133" s="84" t="e">
        <v>#N/A</v>
      </c>
      <c r="L133" s="92" t="e">
        <v>#N/A</v>
      </c>
      <c r="M133" s="84" t="n"/>
      <c r="T133" t="inlineStr">
        <is>
          <t>Shipyard / Miscellaneous</t>
        </is>
      </c>
    </row>
    <row r="134">
      <c r="A134" s="84" t="n"/>
      <c r="B134" s="64" t="n"/>
      <c r="C134" s="64" t="inlineStr">
        <is>
          <t>Provisions and Bonds</t>
        </is>
      </c>
      <c r="D134" s="64" t="inlineStr">
        <is>
          <t>Stores</t>
        </is>
      </c>
      <c r="E134" s="64" t="n"/>
      <c r="F134" s="82" t="n"/>
      <c r="G134" s="64" t="n"/>
      <c r="H134" s="64" t="inlineStr">
        <is>
          <t>Captain Liaising with HMS</t>
        </is>
      </c>
      <c r="I134" s="64" t="n"/>
      <c r="J134" s="84" t="e">
        <v>#N/A</v>
      </c>
      <c r="K134" s="84" t="e">
        <v>#N/A</v>
      </c>
      <c r="L134" s="92" t="e">
        <v>#N/A</v>
      </c>
      <c r="M134" s="84" t="n"/>
      <c r="T134" t="inlineStr">
        <is>
          <t>Crew Care &amp; Provisions</t>
        </is>
      </c>
    </row>
    <row r="135">
      <c r="A135" s="84" t="n"/>
      <c r="B135" s="64" t="inlineStr">
        <is>
          <t>GLIG-60110/26</t>
        </is>
      </c>
      <c r="C135" s="64" t="inlineStr">
        <is>
          <t>Medicines</t>
        </is>
      </c>
      <c r="D135" s="64" t="inlineStr">
        <is>
          <t>Stores</t>
        </is>
      </c>
      <c r="E135" s="64" t="n"/>
      <c r="F135" s="82" t="n"/>
      <c r="G135" s="64" t="n"/>
      <c r="H135" s="64" t="inlineStr">
        <is>
          <t>Po to be issued on Compass</t>
        </is>
      </c>
      <c r="I135" s="64" t="inlineStr">
        <is>
          <t>Vendor to be added in Jibe</t>
        </is>
      </c>
      <c r="J135" s="84" t="e">
        <v>#N/A</v>
      </c>
      <c r="K135" s="84" t="e">
        <v>#N/A</v>
      </c>
      <c r="L135" s="92" t="e">
        <v>#N/A</v>
      </c>
      <c r="M135" s="84" t="n"/>
      <c r="T135" t="inlineStr">
        <is>
          <t>Crew Care &amp; Provisions</t>
        </is>
      </c>
    </row>
    <row r="136">
      <c r="A136" s="84" t="n"/>
      <c r="B136" s="64" t="inlineStr">
        <is>
          <t>GLIG-60110/26</t>
        </is>
      </c>
      <c r="C136" s="64" t="inlineStr">
        <is>
          <t>Medox and Equipments</t>
        </is>
      </c>
      <c r="D136" s="64" t="inlineStr">
        <is>
          <t>Stores</t>
        </is>
      </c>
      <c r="E136" s="64" t="n"/>
      <c r="F136" s="82" t="n"/>
      <c r="G136" s="64" t="n"/>
      <c r="H136" s="64" t="inlineStr">
        <is>
          <t>Po to be issued on Compass</t>
        </is>
      </c>
      <c r="I136" s="64" t="inlineStr">
        <is>
          <t>Vendor to be added in Jibe</t>
        </is>
      </c>
      <c r="J136" s="84" t="e">
        <v>#N/A</v>
      </c>
      <c r="K136" s="84" t="e">
        <v>#N/A</v>
      </c>
      <c r="L136" s="92" t="e">
        <v>#N/A</v>
      </c>
      <c r="M136" s="84" t="n"/>
      <c r="T136" t="inlineStr">
        <is>
          <t>Crew Care &amp; Provisions</t>
        </is>
      </c>
    </row>
    <row r="137">
      <c r="A137" s="84" t="n"/>
      <c r="B137" s="64" t="n"/>
      <c r="C137" s="64" t="inlineStr">
        <is>
          <t>Soot Releasing Dosing Unit</t>
        </is>
      </c>
      <c r="D137" s="64" t="inlineStr">
        <is>
          <t>Stores</t>
        </is>
      </c>
      <c r="E137" s="64" t="n"/>
      <c r="F137" s="82" t="n"/>
      <c r="G137" s="64" t="n"/>
      <c r="H137" s="64" t="n"/>
      <c r="I137" s="64" t="inlineStr">
        <is>
          <t>Seyi to confirm quote from yard</t>
        </is>
      </c>
      <c r="J137" s="84" t="e">
        <v>#N/A</v>
      </c>
      <c r="K137" s="84" t="e">
        <v>#N/A</v>
      </c>
      <c r="L137" s="92" t="e">
        <v>#N/A</v>
      </c>
      <c r="M137" s="84" t="n"/>
      <c r="T137" t="inlineStr">
        <is>
          <t>Shipyard / Miscellaneous</t>
        </is>
      </c>
    </row>
    <row r="138">
      <c r="A138" s="84" t="n"/>
      <c r="B138" s="64" t="n"/>
      <c r="C138" s="64" t="inlineStr">
        <is>
          <t>Naoh</t>
        </is>
      </c>
      <c r="D138" s="64" t="inlineStr">
        <is>
          <t>Stores</t>
        </is>
      </c>
      <c r="E138" s="64" t="n"/>
      <c r="F138" s="82" t="n"/>
      <c r="G138" s="64" t="n"/>
      <c r="H138" s="64" t="inlineStr">
        <is>
          <t>Not reqd</t>
        </is>
      </c>
      <c r="I138" s="64" t="inlineStr">
        <is>
          <t>Not Reqd from Chandlers, Yard shall supply even if additional</t>
        </is>
      </c>
      <c r="J138" s="84" t="e">
        <v>#N/A</v>
      </c>
      <c r="K138" s="84" t="e">
        <v>#N/A</v>
      </c>
      <c r="L138" s="92" t="e">
        <v>#N/A</v>
      </c>
      <c r="M138" s="84" t="n"/>
      <c r="T138" t="inlineStr">
        <is>
          <t>Maintenance Chemicals</t>
        </is>
      </c>
    </row>
    <row r="139">
      <c r="A139" s="84" t="n"/>
      <c r="B139" s="87" t="inlineStr">
        <is>
          <t>GLIG-60111/26-1</t>
        </is>
      </c>
      <c r="C139" s="84" t="inlineStr">
        <is>
          <t>Rubber Matting</t>
        </is>
      </c>
      <c r="D139" s="84" t="inlineStr">
        <is>
          <t>Stores</t>
        </is>
      </c>
      <c r="E139" s="64" t="inlineStr">
        <is>
          <t>Pending Approval</t>
        </is>
      </c>
      <c r="F139" s="86" t="n"/>
      <c r="G139" s="84" t="n"/>
      <c r="H139" s="84" t="inlineStr">
        <is>
          <t>Raised on Glovis Lighthouse</t>
        </is>
      </c>
      <c r="I139" s="84" t="inlineStr">
        <is>
          <t>Monirul to Approve Po</t>
        </is>
      </c>
      <c r="J139" s="84" t="e">
        <v>#N/A</v>
      </c>
      <c r="K139" s="84" t="e">
        <v>#N/A</v>
      </c>
      <c r="L139" s="92" t="e">
        <v>#N/A</v>
      </c>
      <c r="M139" s="84" t="n"/>
      <c r="T139" t="inlineStr">
        <is>
          <t>Safety &amp; PPE</t>
        </is>
      </c>
    </row>
    <row r="140">
      <c r="A140" s="84" t="n"/>
      <c r="B140" s="87" t="inlineStr">
        <is>
          <t>GLIG-60112/26-1</t>
        </is>
      </c>
      <c r="C140" s="84" t="inlineStr">
        <is>
          <t>Nitrogen Hose</t>
        </is>
      </c>
      <c r="D140" s="84" t="inlineStr">
        <is>
          <t>Stores</t>
        </is>
      </c>
      <c r="E140" s="64" t="inlineStr">
        <is>
          <t>Pending Delivery</t>
        </is>
      </c>
      <c r="F140" s="86" t="n"/>
      <c r="G140" s="84" t="n"/>
      <c r="H140" s="84" t="inlineStr">
        <is>
          <t xml:space="preserve">Po Issued </t>
        </is>
      </c>
      <c r="I140" s="84" t="n"/>
      <c r="J140" s="84" t="e">
        <v>#N/A</v>
      </c>
      <c r="K140" s="84" t="e">
        <v>#N/A</v>
      </c>
      <c r="L140" s="92" t="e">
        <v>#N/A</v>
      </c>
      <c r="M140" s="84" t="n"/>
      <c r="T140" t="inlineStr">
        <is>
          <t>Shipyard / Miscellaneous</t>
        </is>
      </c>
    </row>
    <row r="141">
      <c r="A141" s="84" t="n"/>
      <c r="B141" s="87" t="inlineStr">
        <is>
          <t>GLIG-60107/26-1</t>
        </is>
      </c>
      <c r="C141" s="84" t="n"/>
      <c r="D141" s="84" t="n"/>
      <c r="E141" s="84" t="n"/>
      <c r="F141" s="86" t="n"/>
      <c r="G141" s="84" t="n"/>
      <c r="H141" s="84" t="n"/>
      <c r="I141" s="84" t="n"/>
      <c r="J141" s="84" t="inlineStr">
        <is>
          <t>HONGKONG LONGWIND MARINE SERVICE CO LIMITED</t>
        </is>
      </c>
      <c r="K141" s="84" t="inlineStr">
        <is>
          <t>USD</t>
        </is>
      </c>
      <c r="L141" s="92" t="n">
        <v>120</v>
      </c>
      <c r="M141" s="84" t="n"/>
    </row>
    <row r="142">
      <c r="A142" s="84" t="n"/>
      <c r="B142" s="87" t="inlineStr">
        <is>
          <t>GLIG-60108/26-1</t>
        </is>
      </c>
      <c r="C142" s="84" t="n"/>
      <c r="D142" s="84" t="n"/>
      <c r="E142" s="84" t="n"/>
      <c r="F142" s="86" t="n"/>
      <c r="G142" s="84" t="n"/>
      <c r="H142" s="84" t="n"/>
      <c r="I142" s="84" t="n"/>
      <c r="J142" s="84" t="inlineStr">
        <is>
          <t>Interface Computer System Co. Ltd.</t>
        </is>
      </c>
      <c r="K142" s="84" t="inlineStr">
        <is>
          <t>HKD</t>
        </is>
      </c>
      <c r="L142" s="92" t="n">
        <v>1460</v>
      </c>
      <c r="M142" s="84" t="n"/>
    </row>
    <row r="143">
      <c r="A143" s="84" t="n"/>
      <c r="B143" s="87" t="inlineStr">
        <is>
          <t>GLIG-MVSP-60007/26-1</t>
        </is>
      </c>
      <c r="C143" s="84" t="n"/>
      <c r="D143" s="84" t="n"/>
      <c r="E143" s="84" t="n"/>
      <c r="F143" s="86" t="n"/>
      <c r="G143" s="84" t="n"/>
      <c r="H143" s="84" t="n"/>
      <c r="I143" s="84" t="n"/>
      <c r="J143" s="84" t="inlineStr">
        <is>
          <t>IT Blueprint Solutions Consulting Inc</t>
        </is>
      </c>
      <c r="K143" s="84" t="inlineStr">
        <is>
          <t>USD</t>
        </is>
      </c>
      <c r="L143" s="92" t="n">
        <v>250</v>
      </c>
      <c r="M143" s="84" t="n"/>
    </row>
    <row r="144">
      <c r="A144" s="88" t="n">
        <v>85</v>
      </c>
      <c r="B144" s="64" t="n"/>
      <c r="C144" s="64" t="inlineStr">
        <is>
          <t xml:space="preserve">Soot </t>
        </is>
      </c>
      <c r="D144" s="64" t="n"/>
      <c r="E144" s="64" t="inlineStr">
        <is>
          <t>Not Created</t>
        </is>
      </c>
      <c r="F144" s="82" t="n"/>
      <c r="G144" s="83" t="n"/>
      <c r="H144" s="64" t="inlineStr">
        <is>
          <t>GSI</t>
        </is>
      </c>
      <c r="I144" s="64" t="inlineStr">
        <is>
          <t>Monirul to check with Seyi and Su to get the Spec and order locallly</t>
        </is>
      </c>
      <c r="J144" s="84" t="e">
        <v>#N/A</v>
      </c>
      <c r="K144" s="84" t="e">
        <v>#N/A</v>
      </c>
      <c r="L144" s="92" t="e">
        <v>#N/A</v>
      </c>
      <c r="M144" s="84" t="n"/>
      <c r="T144" t="inlineStr">
        <is>
          <t>Shipyard / Miscellaneous</t>
        </is>
      </c>
    </row>
    <row r="145">
      <c r="A145" s="84" t="n"/>
      <c r="B145" s="89" t="inlineStr">
        <is>
          <t xml:space="preserve">LIST-GLIG-60120/26 </t>
        </is>
      </c>
      <c r="C145" s="64" t="inlineStr">
        <is>
          <t>PPE - RMS</t>
        </is>
      </c>
      <c r="D145" s="64" t="n"/>
      <c r="E145" s="64" t="n"/>
      <c r="F145" s="82" t="n"/>
      <c r="G145" s="64" t="n"/>
      <c r="H145" s="64" t="n"/>
      <c r="I145" s="64" t="inlineStr">
        <is>
          <t>Quote awaited from RMS</t>
        </is>
      </c>
      <c r="J145" s="84" t="e">
        <v>#N/A</v>
      </c>
      <c r="K145" s="84" t="e">
        <v>#N/A</v>
      </c>
      <c r="L145" s="92" t="e">
        <v>#N/A</v>
      </c>
      <c r="M145" s="84" t="n"/>
      <c r="T145" t="inlineStr">
        <is>
          <t>Safety &amp; PPE</t>
        </is>
      </c>
    </row>
    <row r="146">
      <c r="A146" s="84" t="n"/>
      <c r="B146" s="64" t="n"/>
      <c r="C146" s="64" t="inlineStr">
        <is>
          <t>Buyer Supply - New Positioning System for Transiting Panama ( inc. Anti Jamming) (SAAB R6 NAV NEO)</t>
        </is>
      </c>
      <c r="D146" s="64" t="n"/>
      <c r="E146" s="64" t="n"/>
      <c r="F146" s="82" t="n"/>
      <c r="G146" s="64" t="n"/>
      <c r="H146" s="64" t="n"/>
      <c r="I146" s="64" t="inlineStr">
        <is>
          <t>Po issued on West Nautical</t>
        </is>
      </c>
      <c r="J146" s="84" t="e">
        <v>#N/A</v>
      </c>
      <c r="K146" s="84" t="e">
        <v>#N/A</v>
      </c>
      <c r="L146" s="92" t="e">
        <v>#N/A</v>
      </c>
      <c r="M146" s="84" t="n"/>
      <c r="T146" t="inlineStr">
        <is>
          <t>Navigation - HiNAS SVM</t>
        </is>
      </c>
    </row>
    <row r="147">
      <c r="A147" s="84" t="n"/>
      <c r="B147" s="64" t="n"/>
      <c r="C147" s="64" t="inlineStr">
        <is>
          <t>Immersion Suit</t>
        </is>
      </c>
      <c r="D147" s="64" t="n"/>
      <c r="E147" s="64" t="n"/>
      <c r="F147" s="82" t="n"/>
      <c r="G147" s="64" t="n"/>
      <c r="H147" s="64" t="inlineStr">
        <is>
          <t>No action</t>
        </is>
      </c>
      <c r="I147" s="64" t="inlineStr">
        <is>
          <t>Yard Supply</t>
        </is>
      </c>
      <c r="J147" s="84" t="e">
        <v>#N/A</v>
      </c>
      <c r="K147" s="84" t="e">
        <v>#N/A</v>
      </c>
      <c r="L147" s="92" t="e">
        <v>#N/A</v>
      </c>
      <c r="M147" s="84" t="n"/>
      <c r="T147" t="inlineStr">
        <is>
          <t>Safety &amp; PPE</t>
        </is>
      </c>
    </row>
    <row r="148">
      <c r="A148" s="84" t="n"/>
      <c r="B148" s="64" t="n"/>
      <c r="C148" s="64" t="inlineStr">
        <is>
          <t>Fire Mans Outfit</t>
        </is>
      </c>
      <c r="D148" s="64" t="n"/>
      <c r="E148" s="64" t="n"/>
      <c r="F148" s="82" t="n"/>
      <c r="G148" s="64" t="n"/>
      <c r="H148" s="64" t="inlineStr">
        <is>
          <t>No action</t>
        </is>
      </c>
      <c r="I148" s="64" t="inlineStr">
        <is>
          <t>Yard Supply</t>
        </is>
      </c>
      <c r="J148" s="84" t="e">
        <v>#N/A</v>
      </c>
      <c r="K148" s="84" t="e">
        <v>#N/A</v>
      </c>
      <c r="L148" s="92" t="e">
        <v>#N/A</v>
      </c>
      <c r="M148" s="84" t="n"/>
      <c r="T148" t="inlineStr">
        <is>
          <t>Safety &amp; PPE</t>
        </is>
      </c>
    </row>
    <row r="149">
      <c r="A149" s="84" t="n"/>
      <c r="B149" s="64" t="n"/>
      <c r="C149" s="64" t="inlineStr">
        <is>
          <t>Iron Test Kit from CMT</t>
        </is>
      </c>
      <c r="D149" s="64" t="n"/>
      <c r="E149" s="64" t="n"/>
      <c r="F149" s="82" t="n"/>
      <c r="G149" s="64" t="n"/>
      <c r="H149" s="64" t="inlineStr">
        <is>
          <t>Sahaya to get quotes</t>
        </is>
      </c>
      <c r="I149" s="64" t="inlineStr">
        <is>
          <t>Total Iron Test Kit CMT</t>
        </is>
      </c>
      <c r="J149" s="84" t="e">
        <v>#N/A</v>
      </c>
      <c r="K149" s="84" t="e">
        <v>#N/A</v>
      </c>
      <c r="L149" s="92" t="e">
        <v>#N/A</v>
      </c>
      <c r="M149" s="84" t="n"/>
      <c r="T149" t="inlineStr">
        <is>
          <t>Shipyard / Miscellaneous</t>
        </is>
      </c>
    </row>
    <row r="150">
      <c r="A150" s="84" t="n"/>
      <c r="B150" s="64" t="n"/>
      <c r="C150" s="64" t="inlineStr">
        <is>
          <t>Oil Test Kit</t>
        </is>
      </c>
      <c r="D150" s="64" t="n"/>
      <c r="E150" s="64" t="n"/>
      <c r="F150" s="82" t="n"/>
      <c r="G150" s="64" t="n"/>
      <c r="H150" s="64" t="n"/>
      <c r="I150" s="64" t="inlineStr">
        <is>
          <t>CMT</t>
        </is>
      </c>
      <c r="J150" s="84" t="e">
        <v>#N/A</v>
      </c>
      <c r="K150" s="84" t="e">
        <v>#N/A</v>
      </c>
      <c r="L150" s="92" t="e">
        <v>#N/A</v>
      </c>
      <c r="M150" s="84" t="n"/>
      <c r="T150" t="inlineStr">
        <is>
          <t>Shipyard / Miscellaneous</t>
        </is>
      </c>
    </row>
    <row r="151"/>
    <row r="152"/>
    <row r="153"/>
    <row r="154" ht="18" customHeight="1">
      <c r="A154" s="88" t="n">
        <v>101</v>
      </c>
      <c r="B154" s="64" t="n"/>
      <c r="C154" s="64" t="inlineStr">
        <is>
          <t>Manuals for all equipment- priority for BWTS, STP, OWS, EMGCY AC, EMCY GEN</t>
        </is>
      </c>
      <c r="D154" s="64" t="inlineStr">
        <is>
          <t>Others</t>
        </is>
      </c>
      <c r="E154" s="64" t="inlineStr">
        <is>
          <t>Not Created</t>
        </is>
      </c>
      <c r="F154" s="82" t="n"/>
      <c r="G154" s="83" t="n"/>
      <c r="H154" s="64" t="inlineStr">
        <is>
          <t>Seyi to push Su for manuals</t>
        </is>
      </c>
      <c r="I154" s="64" t="inlineStr">
        <is>
          <t>Monirul, Seyi to Push Mr. Su for Manuals</t>
        </is>
      </c>
      <c r="J154" s="84" t="e">
        <v>#N/A</v>
      </c>
      <c r="K154" s="84" t="e">
        <v>#N/A</v>
      </c>
      <c r="L154" s="92" t="e">
        <v>#N/A</v>
      </c>
      <c r="M154" s="84" t="n"/>
      <c r="T154" t="inlineStr">
        <is>
          <t>Publications &amp; Manuals</t>
        </is>
      </c>
    </row>
  </sheetData>
  <autoFilter ref="A10:Q150">
    <sortState ref="A11:Q150">
      <sortCondition ref="D10:D150"/>
    </sortState>
  </autoFilter>
  <mergeCells count="10">
    <mergeCell ref="A4:B4"/>
    <mergeCell ref="C2:E2"/>
    <mergeCell ref="A2:B2"/>
    <mergeCell ref="A1:L1"/>
    <mergeCell ref="D4:L4"/>
    <mergeCell ref="F3:L3"/>
    <mergeCell ref="F2:L2"/>
    <mergeCell ref="A9:I9"/>
    <mergeCell ref="C3:E3"/>
    <mergeCell ref="A3:B3"/>
  </mergeCells>
  <dataValidations count="4">
    <dataValidation sqref="D27:D28 D30:D55 D56:D122 D154" showDropDown="0" showInputMessage="0" showErrorMessage="0" allowBlank="1" type="list">
      <formula1>"Spares,Stores,Lube Oil,Chemicals,Lashing Gear,Others"</formula1>
      <formula2>0</formula2>
    </dataValidation>
    <dataValidation sqref="E11:E55 E56:E80 E82:E122 E154" showDropDown="0" showInputMessage="0" showErrorMessage="0" allowBlank="1" type="list">
      <formula1>"Not Created,To Be Created,Pending Approval,Approved &amp; Issued,Pending Delivery,Delivered"</formula1>
    </dataValidation>
    <dataValidation sqref="M11" showDropDown="0" showInputMessage="1" showErrorMessage="1" allowBlank="1" promptTitle="Check if agreement in place" prompt="To check with relevant category managers on status of the supplier contracts _x000a_" type="list">
      <formula1>$S$10:$S$13</formula1>
    </dataValidation>
    <dataValidation sqref="M12:M150 M154" showDropDown="0" showInputMessage="1" showErrorMessage="1" allowBlank="1" promptTitle="Testing" prompt="Testing 1_x000a_" type="list">
      <formula1>$M$11:$M$150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zoomScale="135" zoomScaleNormal="70" workbookViewId="0">
      <pane ySplit="10" topLeftCell="A11" activePane="bottomLeft" state="frozen"/>
      <selection pane="bottomLeft" activeCell="C109" sqref="C109"/>
    </sheetView>
  </sheetViews>
  <sheetFormatPr baseColWidth="8" defaultColWidth="8.5703125" defaultRowHeight="15"/>
  <cols>
    <col width="6.85546875" bestFit="1" customWidth="1" min="1" max="1"/>
    <col width="16.42578125" bestFit="1" customWidth="1" min="2" max="2"/>
    <col width="73.140625" bestFit="1" customWidth="1" min="3" max="3"/>
    <col width="8.28515625" bestFit="1" customWidth="1" min="4" max="4"/>
    <col width="14.85546875" bestFit="1" customWidth="1" min="5" max="5"/>
    <col width="11.28515625" bestFit="1" customWidth="1" min="6" max="6"/>
    <col width="12.5703125" bestFit="1" customWidth="1" min="7" max="7"/>
    <col width="57.42578125" bestFit="1" customWidth="1" min="8" max="8"/>
    <col width="11.140625" bestFit="1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Link</t>
        </is>
      </c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D7" s="29">
        <f>COUNTIF(E11:E113,"Approved &amp; Issued")</f>
        <v/>
      </c>
      <c r="E7" s="29">
        <f>COUNTIF(E11:E113,"Pending Delivery")</f>
        <v/>
      </c>
      <c r="F7" s="29">
        <f>COUNTIF(E11:E113,"Delivered")</f>
        <v/>
      </c>
      <c r="G7" s="29">
        <f>COUNTA(B11:B113)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  <c r="I10" t="inlineStr">
        <is>
          <t>PO Name Standardized</t>
        </is>
      </c>
    </row>
    <row r="11" ht="18" customHeight="1">
      <c r="A11" s="46" t="n">
        <v>1</v>
      </c>
      <c r="B11" s="47" t="inlineStr">
        <is>
          <t>GLIN-60016/26-1</t>
        </is>
      </c>
      <c r="C11" s="47" t="inlineStr">
        <is>
          <t>FS-VLINK CABLE</t>
        </is>
      </c>
      <c r="D11" s="48" t="inlineStr">
        <is>
          <t>Others</t>
        </is>
      </c>
      <c r="E11" s="48" t="inlineStr">
        <is>
          <t>Pending Delivery</t>
        </is>
      </c>
      <c r="F11" s="49" t="inlineStr">
        <is>
          <t>11-02-2026</t>
        </is>
      </c>
      <c r="G11" s="49" t="n">
        <v>46079</v>
      </c>
      <c r="H11" s="47" t="inlineStr">
        <is>
          <t>IT Po</t>
        </is>
      </c>
      <c r="I11" t="inlineStr">
        <is>
          <t>Communications - VLINK</t>
        </is>
      </c>
    </row>
    <row r="12" ht="18" customHeight="1">
      <c r="A12" s="46" t="n">
        <v>2</v>
      </c>
      <c r="B12" s="50" t="inlineStr">
        <is>
          <t>GLIN-60019/26</t>
        </is>
      </c>
      <c r="C12" s="50" t="inlineStr">
        <is>
          <t>Reliability Spares - PCTC-Seaspan - Boilers QUOT26012103_R00</t>
        </is>
      </c>
      <c r="D12" s="51" t="inlineStr">
        <is>
          <t>Spares</t>
        </is>
      </c>
      <c r="E12" s="51" t="inlineStr">
        <is>
          <t>Pending Approval</t>
        </is>
      </c>
      <c r="F12" s="52" t="inlineStr">
        <is>
          <t>25-02-2026</t>
        </is>
      </c>
      <c r="G12" s="52" t="n"/>
      <c r="H12" s="50" t="inlineStr">
        <is>
          <t>Po to be Approved</t>
        </is>
      </c>
      <c r="I12" t="inlineStr">
        <is>
          <t>Boiler Spares</t>
        </is>
      </c>
    </row>
    <row r="13" ht="18" customHeight="1">
      <c r="A13" s="46" t="n">
        <v>3</v>
      </c>
      <c r="B13" s="47" t="inlineStr">
        <is>
          <t>GLIN-60005/26-1</t>
        </is>
      </c>
      <c r="C13" s="47" t="inlineStr">
        <is>
          <t>FS-ITBP  -glovis link</t>
        </is>
      </c>
      <c r="D13" s="48" t="inlineStr">
        <is>
          <t>Others</t>
        </is>
      </c>
      <c r="E13" s="48" t="inlineStr">
        <is>
          <t>Pending Delivery</t>
        </is>
      </c>
      <c r="F13" s="49" t="inlineStr">
        <is>
          <t>19-01-2026</t>
        </is>
      </c>
      <c r="G13" s="49" t="n">
        <v>46079</v>
      </c>
      <c r="H13" s="47" t="inlineStr">
        <is>
          <t>IT Po</t>
        </is>
      </c>
      <c r="I13" t="inlineStr">
        <is>
          <t>IT Equipment - ITBP</t>
        </is>
      </c>
    </row>
    <row r="14" ht="18" customHeight="1">
      <c r="A14" s="46" t="n">
        <v>4</v>
      </c>
      <c r="B14" s="50" t="inlineStr">
        <is>
          <t>GLIN-60013/26-1</t>
        </is>
      </c>
      <c r="C14" s="50" t="inlineStr">
        <is>
          <t>FS-ITBP CABLES</t>
        </is>
      </c>
      <c r="D14" s="51" t="inlineStr">
        <is>
          <t>Others</t>
        </is>
      </c>
      <c r="E14" s="51" t="inlineStr">
        <is>
          <t>Pending Delivery</t>
        </is>
      </c>
      <c r="F14" s="52" t="inlineStr">
        <is>
          <t>10-02-2026</t>
        </is>
      </c>
      <c r="G14" s="52" t="n">
        <v>46079</v>
      </c>
      <c r="H14" s="50" t="inlineStr">
        <is>
          <t>IT Po</t>
        </is>
      </c>
      <c r="I14" t="inlineStr">
        <is>
          <t>IT Equipment - ITBP Cables</t>
        </is>
      </c>
    </row>
    <row r="15" ht="18" customHeight="1">
      <c r="A15" s="46" t="n">
        <v>5</v>
      </c>
      <c r="B15" s="47" t="inlineStr">
        <is>
          <t>GLIN-60009/26-1</t>
        </is>
      </c>
      <c r="C15" s="47" t="inlineStr">
        <is>
          <t>FS-SIHUI-link</t>
        </is>
      </c>
      <c r="D15" s="48" t="inlineStr">
        <is>
          <t>Others</t>
        </is>
      </c>
      <c r="E15" s="48" t="inlineStr">
        <is>
          <t>Pending Delivery</t>
        </is>
      </c>
      <c r="F15" s="49" t="inlineStr">
        <is>
          <t>26-01-2026</t>
        </is>
      </c>
      <c r="G15" s="49" t="n">
        <v>46079</v>
      </c>
      <c r="H15" s="47" t="inlineStr">
        <is>
          <t>IT Po</t>
        </is>
      </c>
      <c r="I15" t="inlineStr">
        <is>
          <t>IT Equipment - Sihui Marine</t>
        </is>
      </c>
    </row>
    <row r="16" ht="18" customHeight="1">
      <c r="A16" s="46" t="n">
        <v>6</v>
      </c>
      <c r="B16" s="50" t="inlineStr">
        <is>
          <t>GLIN-60012/26-1</t>
        </is>
      </c>
      <c r="C16" s="50" t="inlineStr">
        <is>
          <t>FS-LENOVO-Link</t>
        </is>
      </c>
      <c r="D16" s="51" t="inlineStr">
        <is>
          <t>Others</t>
        </is>
      </c>
      <c r="E16" s="51" t="inlineStr">
        <is>
          <t>Pending Delivery</t>
        </is>
      </c>
      <c r="F16" s="52" t="inlineStr">
        <is>
          <t>10-02-2026</t>
        </is>
      </c>
      <c r="G16" s="52" t="n">
        <v>46079</v>
      </c>
      <c r="H16" s="50" t="inlineStr">
        <is>
          <t>IT Po</t>
        </is>
      </c>
      <c r="I16" t="inlineStr">
        <is>
          <t>IT Equipment - Computers (Lenovo)</t>
        </is>
      </c>
    </row>
    <row r="17" ht="18" customHeight="1">
      <c r="A17" s="46" t="n">
        <v>7</v>
      </c>
      <c r="B17" s="47" t="inlineStr">
        <is>
          <t>GLIN-60011/26-1</t>
        </is>
      </c>
      <c r="C17" s="47" t="inlineStr">
        <is>
          <t>Shipyard Extra (Owner supply) - 10800 CEU LNG PCTC _x0013_ Consilium SMiG Integration</t>
        </is>
      </c>
      <c r="D17" s="48" t="inlineStr">
        <is>
          <t>Spares</t>
        </is>
      </c>
      <c r="E17" s="48" t="inlineStr">
        <is>
          <t>Pending Delivery</t>
        </is>
      </c>
      <c r="F17" s="49" t="inlineStr">
        <is>
          <t>12-02-2026</t>
        </is>
      </c>
      <c r="G17" s="49" t="n"/>
      <c r="H17" s="47" t="inlineStr">
        <is>
          <t>It’s a Service, they shall advise the delivery dates shortly</t>
        </is>
      </c>
      <c r="I17" t="inlineStr">
        <is>
          <t>Safety Integration - SMiG</t>
        </is>
      </c>
    </row>
    <row r="18" ht="18" customHeight="1">
      <c r="A18" s="46" t="n">
        <v>8</v>
      </c>
      <c r="B18" s="50" t="inlineStr">
        <is>
          <t>GLIN-60004/26-1</t>
        </is>
      </c>
      <c r="C18" s="50" t="inlineStr">
        <is>
          <t>FS-VLINK-H1612</t>
        </is>
      </c>
      <c r="D18" s="51" t="inlineStr">
        <is>
          <t>Others</t>
        </is>
      </c>
      <c r="E18" s="51" t="inlineStr">
        <is>
          <t>Pending Delivery</t>
        </is>
      </c>
      <c r="F18" s="52" t="inlineStr">
        <is>
          <t>19-01-2026</t>
        </is>
      </c>
      <c r="G18" s="52" t="n">
        <v>46079</v>
      </c>
      <c r="H18" s="50" t="inlineStr">
        <is>
          <t>IT Po</t>
        </is>
      </c>
      <c r="I18" t="inlineStr">
        <is>
          <t>Communications - VLINK</t>
        </is>
      </c>
    </row>
    <row r="19" ht="18" customHeight="1">
      <c r="A19" s="46" t="n">
        <v>9</v>
      </c>
      <c r="B19" s="47" t="inlineStr">
        <is>
          <t>GLIN-60017/26-1</t>
        </is>
      </c>
      <c r="C19" s="47" t="inlineStr">
        <is>
          <t>FS-ITBP Additional Item</t>
        </is>
      </c>
      <c r="D19" s="48" t="inlineStr">
        <is>
          <t>Others</t>
        </is>
      </c>
      <c r="E19" s="48" t="inlineStr">
        <is>
          <t>Pending Delivery</t>
        </is>
      </c>
      <c r="F19" s="49" t="inlineStr">
        <is>
          <t>19-02-2026</t>
        </is>
      </c>
      <c r="G19" s="49" t="n">
        <v>46079</v>
      </c>
      <c r="H19" s="47" t="inlineStr">
        <is>
          <t>IT Po</t>
        </is>
      </c>
      <c r="I19" t="inlineStr">
        <is>
          <t>IT Equipment - ITBP Additional Items</t>
        </is>
      </c>
    </row>
    <row r="20" ht="18" customHeight="1">
      <c r="A20" s="46" t="n">
        <v>10</v>
      </c>
      <c r="B20" s="50" t="inlineStr">
        <is>
          <t>GLIN-60020/26</t>
        </is>
      </c>
      <c r="C20" s="50" t="inlineStr">
        <is>
          <t>Reliability Spares - PCTC-Seaspan - Boilers QUOT26012103</t>
        </is>
      </c>
      <c r="D20" s="51" t="n"/>
      <c r="E20" s="51" t="inlineStr">
        <is>
          <t>Not Created</t>
        </is>
      </c>
      <c r="F20" s="52" t="inlineStr">
        <is>
          <t>25-02-2026</t>
        </is>
      </c>
      <c r="G20" s="52" t="n"/>
      <c r="H20" s="50" t="inlineStr">
        <is>
          <t>Duplicate</t>
        </is>
      </c>
      <c r="I20" t="inlineStr">
        <is>
          <t>Boiler Spares</t>
        </is>
      </c>
    </row>
    <row r="21" ht="18" customHeight="1">
      <c r="A21" s="46" t="n">
        <v>11</v>
      </c>
      <c r="B21" s="47" t="inlineStr">
        <is>
          <t>GLIN-60006/26-1</t>
        </is>
      </c>
      <c r="C21" s="47" t="inlineStr">
        <is>
          <t>FS-VLINK-Accessories</t>
        </is>
      </c>
      <c r="D21" s="48" t="inlineStr">
        <is>
          <t>Others</t>
        </is>
      </c>
      <c r="E21" s="48" t="inlineStr">
        <is>
          <t>Pending Delivery</t>
        </is>
      </c>
      <c r="F21" s="49" t="inlineStr">
        <is>
          <t>21-01-2026</t>
        </is>
      </c>
      <c r="G21" s="49" t="n">
        <v>46079</v>
      </c>
      <c r="H21" s="47" t="inlineStr">
        <is>
          <t>IT Po</t>
        </is>
      </c>
      <c r="I21" t="inlineStr">
        <is>
          <t>Communications - VLINK</t>
        </is>
      </c>
    </row>
    <row r="22" ht="18" customHeight="1">
      <c r="A22" s="46" t="n">
        <v>12</v>
      </c>
      <c r="B22" s="50" t="inlineStr">
        <is>
          <t>GLIN-60003/26-1</t>
        </is>
      </c>
      <c r="C22" s="50" t="inlineStr">
        <is>
          <t>Interface PO-H1612</t>
        </is>
      </c>
      <c r="D22" s="51" t="inlineStr">
        <is>
          <t>Others</t>
        </is>
      </c>
      <c r="E22" s="51" t="inlineStr">
        <is>
          <t>Pending Delivery</t>
        </is>
      </c>
      <c r="F22" s="52" t="inlineStr">
        <is>
          <t>19-01-2026</t>
        </is>
      </c>
      <c r="G22" s="52" t="n">
        <v>46079</v>
      </c>
      <c r="H22" s="50" t="inlineStr">
        <is>
          <t>IT Po</t>
        </is>
      </c>
      <c r="I22" t="inlineStr">
        <is>
          <t>IT Equipment - Interface / Integration</t>
        </is>
      </c>
    </row>
    <row r="23" ht="18" customHeight="1">
      <c r="A23" s="46" t="n">
        <v>13</v>
      </c>
      <c r="B23" s="47" t="inlineStr">
        <is>
          <t>GLIN-60023/26-1</t>
        </is>
      </c>
      <c r="C23" s="47" t="inlineStr">
        <is>
          <t>Reliabiltiy Spares - Gas Detection System</t>
        </is>
      </c>
      <c r="D23" s="48" t="inlineStr">
        <is>
          <t>Spares</t>
        </is>
      </c>
      <c r="E23" s="48" t="inlineStr">
        <is>
          <t>Pending Delivery</t>
        </is>
      </c>
      <c r="F23" s="49" t="inlineStr">
        <is>
          <t>06-03-2026</t>
        </is>
      </c>
      <c r="G23" s="49" t="n"/>
      <c r="H23" s="47" t="inlineStr">
        <is>
          <t>To advise Shipping Address</t>
        </is>
      </c>
      <c r="I23" t="inlineStr">
        <is>
          <t>Gas Detection System</t>
        </is>
      </c>
    </row>
    <row r="24" ht="18" customHeight="1">
      <c r="A24" s="46" t="n">
        <v>14</v>
      </c>
      <c r="B24" s="50" t="inlineStr">
        <is>
          <t>GLIN-60007/26-1</t>
        </is>
      </c>
      <c r="C24" s="50" t="inlineStr">
        <is>
          <t>FS-X10</t>
        </is>
      </c>
      <c r="D24" s="51" t="inlineStr">
        <is>
          <t>Others</t>
        </is>
      </c>
      <c r="E24" s="51" t="inlineStr">
        <is>
          <t>Pending Delivery</t>
        </is>
      </c>
      <c r="F24" s="52" t="n">
        <v>46043</v>
      </c>
      <c r="G24" s="52" t="n">
        <v>46079</v>
      </c>
      <c r="H24" s="50" t="inlineStr">
        <is>
          <t>IT Po</t>
        </is>
      </c>
      <c r="I24" t="inlineStr">
        <is>
          <t>IT Equipment - X10 System</t>
        </is>
      </c>
    </row>
    <row r="25" ht="18" customHeight="1">
      <c r="A25" s="46" t="n">
        <v>15</v>
      </c>
      <c r="B25" s="47" t="inlineStr">
        <is>
          <t>GLIN-60015/26-1</t>
        </is>
      </c>
      <c r="C25" s="47" t="inlineStr">
        <is>
          <t>Shipyard Extra Buyers supply - Hinas SVM SEASPAN 10.8K PCTC</t>
        </is>
      </c>
      <c r="D25" s="48" t="inlineStr">
        <is>
          <t>Spares</t>
        </is>
      </c>
      <c r="E25" s="48" t="inlineStr">
        <is>
          <t>Pending Delivery</t>
        </is>
      </c>
      <c r="F25" s="49" t="inlineStr">
        <is>
          <t>17-02-2026</t>
        </is>
      </c>
      <c r="G25" s="49" t="n"/>
      <c r="H25" s="47" t="inlineStr">
        <is>
          <t>Seyi to advsie Email Id's of Avikus</t>
        </is>
      </c>
      <c r="I25" t="inlineStr">
        <is>
          <t>Navigation - HiNAS SVM</t>
        </is>
      </c>
    </row>
    <row r="26" ht="18" customHeight="1">
      <c r="A26" s="46" t="n">
        <v>16</v>
      </c>
      <c r="B26" s="50" t="inlineStr">
        <is>
          <t>GLIN-60010/26-1</t>
        </is>
      </c>
      <c r="C26" s="50" t="inlineStr">
        <is>
          <t>FS-KVH-SWS</t>
        </is>
      </c>
      <c r="D26" s="51" t="inlineStr">
        <is>
          <t>Others</t>
        </is>
      </c>
      <c r="E26" s="51" t="inlineStr">
        <is>
          <t>Pending Delivery</t>
        </is>
      </c>
      <c r="F26" s="52" t="inlineStr">
        <is>
          <t>26-01-2026</t>
        </is>
      </c>
      <c r="G26" s="52" t="n">
        <v>46079</v>
      </c>
      <c r="H26" s="50" t="inlineStr">
        <is>
          <t>IT Po</t>
        </is>
      </c>
      <c r="I26" t="inlineStr">
        <is>
          <t>Communications - VSAT (KVH)</t>
        </is>
      </c>
    </row>
    <row r="27" ht="18" customHeight="1">
      <c r="A27" s="46" t="n">
        <v>17</v>
      </c>
      <c r="B27" s="47" t="inlineStr">
        <is>
          <t>GLIN-60008/26-1</t>
        </is>
      </c>
      <c r="C27" s="47" t="inlineStr">
        <is>
          <t>FS -AST-LINK</t>
        </is>
      </c>
      <c r="D27" s="48" t="inlineStr">
        <is>
          <t>Others</t>
        </is>
      </c>
      <c r="E27" s="48" t="inlineStr">
        <is>
          <t>Pending Delivery</t>
        </is>
      </c>
      <c r="F27" s="49" t="inlineStr">
        <is>
          <t>21-01-2026</t>
        </is>
      </c>
      <c r="G27" s="49" t="n">
        <v>46079</v>
      </c>
      <c r="H27" s="47" t="inlineStr">
        <is>
          <t>IT Po</t>
        </is>
      </c>
      <c r="I27" t="inlineStr">
        <is>
          <t>Lubricants</t>
        </is>
      </c>
    </row>
    <row r="28" ht="18" customHeight="1">
      <c r="A28" s="46" t="n">
        <v>18</v>
      </c>
      <c r="B28" s="50" t="inlineStr">
        <is>
          <t>GLIN-60002/26-1</t>
        </is>
      </c>
      <c r="C28" s="50" t="inlineStr">
        <is>
          <t>Predelivery - Visga 46 5715010143</t>
        </is>
      </c>
      <c r="D28" s="51" t="inlineStr">
        <is>
          <t>Lube Oil</t>
        </is>
      </c>
      <c r="E28" s="51" t="inlineStr">
        <is>
          <t>Pending Delivery</t>
        </is>
      </c>
      <c r="F28" s="52" t="inlineStr">
        <is>
          <t>19-02-2026</t>
        </is>
      </c>
      <c r="G28" s="52" t="n">
        <v>46127</v>
      </c>
      <c r="H28" s="50" t="inlineStr">
        <is>
          <t>Awaiting Delivery</t>
        </is>
      </c>
      <c r="I28" t="inlineStr">
        <is>
          <t>Lubricants</t>
        </is>
      </c>
    </row>
    <row r="29" ht="18" customHeight="1">
      <c r="A29" s="46" t="n">
        <v>19</v>
      </c>
      <c r="B29" s="47" t="inlineStr">
        <is>
          <t>GLIN-60024/26-1</t>
        </is>
      </c>
      <c r="C29" s="47" t="inlineStr">
        <is>
          <t>Reliability Spares - Fire detection system</t>
        </is>
      </c>
      <c r="D29" s="48" t="inlineStr">
        <is>
          <t>Spares</t>
        </is>
      </c>
      <c r="E29" s="48" t="inlineStr">
        <is>
          <t>Pending Delivery</t>
        </is>
      </c>
      <c r="F29" s="49" t="inlineStr">
        <is>
          <t>06-03-2026</t>
        </is>
      </c>
      <c r="G29" s="49" t="n"/>
      <c r="H29" s="47" t="inlineStr">
        <is>
          <t>To advise Shipping Address</t>
        </is>
      </c>
      <c r="I29" t="inlineStr">
        <is>
          <t>Fire Detection System</t>
        </is>
      </c>
    </row>
    <row r="30" ht="18" customHeight="1">
      <c r="A30" s="46" t="n">
        <v>20</v>
      </c>
      <c r="B30" s="50" t="inlineStr">
        <is>
          <t>GLIN-60021/26</t>
        </is>
      </c>
      <c r="C30" s="50" t="inlineStr">
        <is>
          <t>FS-ITBP-LICENSES</t>
        </is>
      </c>
      <c r="D30" s="51" t="inlineStr">
        <is>
          <t>Others</t>
        </is>
      </c>
      <c r="E30" s="51" t="inlineStr">
        <is>
          <t>Pending Delivery</t>
        </is>
      </c>
      <c r="F30" s="52" t="inlineStr">
        <is>
          <t>25-02-2026</t>
        </is>
      </c>
      <c r="G30" s="52" t="n">
        <v>46079</v>
      </c>
      <c r="H30" s="50" t="inlineStr">
        <is>
          <t>IT Po</t>
        </is>
      </c>
      <c r="I30" t="inlineStr">
        <is>
          <t>IT Equipment - ITBP Licenses</t>
        </is>
      </c>
    </row>
    <row r="31" ht="18" customHeight="1">
      <c r="A31" s="46" t="n">
        <v>21</v>
      </c>
      <c r="B31" s="47" t="inlineStr">
        <is>
          <t>GLIN-60025/26-1</t>
        </is>
      </c>
      <c r="C31" s="47" t="inlineStr">
        <is>
          <t>FS-VLINK-Starlink Accessories</t>
        </is>
      </c>
      <c r="D31" s="48" t="inlineStr">
        <is>
          <t>Others</t>
        </is>
      </c>
      <c r="E31" s="48" t="inlineStr">
        <is>
          <t>Pending Delivery</t>
        </is>
      </c>
      <c r="F31" s="49" t="n">
        <v>46086</v>
      </c>
      <c r="G31" s="49" t="n">
        <v>46079</v>
      </c>
      <c r="H31" s="47" t="inlineStr">
        <is>
          <t>IT Po</t>
        </is>
      </c>
      <c r="I31" t="inlineStr">
        <is>
          <t>Communications - Starlink Accessories</t>
        </is>
      </c>
    </row>
    <row r="32" ht="18" customHeight="1">
      <c r="A32" s="46" t="n">
        <v>22</v>
      </c>
      <c r="B32" s="50" t="inlineStr">
        <is>
          <t>GLIN-60026/26-1</t>
        </is>
      </c>
      <c r="C32" s="50" t="inlineStr">
        <is>
          <t>SHIPYARD EXTRA OWNER SUPPLY- Abanaki Skimmers</t>
        </is>
      </c>
      <c r="D32" s="51" t="inlineStr">
        <is>
          <t>Spares</t>
        </is>
      </c>
      <c r="E32" s="51" t="inlineStr">
        <is>
          <t>Pending Approval</t>
        </is>
      </c>
      <c r="F32" s="52" t="n">
        <v>46091</v>
      </c>
      <c r="G32" s="52" t="n"/>
      <c r="H32" s="50" t="inlineStr">
        <is>
          <t>Po shared with supplier, to be approved</t>
        </is>
      </c>
      <c r="I32" t="inlineStr">
        <is>
          <t>Oil Skimmers - Abanaki</t>
        </is>
      </c>
    </row>
    <row r="33" ht="18" customHeight="1">
      <c r="A33" s="46" t="n">
        <v>23</v>
      </c>
      <c r="B33" s="47" t="inlineStr">
        <is>
          <t>GLIN-60018/26-1</t>
        </is>
      </c>
      <c r="C33" s="47" t="inlineStr">
        <is>
          <t>FS-ITBP MISC LAB KIT</t>
        </is>
      </c>
      <c r="D33" s="48" t="inlineStr">
        <is>
          <t>Others</t>
        </is>
      </c>
      <c r="E33" s="48" t="inlineStr">
        <is>
          <t>Pending Delivery</t>
        </is>
      </c>
      <c r="F33" s="49" t="inlineStr">
        <is>
          <t>24-02-2026</t>
        </is>
      </c>
      <c r="G33" s="49" t="n">
        <v>46079</v>
      </c>
      <c r="H33" s="47" t="inlineStr">
        <is>
          <t>IT Po</t>
        </is>
      </c>
      <c r="I33" t="inlineStr">
        <is>
          <t>IT Equipment - ITBP Lab Kit</t>
        </is>
      </c>
    </row>
    <row r="34" ht="18" customHeight="1">
      <c r="A34" s="46" t="n">
        <v>24</v>
      </c>
      <c r="B34" s="50" t="inlineStr">
        <is>
          <t>GLIN-60022/26-1</t>
        </is>
      </c>
      <c r="C34" s="50" t="inlineStr">
        <is>
          <t>PD - RSC Envirologic</t>
        </is>
      </c>
      <c r="D34" s="51" t="inlineStr">
        <is>
          <t>Spares</t>
        </is>
      </c>
      <c r="E34" s="51" t="inlineStr">
        <is>
          <t>Pending Delivery</t>
        </is>
      </c>
      <c r="F34" s="52" t="n"/>
      <c r="G34" s="52" t="n"/>
      <c r="H34" s="50" t="inlineStr">
        <is>
          <t>Seyi to advise exact Qty</t>
        </is>
      </c>
      <c r="I34" t="inlineStr">
        <is>
          <t>Lubricants</t>
        </is>
      </c>
    </row>
    <row r="35" ht="18" customHeight="1">
      <c r="A35" s="46" t="n">
        <v>25</v>
      </c>
      <c r="B35" s="47" t="inlineStr">
        <is>
          <t>GLIN-60014/26-2</t>
        </is>
      </c>
      <c r="C35" s="47" t="inlineStr">
        <is>
          <t>Reliability Spares - 10,8K CEU SWS - GVT- Eltronic</t>
        </is>
      </c>
      <c r="D35" s="48" t="inlineStr">
        <is>
          <t>Spares</t>
        </is>
      </c>
      <c r="E35" s="48" t="inlineStr">
        <is>
          <t>Pending Approval</t>
        </is>
      </c>
      <c r="F35" s="49" t="n">
        <v>46112</v>
      </c>
      <c r="G35" s="49" t="n"/>
      <c r="H35" s="47" t="inlineStr">
        <is>
          <t>Po to be Approved</t>
        </is>
      </c>
      <c r="I35" t="inlineStr">
        <is>
          <t>Boiler Spares</t>
        </is>
      </c>
    </row>
    <row r="36" ht="18" customHeight="1">
      <c r="A36" s="46" t="n">
        <v>26</v>
      </c>
      <c r="B36" t="inlineStr">
        <is>
          <t>GLIN-60033/26-1</t>
        </is>
      </c>
      <c r="C36" t="inlineStr">
        <is>
          <t>LNG OPERATION MANUAL Development</t>
        </is>
      </c>
      <c r="D36" s="48" t="n"/>
      <c r="E36" s="48" t="n"/>
      <c r="F36" s="49" t="n"/>
      <c r="G36" s="49" t="n"/>
      <c r="H36" s="47" t="n"/>
      <c r="I36" t="inlineStr">
        <is>
          <t>LNG Operation Manual</t>
        </is>
      </c>
    </row>
    <row r="37" ht="18" customHeight="1">
      <c r="A37" s="46" t="n">
        <v>27</v>
      </c>
      <c r="B37" s="50" t="n"/>
      <c r="C37" s="50" t="inlineStr">
        <is>
          <t>Citadel VHF/GPS and UHF ANTENNA system</t>
        </is>
      </c>
      <c r="D37" s="51" t="n"/>
      <c r="E37" s="51" t="n"/>
      <c r="F37" s="52" t="n"/>
      <c r="G37" s="52" t="n"/>
      <c r="H37" s="50" t="inlineStr">
        <is>
          <t>Po 000030180277 Dummy Po raised as Vendor not enlisted in Jibe</t>
        </is>
      </c>
      <c r="I37" t="inlineStr">
        <is>
          <t>Citadel VHF/GPS/UHF System</t>
        </is>
      </c>
    </row>
    <row r="38" ht="18" customHeight="1">
      <c r="A38" s="46" t="n">
        <v>28</v>
      </c>
      <c r="B38" s="47" t="n"/>
      <c r="C38" s="47" t="inlineStr">
        <is>
          <t>PCTC Loose Fittings Procurement</t>
        </is>
      </c>
      <c r="D38" s="48" t="n"/>
      <c r="E38" s="48" t="n"/>
      <c r="F38" s="49" t="n"/>
      <c r="G38" s="49" t="n"/>
      <c r="H38" s="47" t="inlineStr">
        <is>
          <t>Vendor to be enlisted in database</t>
        </is>
      </c>
      <c r="I38" t="inlineStr">
        <is>
          <t>RO-RO Equipment - Loose Fittings</t>
        </is>
      </c>
    </row>
    <row r="39" ht="18" customHeight="1">
      <c r="A39" s="46" t="n">
        <v>29</v>
      </c>
      <c r="B39" s="50" t="n"/>
      <c r="C39" s="50" t="inlineStr">
        <is>
          <t>Buyer Supply - 10,800 PCTC Citadel VHF/GPS and UHF ANTENNA system</t>
        </is>
      </c>
      <c r="D39" s="51" t="n"/>
      <c r="E39" s="51" t="n"/>
      <c r="F39" s="52" t="n"/>
      <c r="G39" s="52" t="n"/>
      <c r="H39" s="50" t="inlineStr">
        <is>
          <t>Dummy Po shared awaiting vendor to be enlisted</t>
        </is>
      </c>
      <c r="I39" t="inlineStr">
        <is>
          <t>Citadel VHF/GPS/UHF System</t>
        </is>
      </c>
    </row>
    <row r="40" ht="18" customHeight="1">
      <c r="A40" s="46" t="n">
        <v>30</v>
      </c>
      <c r="B40" s="47" t="inlineStr">
        <is>
          <t xml:space="preserve">GLIN-60001/26 </t>
        </is>
      </c>
      <c r="C40" s="47" t="inlineStr">
        <is>
          <t>Shipyard Extra Owner supply - Captains Eye</t>
        </is>
      </c>
      <c r="D40" s="48" t="n"/>
      <c r="E40" s="48" t="n"/>
      <c r="F40" s="49" t="n"/>
      <c r="G40" s="49" t="n"/>
      <c r="H40" s="47" t="inlineStr">
        <is>
          <t>To check with BG as unable to see this Po</t>
        </is>
      </c>
      <c r="I40" t="inlineStr">
        <is>
          <t>Navigation - Captains Eye</t>
        </is>
      </c>
    </row>
    <row r="41" ht="18" customHeight="1">
      <c r="A41" s="46" t="n">
        <v>31</v>
      </c>
      <c r="B41" s="50" t="inlineStr">
        <is>
          <t>GLIN-60026/26-1</t>
        </is>
      </c>
      <c r="C41" s="50" t="inlineStr">
        <is>
          <t>SHIPYARD EXTRA OWNER SUPPLY- Abanaki Skimmers</t>
        </is>
      </c>
      <c r="D41" s="51" t="inlineStr">
        <is>
          <t>Spares</t>
        </is>
      </c>
      <c r="E41" s="61" t="inlineStr">
        <is>
          <t>Pending Supplier Confirmation</t>
        </is>
      </c>
      <c r="F41" s="52" t="n">
        <v>46091</v>
      </c>
      <c r="G41" s="52" t="n"/>
      <c r="H41" s="50" t="inlineStr">
        <is>
          <t>Po to be created however shared with Hermont</t>
        </is>
      </c>
      <c r="I41" t="inlineStr">
        <is>
          <t>Oil Skimmers - Abanaki</t>
        </is>
      </c>
    </row>
    <row r="42" ht="18" customHeight="1">
      <c r="A42" s="46" t="n">
        <v>32</v>
      </c>
      <c r="B42" s="47" t="inlineStr">
        <is>
          <t>GLIN-60027/26-1</t>
        </is>
      </c>
      <c r="C42" s="47" t="inlineStr">
        <is>
          <t>Pre Delivery - Garbage Compactor</t>
        </is>
      </c>
      <c r="D42" s="48" t="n"/>
      <c r="E42" s="48" t="inlineStr">
        <is>
          <t>Pending Delivery</t>
        </is>
      </c>
      <c r="F42" s="49" t="n">
        <v>46094</v>
      </c>
      <c r="G42" s="49" t="n"/>
      <c r="H42" s="47" t="inlineStr">
        <is>
          <t>Po to be Approved by VM</t>
        </is>
      </c>
      <c r="I42" t="inlineStr">
        <is>
          <t>Garbage Compactor</t>
        </is>
      </c>
    </row>
    <row r="43" ht="18" customHeight="1">
      <c r="A43" s="46" t="n">
        <v>33</v>
      </c>
      <c r="B43" s="50" t="n"/>
      <c r="C43" s="50" t="inlineStr">
        <is>
          <t>Impa Stores Stationery</t>
        </is>
      </c>
      <c r="D43" s="51" t="n"/>
      <c r="E43" s="51" t="n"/>
      <c r="F43" s="52" t="n"/>
      <c r="G43" s="52" t="n"/>
      <c r="H43" s="50" t="n"/>
      <c r="I43" t="inlineStr">
        <is>
          <t>IMPA Stores - Stationery</t>
        </is>
      </c>
    </row>
    <row r="44" ht="18" customHeight="1">
      <c r="A44" s="46" t="n">
        <v>34</v>
      </c>
      <c r="B44" s="47" t="n"/>
      <c r="C44" s="47" t="inlineStr">
        <is>
          <t>Impa Stores - SOPEP</t>
        </is>
      </c>
      <c r="D44" s="48" t="n"/>
      <c r="E44" s="48" t="n"/>
      <c r="F44" s="49" t="n"/>
      <c r="G44" s="49" t="n"/>
      <c r="H44" s="47" t="n"/>
      <c r="I44" t="inlineStr">
        <is>
          <t>IMPA Stores - SOPEP</t>
        </is>
      </c>
    </row>
    <row r="45" ht="18" customHeight="1">
      <c r="A45" s="46" t="n">
        <v>35</v>
      </c>
      <c r="B45" s="50" t="n"/>
      <c r="C45" s="50" t="inlineStr">
        <is>
          <t>Impa Stores - Deck</t>
        </is>
      </c>
      <c r="D45" s="51" t="n"/>
      <c r="E45" s="51" t="n"/>
      <c r="F45" s="52" t="n"/>
      <c r="G45" s="52" t="n"/>
      <c r="H45" s="50" t="n"/>
      <c r="I45" t="inlineStr">
        <is>
          <t>IMPA Stores - Deck</t>
        </is>
      </c>
    </row>
    <row r="46" ht="18" customHeight="1">
      <c r="A46" s="46" t="n">
        <v>36</v>
      </c>
      <c r="B46" s="47" t="n"/>
      <c r="C46" s="47" t="inlineStr">
        <is>
          <t>Impa Stores - Bridge</t>
        </is>
      </c>
      <c r="D46" s="48" t="n"/>
      <c r="E46" s="48" t="n"/>
      <c r="F46" s="49" t="n"/>
      <c r="G46" s="49" t="n"/>
      <c r="H46" s="47" t="n"/>
      <c r="I46" t="inlineStr">
        <is>
          <t>IMPA Stores - Bridge</t>
        </is>
      </c>
    </row>
    <row r="47" ht="18" customHeight="1">
      <c r="A47" s="46" t="n">
        <v>37</v>
      </c>
      <c r="B47" s="50" t="n"/>
      <c r="C47" s="50" t="inlineStr">
        <is>
          <t>Impa Stores - Gym</t>
        </is>
      </c>
      <c r="D47" s="51" t="n"/>
      <c r="E47" s="51" t="n"/>
      <c r="F47" s="52" t="n"/>
      <c r="G47" s="52" t="n"/>
      <c r="H47" s="50" t="n"/>
      <c r="I47" t="inlineStr">
        <is>
          <t>IMPA Stores - Gym</t>
        </is>
      </c>
    </row>
    <row r="48" ht="18" customHeight="1">
      <c r="A48" s="46" t="n">
        <v>38</v>
      </c>
      <c r="B48" s="47" t="n"/>
      <c r="C48" s="47" t="inlineStr">
        <is>
          <t>Impa Stores - Crew</t>
        </is>
      </c>
      <c r="D48" s="48" t="n"/>
      <c r="E48" s="48" t="n"/>
      <c r="F48" s="49" t="n"/>
      <c r="G48" s="49" t="n"/>
      <c r="H48" s="47" t="n"/>
      <c r="I48" t="inlineStr">
        <is>
          <t>IMPA Stores - Crew</t>
        </is>
      </c>
    </row>
    <row r="49" ht="18" customHeight="1">
      <c r="A49" s="46" t="n">
        <v>39</v>
      </c>
      <c r="B49" s="50" t="n"/>
      <c r="C49" s="50" t="inlineStr">
        <is>
          <t>Impa Stores - FFE</t>
        </is>
      </c>
      <c r="D49" s="51" t="n"/>
      <c r="E49" s="51" t="n"/>
      <c r="F49" s="52" t="n"/>
      <c r="G49" s="52" t="n"/>
      <c r="H49" s="50" t="n"/>
      <c r="I49" t="inlineStr">
        <is>
          <t>IMPA Stores - FFE</t>
        </is>
      </c>
    </row>
    <row r="50" ht="18" customHeight="1">
      <c r="A50" s="46" t="n">
        <v>40</v>
      </c>
      <c r="B50" s="47" t="n"/>
      <c r="C50" s="47" t="inlineStr">
        <is>
          <t>Impa Stores - Company Stationery</t>
        </is>
      </c>
      <c r="D50" s="48" t="n"/>
      <c r="E50" s="48" t="n"/>
      <c r="F50" s="49" t="n"/>
      <c r="G50" s="49" t="n"/>
      <c r="H50" s="47" t="n"/>
      <c r="I50" t="inlineStr">
        <is>
          <t>IMPA Stores - Company Stationery</t>
        </is>
      </c>
    </row>
    <row r="51" ht="18" customHeight="1">
      <c r="A51" s="46" t="n">
        <v>41</v>
      </c>
      <c r="B51" s="50" t="n"/>
      <c r="C51" s="50" t="inlineStr">
        <is>
          <t>Impa Stores - BA Compressor</t>
        </is>
      </c>
      <c r="D51" s="51" t="n"/>
      <c r="E51" s="51" t="n"/>
      <c r="F51" s="52" t="n"/>
      <c r="G51" s="52" t="n"/>
      <c r="H51" s="50" t="n"/>
      <c r="I51" t="inlineStr">
        <is>
          <t>IMPA Stores - BA Compressor</t>
        </is>
      </c>
    </row>
    <row r="52" ht="18" customHeight="1">
      <c r="A52" s="46" t="n">
        <v>42</v>
      </c>
      <c r="B52" s="47" t="n"/>
      <c r="C52" s="47" t="inlineStr">
        <is>
          <t>Impa Stores - ACC</t>
        </is>
      </c>
      <c r="D52" s="48" t="n"/>
      <c r="E52" s="48" t="n"/>
      <c r="F52" s="49" t="n"/>
      <c r="G52" s="49" t="n"/>
      <c r="H52" s="47" t="n"/>
      <c r="I52" t="inlineStr">
        <is>
          <t>IMPA Stores - Accommodation</t>
        </is>
      </c>
    </row>
    <row r="53" ht="18" customHeight="1">
      <c r="A53" s="46" t="n">
        <v>43</v>
      </c>
      <c r="B53" s="50" t="n"/>
      <c r="C53" s="50" t="inlineStr">
        <is>
          <t>Impa Stores - Galley</t>
        </is>
      </c>
      <c r="D53" s="51" t="n"/>
      <c r="E53" s="51" t="n"/>
      <c r="F53" s="52" t="n"/>
      <c r="G53" s="52" t="n"/>
      <c r="H53" s="50" t="n"/>
      <c r="I53" t="inlineStr">
        <is>
          <t>IMPA Stores - Galley</t>
        </is>
      </c>
    </row>
    <row r="54" ht="18" customHeight="1">
      <c r="A54" s="46" t="n">
        <v>44</v>
      </c>
      <c r="B54" s="47" t="n"/>
      <c r="C54" s="47" t="inlineStr">
        <is>
          <t>Impa Stores - Engine</t>
        </is>
      </c>
      <c r="D54" s="48" t="n"/>
      <c r="E54" s="48" t="n"/>
      <c r="F54" s="49" t="n"/>
      <c r="G54" s="49" t="n"/>
      <c r="H54" s="47" t="n"/>
      <c r="I54" t="inlineStr">
        <is>
          <t>IMPA Stores - Engine</t>
        </is>
      </c>
    </row>
    <row r="55" ht="18" customHeight="1">
      <c r="A55" s="46" t="n">
        <v>45</v>
      </c>
      <c r="B55" s="50" t="n"/>
      <c r="C55" s="50" t="inlineStr">
        <is>
          <t>Impa Stores - Engine</t>
        </is>
      </c>
      <c r="D55" s="51" t="n"/>
      <c r="E55" s="51" t="n"/>
      <c r="F55" s="52" t="n"/>
      <c r="G55" s="52" t="n"/>
      <c r="H55" s="50" t="n"/>
      <c r="I55" t="inlineStr">
        <is>
          <t>IMPA Stores - Engine</t>
        </is>
      </c>
    </row>
    <row r="56" ht="18" customHeight="1">
      <c r="A56" s="46" t="n">
        <v>46</v>
      </c>
      <c r="B56" s="47" t="n"/>
      <c r="C56" s="47" t="inlineStr">
        <is>
          <t>Impa Stores - Engine</t>
        </is>
      </c>
      <c r="D56" s="48" t="n"/>
      <c r="E56" s="48" t="n"/>
      <c r="F56" s="49" t="n"/>
      <c r="G56" s="49" t="n"/>
      <c r="H56" s="47" t="n"/>
      <c r="I56" t="inlineStr">
        <is>
          <t>IMPA Stores - Engine</t>
        </is>
      </c>
    </row>
    <row r="57" ht="18" customHeight="1">
      <c r="A57" s="46" t="n">
        <v>47</v>
      </c>
      <c r="B57" s="50" t="n"/>
      <c r="C57" s="50" t="inlineStr">
        <is>
          <t>Impa Stores - Engine</t>
        </is>
      </c>
      <c r="D57" s="51" t="n"/>
      <c r="E57" s="51" t="n"/>
      <c r="F57" s="52" t="n"/>
      <c r="G57" s="52" t="n"/>
      <c r="H57" s="50" t="n"/>
      <c r="I57" t="inlineStr">
        <is>
          <t>IMPA Stores - Engine</t>
        </is>
      </c>
    </row>
    <row r="58" ht="18" customHeight="1">
      <c r="A58" s="46" t="n">
        <v>48</v>
      </c>
      <c r="B58" s="47" t="n"/>
      <c r="C58" s="47" t="inlineStr">
        <is>
          <t>Impa Stores - Electric</t>
        </is>
      </c>
      <c r="D58" s="48" t="n"/>
      <c r="E58" s="48" t="n"/>
      <c r="F58" s="49" t="n"/>
      <c r="G58" s="49" t="n"/>
      <c r="H58" s="47" t="n"/>
      <c r="I58" t="inlineStr">
        <is>
          <t>IMPA Stores - Electric</t>
        </is>
      </c>
    </row>
    <row r="59" ht="18" customHeight="1">
      <c r="A59" s="46" t="n">
        <v>49</v>
      </c>
      <c r="B59" s="50" t="n"/>
      <c r="C59" s="50" t="inlineStr">
        <is>
          <t>Impa Stores - Instrumenation</t>
        </is>
      </c>
      <c r="D59" s="51" t="n"/>
      <c r="E59" s="51" t="n"/>
      <c r="F59" s="52" t="n"/>
      <c r="G59" s="52" t="n"/>
      <c r="H59" s="50" t="n"/>
      <c r="I59" t="inlineStr">
        <is>
          <t>IMPA Stores - Instrumentation</t>
        </is>
      </c>
    </row>
    <row r="60" ht="18" customHeight="1">
      <c r="A60" s="46" t="n">
        <v>50</v>
      </c>
      <c r="B60" s="47" t="inlineStr">
        <is>
          <t>GLIN-60034/26</t>
        </is>
      </c>
      <c r="C60" s="47" t="inlineStr">
        <is>
          <t>Ultrasonic Cleaning system - 230V</t>
        </is>
      </c>
      <c r="D60" s="48" t="inlineStr">
        <is>
          <t>Stores</t>
        </is>
      </c>
      <c r="E60" s="48" t="inlineStr">
        <is>
          <t>Pending Approval</t>
        </is>
      </c>
      <c r="F60" s="49" t="n"/>
      <c r="G60" s="49" t="n"/>
      <c r="H60" s="47" t="inlineStr">
        <is>
          <t>To be Approved</t>
        </is>
      </c>
      <c r="I60" t="inlineStr">
        <is>
          <t>Ultrasonic Cleaner</t>
        </is>
      </c>
    </row>
    <row r="61" ht="18" customHeight="1">
      <c r="A61" s="46" t="n">
        <v>51</v>
      </c>
      <c r="B61" s="50" t="inlineStr">
        <is>
          <t>GLIN-60035/26</t>
        </is>
      </c>
      <c r="C61" s="50" t="inlineStr">
        <is>
          <t>OPA 90 KIT - 12-barrel kit</t>
        </is>
      </c>
      <c r="D61" s="51" t="inlineStr">
        <is>
          <t>Stores</t>
        </is>
      </c>
      <c r="E61" s="51" t="inlineStr">
        <is>
          <t>Pending Approval</t>
        </is>
      </c>
      <c r="F61" s="52" t="n"/>
      <c r="G61" s="52" t="n"/>
      <c r="H61" s="50" t="inlineStr">
        <is>
          <t>To be Approved</t>
        </is>
      </c>
      <c r="I61" t="inlineStr">
        <is>
          <t>OPA 90 Kit</t>
        </is>
      </c>
    </row>
    <row r="62" ht="18" customHeight="1">
      <c r="A62" s="46" t="n">
        <v>52</v>
      </c>
      <c r="B62" s="47" t="inlineStr">
        <is>
          <t>GLIN-60036/26</t>
        </is>
      </c>
      <c r="C62" s="47" t="inlineStr">
        <is>
          <t>H.P machine - 2pcs (prefer Branded - Karcher/ KEW)</t>
        </is>
      </c>
      <c r="D62" s="48" t="n"/>
      <c r="E62" s="48" t="n"/>
      <c r="F62" s="49" t="n"/>
      <c r="G62" s="49" t="n"/>
      <c r="H62" s="47" t="n"/>
      <c r="I62" t="inlineStr">
        <is>
          <t>High Pressure Washer</t>
        </is>
      </c>
    </row>
    <row r="63" ht="18" customHeight="1">
      <c r="A63" s="46" t="n">
        <v>53</v>
      </c>
      <c r="B63" s="50" t="n"/>
      <c r="C63" s="50" t="inlineStr">
        <is>
          <t>2. LOTO Stickers</t>
        </is>
      </c>
      <c r="D63" s="51" t="n"/>
      <c r="E63" s="51" t="n"/>
      <c r="F63" s="52" t="n"/>
      <c r="G63" s="52" t="n"/>
      <c r="H63" s="50" t="n"/>
      <c r="I63" t="inlineStr">
        <is>
          <t>Safety &amp; PPE</t>
        </is>
      </c>
    </row>
    <row r="64" ht="18" customHeight="1">
      <c r="A64" s="46" t="n">
        <v>54</v>
      </c>
      <c r="B64" s="47" t="inlineStr">
        <is>
          <t>GLIN-60037/26</t>
        </is>
      </c>
      <c r="C64" s="47" t="inlineStr">
        <is>
          <t>3. Steam Splash Suit</t>
        </is>
      </c>
      <c r="D64" s="48" t="inlineStr">
        <is>
          <t>Stores</t>
        </is>
      </c>
      <c r="E64" s="48" t="inlineStr">
        <is>
          <t>Pending Approval</t>
        </is>
      </c>
      <c r="F64" s="49" t="n"/>
      <c r="G64" s="49" t="n"/>
      <c r="H64" s="47" t="inlineStr">
        <is>
          <t>To be Approved</t>
        </is>
      </c>
      <c r="I64" t="inlineStr">
        <is>
          <t>Steam Splash Suit</t>
        </is>
      </c>
    </row>
    <row r="65" ht="18" customHeight="1">
      <c r="A65" s="46" t="n">
        <v>55</v>
      </c>
      <c r="B65" s="50" t="n"/>
      <c r="C65" s="50" t="inlineStr">
        <is>
          <t>4. Chemical tags</t>
        </is>
      </c>
      <c r="D65" s="51" t="n"/>
      <c r="E65" s="51" t="n"/>
      <c r="F65" s="52" t="n"/>
      <c r="G65" s="52" t="n"/>
      <c r="H65" s="50" t="n"/>
      <c r="I65" t="inlineStr">
        <is>
          <t>Safety &amp; PPE</t>
        </is>
      </c>
    </row>
    <row r="66" ht="18" customHeight="1">
      <c r="A66" s="46" t="n">
        <v>56</v>
      </c>
      <c r="B66" s="47" t="n"/>
      <c r="C66" s="47" t="inlineStr">
        <is>
          <t>5. Trelleborg Safe lanes</t>
        </is>
      </c>
      <c r="D66" s="48" t="n"/>
      <c r="E66" s="48" t="n"/>
      <c r="F66" s="49" t="n"/>
      <c r="G66" s="49" t="n"/>
      <c r="H66" s="47" t="inlineStr">
        <is>
          <t>Delivered by Yard on Sws Vsl's</t>
        </is>
      </c>
      <c r="I66" t="inlineStr">
        <is>
          <t>Safety &amp; PPE</t>
        </is>
      </c>
    </row>
    <row r="67" ht="18" customHeight="1">
      <c r="A67" s="46" t="n">
        <v>57</v>
      </c>
      <c r="B67" t="inlineStr">
        <is>
          <t>GLIN-60029/26-1</t>
        </is>
      </c>
      <c r="C67" t="inlineStr">
        <is>
          <t>Pre Delivery - Seatab</t>
        </is>
      </c>
      <c r="D67" s="51" t="n"/>
      <c r="E67" s="51" t="n"/>
      <c r="F67" s="62" t="n">
        <v>46098</v>
      </c>
      <c r="G67" s="52" t="n"/>
      <c r="H67" s="50" t="n"/>
      <c r="I67" t="inlineStr">
        <is>
          <t>Seatab</t>
        </is>
      </c>
    </row>
    <row r="68" ht="18" customHeight="1">
      <c r="A68" s="46" t="n">
        <v>58</v>
      </c>
      <c r="B68" s="47" t="inlineStr">
        <is>
          <t>GLIN-60032/26-1</t>
        </is>
      </c>
      <c r="C68" s="47" t="inlineStr">
        <is>
          <t>FLIR ESPro and E6 Pro</t>
        </is>
      </c>
      <c r="D68" s="48" t="inlineStr">
        <is>
          <t>Stores</t>
        </is>
      </c>
      <c r="E68" s="48" t="inlineStr">
        <is>
          <t>Pending Delivery</t>
        </is>
      </c>
      <c r="F68" s="49" t="n"/>
      <c r="G68" s="49" t="n"/>
      <c r="H68" s="47" t="inlineStr">
        <is>
          <t>Po issued on V-Link</t>
        </is>
      </c>
      <c r="I68" t="inlineStr">
        <is>
          <t>Thermal Camera (FLIR)</t>
        </is>
      </c>
    </row>
    <row r="69" ht="18" customHeight="1">
      <c r="A69" s="46" t="n">
        <v>59</v>
      </c>
      <c r="B69" s="50" t="n"/>
      <c r="C69" s="50" t="inlineStr">
        <is>
          <t>8. Explosion Proof Camera</t>
        </is>
      </c>
      <c r="D69" s="51" t="n"/>
      <c r="E69" s="51" t="n"/>
      <c r="F69" s="52" t="n"/>
      <c r="G69" s="52" t="n"/>
      <c r="H69" s="50" t="n"/>
      <c r="I69" t="inlineStr">
        <is>
          <t>Thermal Camera (FLIR)</t>
        </is>
      </c>
    </row>
    <row r="70" ht="18" customHeight="1">
      <c r="A70" s="46" t="n">
        <v>60</v>
      </c>
      <c r="B70" s="47" t="inlineStr">
        <is>
          <t>GLIN-60028/26-1</t>
        </is>
      </c>
      <c r="C70" s="47" t="inlineStr">
        <is>
          <t>Pre Delivery - Cryogenic PPE</t>
        </is>
      </c>
      <c r="D70" s="48" t="inlineStr">
        <is>
          <t>Stores</t>
        </is>
      </c>
      <c r="E70" s="48" t="inlineStr">
        <is>
          <t>Pending Supplier Confirmation</t>
        </is>
      </c>
      <c r="F70" s="49" t="n">
        <v>46101</v>
      </c>
      <c r="G70" s="49" t="n"/>
      <c r="H70" s="47" t="inlineStr">
        <is>
          <t>Po to be Approved</t>
        </is>
      </c>
      <c r="I70" t="inlineStr">
        <is>
          <t>Cryogenic PPE</t>
        </is>
      </c>
    </row>
    <row r="71" ht="18" customHeight="1">
      <c r="A71" s="46" t="n">
        <v>61</v>
      </c>
      <c r="B71" s="50" t="n"/>
      <c r="C71" s="50" t="inlineStr">
        <is>
          <t>10. Temperature &amp; Pressure Calibrators</t>
        </is>
      </c>
      <c r="D71" s="51" t="n"/>
      <c r="E71" s="51" t="n"/>
      <c r="F71" s="52" t="n"/>
      <c r="G71" s="52" t="n"/>
      <c r="H71" s="50" t="n"/>
      <c r="I71" t="inlineStr">
        <is>
          <t>Temperature Calibrators</t>
        </is>
      </c>
    </row>
    <row r="72" ht="18" customHeight="1">
      <c r="A72" s="46" t="n">
        <v>62</v>
      </c>
      <c r="B72" s="47" t="n"/>
      <c r="C72" s="47" t="inlineStr">
        <is>
          <t>11. VISWA Line Samplers</t>
        </is>
      </c>
      <c r="D72" s="48" t="n"/>
      <c r="E72" s="48" t="n"/>
      <c r="F72" s="49" t="n"/>
      <c r="G72" s="49" t="n"/>
      <c r="H72" s="47" t="n"/>
      <c r="I72" t="inlineStr">
        <is>
          <t>VISWA Line Samplers</t>
        </is>
      </c>
    </row>
    <row r="73" ht="18" customHeight="1">
      <c r="A73" s="46" t="n">
        <v>63</v>
      </c>
      <c r="B73" s="50" t="n"/>
      <c r="C73" s="50" t="inlineStr">
        <is>
          <t xml:space="preserve">12. Standard Chinese stationery </t>
        </is>
      </c>
      <c r="D73" s="51" t="n"/>
      <c r="E73" s="51" t="n"/>
      <c r="F73" s="52" t="n"/>
      <c r="G73" s="52" t="n"/>
      <c r="H73" s="50" t="n"/>
      <c r="I73" t="inlineStr">
        <is>
          <t>IMPA Stores - Stationery</t>
        </is>
      </c>
    </row>
    <row r="74" ht="18" customHeight="1">
      <c r="A74" s="46" t="n">
        <v>64</v>
      </c>
      <c r="B74" s="47" t="n"/>
      <c r="C74" s="47" t="inlineStr">
        <is>
          <t>13. Air driven HP Pump - For hydraulic nuts for M/E - From Dan Marine or VLINK</t>
        </is>
      </c>
      <c r="D74" s="48" t="n"/>
      <c r="E74" s="48" t="n"/>
      <c r="F74" s="49" t="n"/>
      <c r="G74" s="49" t="n"/>
      <c r="H74" s="47" t="n"/>
      <c r="I74" t="inlineStr">
        <is>
          <t>High Pressure Washer</t>
        </is>
      </c>
    </row>
    <row r="75" ht="18" customHeight="1">
      <c r="A75" s="46" t="n">
        <v>65</v>
      </c>
      <c r="B75" s="50" t="n"/>
      <c r="C75" s="50" t="inlineStr">
        <is>
          <t>Chemical</t>
        </is>
      </c>
      <c r="D75" s="51" t="n"/>
      <c r="E75" s="51" t="n"/>
      <c r="F75" s="52" t="n"/>
      <c r="G75" s="52" t="n"/>
      <c r="H75" s="50" t="n"/>
      <c r="I75" t="inlineStr">
        <is>
          <t>Maintenance Chemicals</t>
        </is>
      </c>
    </row>
    <row r="76" ht="18" customHeight="1">
      <c r="A76" s="46" t="n">
        <v>66</v>
      </c>
      <c r="B76" s="47" t="n"/>
      <c r="C76" s="47" t="inlineStr">
        <is>
          <t>Mooring Rope</t>
        </is>
      </c>
      <c r="D76" s="48" t="n"/>
      <c r="E76" s="48" t="n"/>
      <c r="F76" s="49" t="n"/>
      <c r="G76" s="49" t="n"/>
      <c r="H76" s="47" t="n"/>
      <c r="I76" t="inlineStr">
        <is>
          <t>Mooring Ropes</t>
        </is>
      </c>
    </row>
    <row r="77" ht="18" customHeight="1">
      <c r="A77" s="46" t="n">
        <v>67</v>
      </c>
      <c r="B77" s="50" t="n"/>
      <c r="C77" s="50" t="inlineStr">
        <is>
          <t>UHF Radio</t>
        </is>
      </c>
      <c r="D77" s="51" t="n"/>
      <c r="E77" s="51" t="n"/>
      <c r="F77" s="52" t="n"/>
      <c r="G77" s="52" t="n"/>
      <c r="H77" s="50" t="n"/>
      <c r="I77" t="inlineStr">
        <is>
          <t>UHF Radio</t>
        </is>
      </c>
    </row>
    <row r="78" ht="18" customHeight="1">
      <c r="A78" s="46" t="n">
        <v>68</v>
      </c>
      <c r="B78" s="47" t="n"/>
      <c r="C78" s="47" t="inlineStr">
        <is>
          <t xml:space="preserve">Soot </t>
        </is>
      </c>
      <c r="D78" s="48" t="n"/>
      <c r="E78" s="48" t="n"/>
      <c r="F78" s="49" t="n"/>
      <c r="G78" s="49" t="n"/>
      <c r="H78" s="47" t="n"/>
      <c r="I78" t="inlineStr">
        <is>
          <t>Shipyard / Miscellaneous</t>
        </is>
      </c>
    </row>
    <row r="79" ht="18" customHeight="1">
      <c r="A79" s="46" t="n">
        <v>69</v>
      </c>
      <c r="B79" s="50" t="n"/>
      <c r="C79" s="50" t="inlineStr">
        <is>
          <t>Garbage Refrigerator</t>
        </is>
      </c>
      <c r="D79" s="51" t="n"/>
      <c r="E79" s="51" t="n"/>
      <c r="F79" s="52" t="n"/>
      <c r="G79" s="52" t="n"/>
      <c r="H79" s="50" t="n"/>
      <c r="I79" t="inlineStr">
        <is>
          <t>Shipyard / Miscellaneous</t>
        </is>
      </c>
    </row>
    <row r="80" ht="18" customHeight="1">
      <c r="A80" s="46" t="n">
        <v>70</v>
      </c>
      <c r="B80" s="47" t="n"/>
      <c r="C80" s="47" t="inlineStr">
        <is>
          <t>DF Tools</t>
        </is>
      </c>
      <c r="D80" s="48" t="n"/>
      <c r="E80" s="48" t="n"/>
      <c r="F80" s="49" t="n"/>
      <c r="G80" s="49" t="n"/>
      <c r="H80" s="47" t="n"/>
      <c r="I80" t="inlineStr">
        <is>
          <t>Dual Fuel Tools</t>
        </is>
      </c>
    </row>
    <row r="81" ht="18" customHeight="1">
      <c r="A81" s="46" t="n">
        <v>71</v>
      </c>
      <c r="B81" s="50" t="n"/>
      <c r="C81" s="50" t="inlineStr">
        <is>
          <t>UHF Antenna</t>
        </is>
      </c>
      <c r="D81" s="51" t="n"/>
      <c r="E81" s="51" t="n"/>
      <c r="F81" s="52" t="n"/>
      <c r="G81" s="52" t="n"/>
      <c r="H81" s="50" t="n"/>
      <c r="I81" t="inlineStr">
        <is>
          <t>UHF Radio</t>
        </is>
      </c>
    </row>
    <row r="82" ht="18" customHeight="1">
      <c r="A82" s="46" t="n">
        <v>72</v>
      </c>
      <c r="B82" s="47" t="inlineStr">
        <is>
          <t>GLIN-60030/26-1</t>
        </is>
      </c>
      <c r="C82" s="47" t="inlineStr">
        <is>
          <t>Pre Delivery - Sample Cooler</t>
        </is>
      </c>
      <c r="D82" s="48" t="inlineStr">
        <is>
          <t>Spares</t>
        </is>
      </c>
      <c r="E82" s="48" t="inlineStr">
        <is>
          <t>Pending Approval</t>
        </is>
      </c>
      <c r="F82" s="49" t="n">
        <v>46101</v>
      </c>
      <c r="G82" s="49" t="n"/>
      <c r="H82" s="47" t="inlineStr">
        <is>
          <t>Qty 2 Pcs</t>
        </is>
      </c>
      <c r="I82" t="inlineStr">
        <is>
          <t>Sample Cooler</t>
        </is>
      </c>
    </row>
    <row r="83" ht="18" customHeight="1">
      <c r="A83" s="46" t="n">
        <v>73</v>
      </c>
      <c r="B83" s="50" t="n"/>
      <c r="C83" s="50" t="inlineStr">
        <is>
          <t>Citadel Items</t>
        </is>
      </c>
      <c r="D83" s="51" t="n"/>
      <c r="E83" s="51" t="n"/>
      <c r="F83" s="52" t="n"/>
      <c r="G83" s="52" t="n"/>
      <c r="H83" s="50" t="n"/>
      <c r="I83" t="inlineStr">
        <is>
          <t>Citadel VHF/GPS/UHF System</t>
        </is>
      </c>
    </row>
    <row r="84" ht="18" customHeight="1">
      <c r="A84" s="46" t="n">
        <v>74</v>
      </c>
      <c r="B84" s="47" t="n"/>
      <c r="C84" s="47" t="inlineStr">
        <is>
          <t>Stanchions</t>
        </is>
      </c>
      <c r="D84" s="48" t="n"/>
      <c r="E84" s="48" t="n"/>
      <c r="F84" s="49" t="n"/>
      <c r="G84" s="49" t="n"/>
      <c r="H84" s="47" t="n"/>
      <c r="I84" t="inlineStr">
        <is>
          <t>Shipyard / Miscellaneous</t>
        </is>
      </c>
    </row>
    <row r="85" ht="18" customHeight="1">
      <c r="A85" s="46" t="n">
        <v>75</v>
      </c>
      <c r="B85" s="50" t="n"/>
      <c r="C85" s="50" t="inlineStr">
        <is>
          <t xml:space="preserve">Main Engine  </t>
        </is>
      </c>
      <c r="D85" s="51" t="n"/>
      <c r="E85" s="51" t="n"/>
      <c r="F85" s="52" t="n"/>
      <c r="G85" s="52" t="n"/>
      <c r="H85" s="50" t="n"/>
      <c r="I85" t="inlineStr">
        <is>
          <t>Engine Spares - Main Engine</t>
        </is>
      </c>
    </row>
    <row r="86" ht="18" customHeight="1">
      <c r="A86" s="46" t="n">
        <v>76</v>
      </c>
      <c r="B86" s="47" t="n"/>
      <c r="C86" s="47" t="inlineStr">
        <is>
          <t xml:space="preserve"> Aux. Engine</t>
        </is>
      </c>
      <c r="D86" s="48" t="n"/>
      <c r="E86" s="48" t="n"/>
      <c r="F86" s="49" t="n"/>
      <c r="G86" s="49" t="n"/>
      <c r="H86" s="47" t="n"/>
      <c r="I86" t="inlineStr">
        <is>
          <t>Engine Spares - Auxiliary Engine</t>
        </is>
      </c>
    </row>
    <row r="87" ht="18" customHeight="1">
      <c r="A87" s="46" t="n">
        <v>77</v>
      </c>
      <c r="B87" s="50" t="n"/>
      <c r="C87" s="50" t="inlineStr">
        <is>
          <t>RO-RO Equipment (Main &amp; Centre Ramp spares + inner Ramp spares)</t>
        </is>
      </c>
      <c r="D87" s="51" t="n"/>
      <c r="E87" s="51" t="n"/>
      <c r="F87" s="52" t="n"/>
      <c r="G87" s="52" t="n"/>
      <c r="H87" s="50" t="n"/>
      <c r="I87" t="inlineStr">
        <is>
          <t>RO-RO Equipment - Spares</t>
        </is>
      </c>
    </row>
    <row r="88" ht="18" customHeight="1">
      <c r="A88" s="46" t="n">
        <v>78</v>
      </c>
      <c r="B88" s="47" t="n"/>
      <c r="C88" s="47" t="inlineStr">
        <is>
          <t>HP Pump Skid</t>
        </is>
      </c>
      <c r="D88" s="48" t="n"/>
      <c r="E88" s="48" t="n"/>
      <c r="F88" s="49" t="n"/>
      <c r="G88" s="49" t="n"/>
      <c r="H88" s="47" t="n"/>
      <c r="I88" t="inlineStr">
        <is>
          <t>High Pressure Washer</t>
        </is>
      </c>
    </row>
    <row r="89" ht="18" customHeight="1">
      <c r="A89" s="46" t="n">
        <v>79</v>
      </c>
      <c r="B89" s="50" t="inlineStr">
        <is>
          <t>GLIN-60031/26-1</t>
        </is>
      </c>
      <c r="C89" s="50" t="inlineStr">
        <is>
          <t>Reliability - Donghwa Spares for BOG Compressor</t>
        </is>
      </c>
      <c r="D89" s="51" t="inlineStr">
        <is>
          <t>Spares</t>
        </is>
      </c>
      <c r="E89" s="51" t="inlineStr">
        <is>
          <t>Pending Approval</t>
        </is>
      </c>
      <c r="F89" s="52" t="n">
        <v>46111</v>
      </c>
      <c r="G89" s="52" t="n"/>
      <c r="H89" s="50" t="inlineStr">
        <is>
          <t>Po to be Approved</t>
        </is>
      </c>
      <c r="I89" t="inlineStr">
        <is>
          <t>BOG Compressor Spares</t>
        </is>
      </c>
    </row>
    <row r="90" ht="18" customHeight="1">
      <c r="A90" s="46" t="n">
        <v>80</v>
      </c>
      <c r="B90" s="47" t="n"/>
      <c r="C90" s="47" t="inlineStr">
        <is>
          <t>Nitrogen Generator</t>
        </is>
      </c>
      <c r="D90" s="48" t="n"/>
      <c r="E90" s="48" t="n"/>
      <c r="F90" s="49" t="n"/>
      <c r="G90" s="49" t="n"/>
      <c r="H90" s="47" t="n"/>
      <c r="I90" t="inlineStr">
        <is>
          <t>Nitrogen Generator</t>
        </is>
      </c>
    </row>
    <row r="91" ht="18" customHeight="1">
      <c r="A91" s="46" t="n">
        <v>81</v>
      </c>
      <c r="B91" s="50" t="n"/>
      <c r="C91" s="50" t="n"/>
      <c r="D91" s="51" t="n"/>
      <c r="E91" s="51" t="n"/>
      <c r="F91" s="52" t="n"/>
      <c r="G91" s="52" t="n"/>
      <c r="H91" s="50" t="n"/>
    </row>
    <row r="92" ht="18" customHeight="1">
      <c r="A92" s="46" t="n">
        <v>82</v>
      </c>
      <c r="B92" s="47" t="n"/>
      <c r="C92" s="47" t="inlineStr">
        <is>
          <t xml:space="preserve">RSC Lube oil - qty </t>
        </is>
      </c>
      <c r="D92" s="48" t="n"/>
      <c r="E92" s="48" t="n"/>
      <c r="F92" s="49" t="n"/>
      <c r="G92" s="49" t="n"/>
      <c r="H92" s="47" t="n"/>
      <c r="I92" t="inlineStr">
        <is>
          <t>Lubricants</t>
        </is>
      </c>
    </row>
    <row r="93" ht="18" customHeight="1">
      <c r="A93" s="46" t="n">
        <v>83</v>
      </c>
      <c r="B93" s="50" t="n"/>
      <c r="C93" s="50" t="inlineStr">
        <is>
          <t xml:space="preserve">QC DC </t>
        </is>
      </c>
      <c r="D93" s="51" t="n"/>
      <c r="E93" s="51" t="n"/>
      <c r="F93" s="52" t="n"/>
      <c r="G93" s="52" t="n"/>
      <c r="H93" s="50" t="n"/>
      <c r="I93" t="inlineStr">
        <is>
          <t>QCDC</t>
        </is>
      </c>
    </row>
    <row r="94" ht="18" customHeight="1">
      <c r="A94" s="46" t="n">
        <v>84</v>
      </c>
      <c r="B94" s="47" t="n"/>
      <c r="C94" s="47" t="inlineStr">
        <is>
          <t>Manuals for all equipment- priority for BWTS, STP, OWS, EMGCY AC, EMCY GEN</t>
        </is>
      </c>
      <c r="D94" s="48" t="n"/>
      <c r="E94" s="48" t="n"/>
      <c r="F94" s="49" t="n"/>
      <c r="G94" s="49" t="n"/>
      <c r="H94" s="47" t="n"/>
      <c r="I94" t="inlineStr">
        <is>
          <t>Publications &amp; Manuals</t>
        </is>
      </c>
    </row>
    <row r="95" ht="18" customHeight="1">
      <c r="A95" s="46" t="n">
        <v>85</v>
      </c>
      <c r="B95" s="50" t="n"/>
      <c r="C95" s="50" t="inlineStr">
        <is>
          <t>Domestic refrigerators 200 litres for rec rooms to be added to stores supplies</t>
        </is>
      </c>
      <c r="D95" s="51" t="n"/>
      <c r="E95" s="51" t="n"/>
      <c r="F95" s="52" t="n"/>
      <c r="G95" s="52" t="n"/>
      <c r="H95" s="50" t="n"/>
      <c r="I95" t="inlineStr">
        <is>
          <t>Crew Care &amp; Provisions</t>
        </is>
      </c>
    </row>
    <row r="96" ht="18" customHeight="1">
      <c r="A96" s="46" t="n">
        <v>86</v>
      </c>
      <c r="B96" s="47" t="n"/>
      <c r="C96" s="47" t="inlineStr">
        <is>
          <t>Breathing air compressor</t>
        </is>
      </c>
      <c r="D96" s="48" t="n"/>
      <c r="E96" s="48" t="n"/>
      <c r="F96" s="49" t="n"/>
      <c r="G96" s="49" t="n"/>
      <c r="H96" s="47" t="n"/>
      <c r="I96" t="inlineStr">
        <is>
          <t>IMPA Stores - BA Compressor</t>
        </is>
      </c>
    </row>
    <row r="97" ht="18" customHeight="1">
      <c r="A97" s="46" t="n">
        <v>87</v>
      </c>
      <c r="B97" s="50" t="n"/>
      <c r="C97" s="50" t="inlineStr">
        <is>
          <t>ozone sterliser</t>
        </is>
      </c>
      <c r="D97" s="51" t="n"/>
      <c r="E97" s="51" t="n"/>
      <c r="F97" s="52" t="n"/>
      <c r="G97" s="52" t="n"/>
      <c r="H97" s="50" t="n"/>
      <c r="I97" t="inlineStr">
        <is>
          <t>Shipyard / Miscellaneous</t>
        </is>
      </c>
    </row>
    <row r="98" ht="18" customHeight="1">
      <c r="A98" s="46" t="n">
        <v>88</v>
      </c>
      <c r="B98" s="47" t="n"/>
      <c r="C98" s="47" t="inlineStr">
        <is>
          <t>suez light</t>
        </is>
      </c>
      <c r="D98" s="48" t="n"/>
      <c r="E98" s="48" t="n"/>
      <c r="F98" s="49" t="n"/>
      <c r="G98" s="49" t="n"/>
      <c r="H98" s="47" t="n"/>
      <c r="I98" t="inlineStr">
        <is>
          <t>Shipyard / Miscellaneous</t>
        </is>
      </c>
    </row>
    <row r="99" ht="18" customHeight="1">
      <c r="A99" s="46" t="n">
        <v>89</v>
      </c>
      <c r="B99" s="50" t="n"/>
      <c r="C99" s="50" t="inlineStr">
        <is>
          <t>Item no 11, loose equipment for emergency operation of roro equipment</t>
        </is>
      </c>
      <c r="D99" s="51" t="n"/>
      <c r="E99" s="51" t="n"/>
      <c r="F99" s="52" t="n"/>
      <c r="G99" s="52" t="n"/>
      <c r="H99" s="50" t="n"/>
      <c r="I99" t="inlineStr">
        <is>
          <t>RO-RO Equipment - Loose Fittings</t>
        </is>
      </c>
    </row>
    <row r="100" ht="18" customHeight="1">
      <c r="A100" s="46" t="n">
        <v>90</v>
      </c>
      <c r="B100" s="47" t="n"/>
      <c r="C100" s="47" t="inlineStr">
        <is>
          <t>Reefer cable and plugs extensions</t>
        </is>
      </c>
      <c r="D100" s="48" t="n"/>
      <c r="E100" s="48" t="n"/>
      <c r="F100" s="49" t="n"/>
      <c r="G100" s="49" t="n"/>
      <c r="H100" s="47" t="n"/>
      <c r="I100" t="inlineStr">
        <is>
          <t>Refrigerant Equipment</t>
        </is>
      </c>
    </row>
    <row r="101" ht="18" customHeight="1">
      <c r="A101" s="46" t="n">
        <v>91</v>
      </c>
      <c r="B101" s="50" t="n"/>
      <c r="C101" s="50" t="inlineStr">
        <is>
          <t xml:space="preserve">Manual chain blocks </t>
        </is>
      </c>
      <c r="D101" s="51" t="n"/>
      <c r="E101" s="51" t="n"/>
      <c r="F101" s="52" t="n"/>
      <c r="G101" s="52" t="n"/>
      <c r="H101" s="50" t="n"/>
      <c r="I101" t="inlineStr">
        <is>
          <t>Shipyard / Miscellaneous</t>
        </is>
      </c>
    </row>
    <row r="102" ht="18" customHeight="1">
      <c r="A102" s="46" t="n">
        <v>92</v>
      </c>
      <c r="B102" s="47" t="n"/>
      <c r="C102" s="47" t="inlineStr">
        <is>
          <t>Glycol</t>
        </is>
      </c>
      <c r="D102" s="48" t="n"/>
      <c r="E102" s="48" t="n"/>
      <c r="F102" s="49" t="n"/>
      <c r="G102" s="49" t="n"/>
      <c r="H102" s="47" t="n"/>
      <c r="I102" t="inlineStr">
        <is>
          <t>Lubricants</t>
        </is>
      </c>
    </row>
    <row r="103" ht="18" customHeight="1">
      <c r="A103" s="46" t="n">
        <v>93</v>
      </c>
      <c r="B103" s="50" t="inlineStr">
        <is>
          <t>GLIN-60042/26</t>
        </is>
      </c>
      <c r="C103" s="50" t="inlineStr">
        <is>
          <t>Gas meters</t>
        </is>
      </c>
      <c r="D103" s="51" t="inlineStr">
        <is>
          <t>Spares</t>
        </is>
      </c>
      <c r="E103" s="51" t="inlineStr">
        <is>
          <t>Pending Approval</t>
        </is>
      </c>
      <c r="F103" s="52" t="n"/>
      <c r="G103" s="52" t="n"/>
      <c r="H103" s="50" t="inlineStr">
        <is>
          <t>Po to be Approved</t>
        </is>
      </c>
      <c r="I103" t="inlineStr">
        <is>
          <t>Gas Meters</t>
        </is>
      </c>
    </row>
    <row r="104" ht="18" customHeight="1">
      <c r="A104" s="46" t="n">
        <v>94</v>
      </c>
      <c r="B104" s="47" t="n"/>
      <c r="C104" s="47" t="inlineStr">
        <is>
          <t>Welding machine in Workshop 440 v</t>
        </is>
      </c>
      <c r="D104" s="48" t="n"/>
      <c r="E104" s="48" t="n"/>
      <c r="F104" s="49" t="n"/>
      <c r="G104" s="49" t="n"/>
      <c r="H104" s="47" t="n"/>
      <c r="I104" t="inlineStr">
        <is>
          <t>Welding Equipment</t>
        </is>
      </c>
    </row>
    <row r="105" ht="18" customHeight="1">
      <c r="A105" s="46" t="n">
        <v>95</v>
      </c>
      <c r="B105" s="50" t="n"/>
      <c r="C105" s="50" t="inlineStr">
        <is>
          <t>Service Car and Forlift</t>
        </is>
      </c>
      <c r="D105" s="51" t="n"/>
      <c r="E105" s="51" t="n"/>
      <c r="F105" s="52" t="n"/>
      <c r="G105" s="52" t="n"/>
      <c r="H105" s="50" t="n"/>
      <c r="I105" t="inlineStr">
        <is>
          <t>Shipyard / Miscellaneous</t>
        </is>
      </c>
    </row>
    <row r="106" ht="18" customHeight="1">
      <c r="A106" s="46" t="n">
        <v>96</v>
      </c>
      <c r="B106" s="47" t="n"/>
      <c r="C106" s="47" t="inlineStr">
        <is>
          <t>DF Tools</t>
        </is>
      </c>
      <c r="D106" s="48" t="n"/>
      <c r="E106" s="48" t="n"/>
      <c r="F106" s="49" t="n"/>
      <c r="G106" s="49" t="n"/>
      <c r="H106" s="47" t="n"/>
      <c r="I106" t="inlineStr">
        <is>
          <t>Dual Fuel Tools</t>
        </is>
      </c>
    </row>
    <row r="107" ht="18" customHeight="1">
      <c r="A107" s="46" t="n">
        <v>97</v>
      </c>
      <c r="B107" s="50" t="n"/>
      <c r="C107" s="50" t="inlineStr">
        <is>
          <t>DF Tools for Methanol Project</t>
        </is>
      </c>
      <c r="D107" s="51" t="n"/>
      <c r="E107" s="51" t="n"/>
      <c r="F107" s="52" t="n"/>
      <c r="G107" s="52" t="n"/>
      <c r="H107" s="50" t="n"/>
      <c r="I107" t="inlineStr">
        <is>
          <t>Dual Fuel Tools</t>
        </is>
      </c>
    </row>
    <row r="108" ht="18" customHeight="1">
      <c r="A108" s="46" t="n">
        <v>98</v>
      </c>
      <c r="B108" s="47" t="n"/>
      <c r="C108" s="47" t="inlineStr">
        <is>
          <t>Publications</t>
        </is>
      </c>
      <c r="D108" s="48" t="n"/>
      <c r="E108" s="48" t="n"/>
      <c r="F108" s="49" t="n"/>
      <c r="G108" s="49" t="n"/>
      <c r="H108" s="47" t="n"/>
      <c r="I108" t="inlineStr">
        <is>
          <t>Publications &amp; Manuals</t>
        </is>
      </c>
    </row>
    <row r="109" ht="18" customHeight="1">
      <c r="A109" s="46" t="n">
        <v>99</v>
      </c>
      <c r="B109" s="50" t="n"/>
      <c r="C109" s="50" t="inlineStr">
        <is>
          <t>Thermal Stop PO</t>
        </is>
      </c>
      <c r="D109" s="51" t="n"/>
      <c r="E109" s="51" t="n"/>
      <c r="F109" s="52" t="n"/>
      <c r="G109" s="52" t="n"/>
      <c r="H109" s="50" t="n"/>
      <c r="I109" t="inlineStr">
        <is>
          <t>Shipyard / Miscellaneous</t>
        </is>
      </c>
    </row>
    <row r="110" ht="18" customHeight="1">
      <c r="A110" s="46" t="n">
        <v>100</v>
      </c>
      <c r="B110" s="47" t="n"/>
      <c r="C110" s="47" t="inlineStr">
        <is>
          <t>Alcometer</t>
        </is>
      </c>
      <c r="D110" s="48" t="n"/>
      <c r="E110" s="48" t="n"/>
      <c r="F110" s="49" t="n"/>
      <c r="G110" s="49" t="n"/>
      <c r="H110" s="47" t="n"/>
      <c r="I110" t="inlineStr">
        <is>
          <t>Shipyard / Miscellaneous</t>
        </is>
      </c>
    </row>
    <row r="111" ht="18" customHeight="1">
      <c r="A111" s="46" t="n">
        <v>101</v>
      </c>
      <c r="B111" s="50" t="n"/>
      <c r="C111" s="50" t="inlineStr">
        <is>
          <t>Bosch GLM-50 or Laser Distance Measuring Tool</t>
        </is>
      </c>
      <c r="D111" s="51" t="n"/>
      <c r="E111" s="51" t="n"/>
      <c r="F111" s="52" t="n"/>
      <c r="G111" s="52" t="n"/>
      <c r="H111" s="50" t="n"/>
      <c r="I111" t="inlineStr">
        <is>
          <t>Shipyard / Miscellaneous</t>
        </is>
      </c>
    </row>
    <row r="112" ht="18" customHeight="1">
      <c r="A112" s="46" t="n">
        <v>102</v>
      </c>
      <c r="B112" s="47" t="n"/>
      <c r="C112" s="47" t="inlineStr">
        <is>
          <t>EV Lance</t>
        </is>
      </c>
      <c r="D112" s="48" t="n"/>
      <c r="E112" s="48" t="n"/>
      <c r="F112" s="49" t="n"/>
      <c r="G112" s="49" t="n"/>
      <c r="H112" s="47" t="n"/>
      <c r="I112" t="inlineStr">
        <is>
          <t>EV Lance</t>
        </is>
      </c>
    </row>
    <row r="113" ht="18" customHeight="1">
      <c r="A113" s="46" t="n">
        <v>103</v>
      </c>
      <c r="B113" s="50" t="n"/>
      <c r="C113" s="50" t="inlineStr">
        <is>
          <t>Receptacles</t>
        </is>
      </c>
      <c r="D113" s="51" t="n"/>
      <c r="E113" s="51" t="n"/>
      <c r="F113" s="52" t="n"/>
      <c r="G113" s="52" t="n"/>
      <c r="H113" s="50" t="n"/>
      <c r="I113" t="inlineStr">
        <is>
          <t>Shipyard / Miscellaneous</t>
        </is>
      </c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topLeftCell="B1" zoomScale="70" zoomScaleNormal="70" workbookViewId="0">
      <pane ySplit="10" topLeftCell="A81" activePane="bottomLeft" state="frozen"/>
      <selection pane="bottomLeft" activeCell="C95" sqref="C95"/>
    </sheetView>
  </sheetViews>
  <sheetFormatPr baseColWidth="8" defaultColWidth="8.5703125" defaultRowHeight="15"/>
  <cols>
    <col width="3.85546875" bestFit="1" customWidth="1" min="1" max="1"/>
    <col width="17.5703125" bestFit="1" customWidth="1" min="2" max="2"/>
    <col width="71.5703125" bestFit="1" customWidth="1" min="3" max="3"/>
    <col width="8.7109375" bestFit="1" customWidth="1" min="4" max="4"/>
    <col width="14.85546875" bestFit="1" customWidth="1" min="5" max="5"/>
    <col width="13.140625" bestFit="1" customWidth="1" min="6" max="6"/>
    <col width="12.5703125" bestFit="1" customWidth="1" min="7" max="7"/>
    <col width="57.42578125" bestFit="1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Logos</t>
        </is>
      </c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D7" s="29">
        <f>COUNTIF(E11:E113,"Approved &amp; Issued")</f>
        <v/>
      </c>
      <c r="E7" s="29">
        <f>COUNTIF(E11:E113,"Pending Delivery")</f>
        <v/>
      </c>
      <c r="F7" s="29">
        <f>COUNTIF(E11:E113,"Delivered")</f>
        <v/>
      </c>
      <c r="G7" s="29">
        <f>COUNTA(B11:B113)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  <c r="I10" t="inlineStr">
        <is>
          <t>PO Name Standardized</t>
        </is>
      </c>
    </row>
    <row r="11" ht="18" customHeight="1">
      <c r="A11" s="46" t="n">
        <v>17</v>
      </c>
      <c r="B11" s="47" t="inlineStr">
        <is>
          <t>GLOG-60001/26-1</t>
        </is>
      </c>
      <c r="C11" s="47" t="inlineStr">
        <is>
          <t>Shipyard Extra Owner supply - Captains Eye</t>
        </is>
      </c>
      <c r="D11" s="48" t="inlineStr">
        <is>
          <t>Spares</t>
        </is>
      </c>
      <c r="E11" s="48" t="inlineStr">
        <is>
          <t>Pending Delivery</t>
        </is>
      </c>
      <c r="F11" s="49" t="inlineStr">
        <is>
          <t>15-01-2026</t>
        </is>
      </c>
      <c r="G11" s="49" t="n"/>
      <c r="H11" s="47" t="inlineStr">
        <is>
          <t>Awaiting Readiness</t>
        </is>
      </c>
      <c r="I11" t="inlineStr">
        <is>
          <t>Navigation - Captains Eye</t>
        </is>
      </c>
    </row>
    <row r="12" ht="18" customHeight="1">
      <c r="A12" s="46" t="n">
        <v>13</v>
      </c>
      <c r="B12" s="47" t="inlineStr">
        <is>
          <t>GLOG-60002/26-1</t>
        </is>
      </c>
      <c r="C12" s="47" t="inlineStr">
        <is>
          <t>FS-KVH-SWS-LOGOS</t>
        </is>
      </c>
      <c r="D12" s="48" t="inlineStr">
        <is>
          <t>Others</t>
        </is>
      </c>
      <c r="E12" s="48" t="inlineStr">
        <is>
          <t>Pending Delivery</t>
        </is>
      </c>
      <c r="F12" s="49" t="inlineStr">
        <is>
          <t>26-01-2026</t>
        </is>
      </c>
      <c r="G12" s="49" t="n"/>
      <c r="H12" s="47" t="inlineStr">
        <is>
          <t>IT Po</t>
        </is>
      </c>
      <c r="I12" t="inlineStr">
        <is>
          <t>Communications - VSAT (KVH)</t>
        </is>
      </c>
    </row>
    <row r="13" ht="18" customHeight="1">
      <c r="A13" s="46" t="n">
        <v>12</v>
      </c>
      <c r="B13" s="50" t="inlineStr">
        <is>
          <t>GLOG-60003/26</t>
        </is>
      </c>
      <c r="C13" s="50" t="inlineStr">
        <is>
          <t>FS-AST-SAMPLE</t>
        </is>
      </c>
      <c r="D13" s="51" t="inlineStr">
        <is>
          <t>Others</t>
        </is>
      </c>
      <c r="E13" s="51" t="inlineStr">
        <is>
          <t>Pending Delivery</t>
        </is>
      </c>
      <c r="F13" s="52" t="inlineStr">
        <is>
          <t>26-01-2026</t>
        </is>
      </c>
      <c r="G13" s="52" t="n"/>
      <c r="H13" s="50" t="inlineStr">
        <is>
          <t>IT Po</t>
        </is>
      </c>
      <c r="I13" t="inlineStr">
        <is>
          <t>Lubricants</t>
        </is>
      </c>
    </row>
    <row r="14" ht="18" customHeight="1">
      <c r="A14" s="46" t="n">
        <v>4</v>
      </c>
      <c r="B14" s="50" t="inlineStr">
        <is>
          <t>GLOG-60005/26-1</t>
        </is>
      </c>
      <c r="C14" s="50" t="inlineStr">
        <is>
          <t>FS-AST-LOGOS</t>
        </is>
      </c>
      <c r="D14" s="51" t="inlineStr">
        <is>
          <t>Others</t>
        </is>
      </c>
      <c r="E14" s="51" t="inlineStr">
        <is>
          <t>Pending Delivery</t>
        </is>
      </c>
      <c r="F14" s="52" t="inlineStr">
        <is>
          <t>27-01-2026</t>
        </is>
      </c>
      <c r="G14" s="52" t="n">
        <v>46079</v>
      </c>
      <c r="H14" s="50" t="inlineStr">
        <is>
          <t>IT Po</t>
        </is>
      </c>
      <c r="I14" t="inlineStr">
        <is>
          <t>Lubricants</t>
        </is>
      </c>
    </row>
    <row r="15" ht="18" customHeight="1">
      <c r="A15" s="46" t="n">
        <v>11</v>
      </c>
      <c r="B15" s="47" t="inlineStr">
        <is>
          <t>GLOG-60006/26-1</t>
        </is>
      </c>
      <c r="C15" s="47" t="inlineStr">
        <is>
          <t>FS-ITBP  -LOGOS</t>
        </is>
      </c>
      <c r="D15" s="48" t="inlineStr">
        <is>
          <t>Others</t>
        </is>
      </c>
      <c r="E15" s="48" t="inlineStr">
        <is>
          <t>Pending Delivery</t>
        </is>
      </c>
      <c r="F15" s="49" t="inlineStr">
        <is>
          <t>27-01-2026</t>
        </is>
      </c>
      <c r="G15" s="49" t="n"/>
      <c r="H15" s="47" t="inlineStr">
        <is>
          <t>IT Po</t>
        </is>
      </c>
      <c r="I15" t="inlineStr">
        <is>
          <t>IT Equipment - ITBP</t>
        </is>
      </c>
    </row>
    <row r="16" ht="18" customHeight="1">
      <c r="A16" s="46" t="n">
        <v>9</v>
      </c>
      <c r="B16" s="47" t="inlineStr">
        <is>
          <t>GLOG-60007/26-1</t>
        </is>
      </c>
      <c r="C16" s="47" t="inlineStr">
        <is>
          <t>Shipyard Extra (owner supply) 10800 CEU LNG PCTC _x0013_ Consilium SMiG Integration</t>
        </is>
      </c>
      <c r="D16" s="48" t="inlineStr">
        <is>
          <t>Spares</t>
        </is>
      </c>
      <c r="E16" s="48" t="inlineStr">
        <is>
          <t>Pending Delivery</t>
        </is>
      </c>
      <c r="F16" s="49" t="inlineStr">
        <is>
          <t>12-02-2026</t>
        </is>
      </c>
      <c r="G16" s="49" t="n"/>
      <c r="H16" s="47" t="inlineStr">
        <is>
          <t>Awaiting Readiness</t>
        </is>
      </c>
      <c r="I16" t="inlineStr">
        <is>
          <t>Safety Integration - SMiG</t>
        </is>
      </c>
    </row>
    <row r="17" ht="18" customHeight="1">
      <c r="A17" s="46" t="n">
        <v>3</v>
      </c>
      <c r="B17" s="47" t="inlineStr">
        <is>
          <t>GLOG-60008/26-1</t>
        </is>
      </c>
      <c r="C17" s="47" t="inlineStr">
        <is>
          <t>FS-LENOVO-Logos</t>
        </is>
      </c>
      <c r="D17" s="48" t="inlineStr">
        <is>
          <t>Others</t>
        </is>
      </c>
      <c r="E17" s="48" t="inlineStr">
        <is>
          <t>Pending Delivery</t>
        </is>
      </c>
      <c r="F17" s="49" t="inlineStr">
        <is>
          <t>11-02-2026</t>
        </is>
      </c>
      <c r="G17" s="49" t="n">
        <v>46079</v>
      </c>
      <c r="H17" s="47" t="inlineStr">
        <is>
          <t>IT Po</t>
        </is>
      </c>
      <c r="I17" t="inlineStr">
        <is>
          <t>IT Equipment - Computers (Lenovo)</t>
        </is>
      </c>
    </row>
    <row r="18" ht="18" customHeight="1">
      <c r="A18" s="46" t="n">
        <v>8</v>
      </c>
      <c r="B18" s="50" t="inlineStr">
        <is>
          <t>GLOG-60009/26-1</t>
        </is>
      </c>
      <c r="C18" s="50" t="inlineStr">
        <is>
          <t>Reliability Spares - 10,8K CEU SWS - GVT- Eltronic</t>
        </is>
      </c>
      <c r="D18" s="51" t="inlineStr">
        <is>
          <t>Spares</t>
        </is>
      </c>
      <c r="E18" s="51" t="inlineStr">
        <is>
          <t>Pending Delivery</t>
        </is>
      </c>
      <c r="F18" s="52" t="inlineStr">
        <is>
          <t>03-03-2026</t>
        </is>
      </c>
      <c r="G18" s="52" t="n"/>
      <c r="H18" s="50" t="inlineStr">
        <is>
          <t>Awaiting Readiness</t>
        </is>
      </c>
      <c r="I18" t="inlineStr">
        <is>
          <t>Boiler Spares</t>
        </is>
      </c>
    </row>
    <row r="19" ht="18" customHeight="1">
      <c r="A19" s="46" t="n">
        <v>1</v>
      </c>
      <c r="B19" s="47" t="inlineStr">
        <is>
          <t>GLOG-60010/26-1</t>
        </is>
      </c>
      <c r="C19" s="47" t="inlineStr">
        <is>
          <t>Shipyard Extra Buyers Supply - Hinas SVM SEASPAN 10.8K PCTC</t>
        </is>
      </c>
      <c r="D19" s="48" t="inlineStr">
        <is>
          <t>Spares</t>
        </is>
      </c>
      <c r="E19" s="48" t="inlineStr">
        <is>
          <t>Pending Delivery</t>
        </is>
      </c>
      <c r="F19" s="49" t="inlineStr">
        <is>
          <t>17-02-2026</t>
        </is>
      </c>
      <c r="G19" s="49" t="n"/>
      <c r="H19" s="47" t="inlineStr">
        <is>
          <t>Seyi to advsie Email Id's of Avikus</t>
        </is>
      </c>
      <c r="I19" t="inlineStr">
        <is>
          <t>Navigation - HiNAS SVM</t>
        </is>
      </c>
    </row>
    <row r="20" ht="18" customHeight="1">
      <c r="A20" s="46" t="n">
        <v>5</v>
      </c>
      <c r="B20" s="47" t="inlineStr">
        <is>
          <t>GLOG-60011/26-1</t>
        </is>
      </c>
      <c r="C20" s="47" t="inlineStr">
        <is>
          <t>FS-VLINK CABLE</t>
        </is>
      </c>
      <c r="D20" s="48" t="inlineStr">
        <is>
          <t>Others</t>
        </is>
      </c>
      <c r="E20" s="48" t="inlineStr">
        <is>
          <t>Pending Delivery</t>
        </is>
      </c>
      <c r="F20" s="49" t="inlineStr">
        <is>
          <t>11-02-2026</t>
        </is>
      </c>
      <c r="G20" s="49" t="n">
        <v>46079</v>
      </c>
      <c r="H20" s="47" t="inlineStr">
        <is>
          <t>IT Po</t>
        </is>
      </c>
      <c r="I20" t="inlineStr">
        <is>
          <t>Communications - VLINK</t>
        </is>
      </c>
    </row>
    <row r="21" ht="18" customHeight="1">
      <c r="A21" s="46" t="n">
        <v>14</v>
      </c>
      <c r="B21" s="50" t="inlineStr">
        <is>
          <t>GLOG-60012/26-1</t>
        </is>
      </c>
      <c r="C21" s="50" t="inlineStr">
        <is>
          <t>FS-ITBP CABLES</t>
        </is>
      </c>
      <c r="D21" s="51" t="inlineStr">
        <is>
          <t>Others</t>
        </is>
      </c>
      <c r="E21" s="51" t="inlineStr">
        <is>
          <t>Pending Delivery</t>
        </is>
      </c>
      <c r="F21" s="52" t="inlineStr">
        <is>
          <t>18-02-2026</t>
        </is>
      </c>
      <c r="G21" s="52" t="n"/>
      <c r="H21" s="50" t="inlineStr">
        <is>
          <t>IT Po</t>
        </is>
      </c>
      <c r="I21" t="inlineStr">
        <is>
          <t>IT Equipment - ITBP Cables</t>
        </is>
      </c>
    </row>
    <row r="22" ht="18" customHeight="1">
      <c r="A22" s="46" t="n">
        <v>15</v>
      </c>
      <c r="B22" s="47" t="inlineStr">
        <is>
          <t>GLOG-60013/26-1</t>
        </is>
      </c>
      <c r="C22" s="47" t="inlineStr">
        <is>
          <t>FS-ITBP Additional Item</t>
        </is>
      </c>
      <c r="D22" s="48" t="inlineStr">
        <is>
          <t>Others</t>
        </is>
      </c>
      <c r="E22" s="48" t="inlineStr">
        <is>
          <t>Pending Delivery</t>
        </is>
      </c>
      <c r="F22" s="49" t="inlineStr">
        <is>
          <t>19-02-2026</t>
        </is>
      </c>
      <c r="G22" s="49" t="n"/>
      <c r="H22" s="47" t="inlineStr">
        <is>
          <t>IT Po</t>
        </is>
      </c>
      <c r="I22" t="inlineStr">
        <is>
          <t>IT Equipment - ITBP Additional Items</t>
        </is>
      </c>
    </row>
    <row r="23" ht="18" customHeight="1">
      <c r="A23" s="46" t="n">
        <v>10</v>
      </c>
      <c r="B23" s="50" t="inlineStr">
        <is>
          <t>GLOG-60014/26-1</t>
        </is>
      </c>
      <c r="C23" s="50" t="inlineStr">
        <is>
          <t>FS-ITBP MISC LAB KIT</t>
        </is>
      </c>
      <c r="D23" s="51" t="inlineStr">
        <is>
          <t>Others</t>
        </is>
      </c>
      <c r="E23" s="51" t="inlineStr">
        <is>
          <t>Pending Delivery</t>
        </is>
      </c>
      <c r="F23" s="52" t="inlineStr">
        <is>
          <t>24-02-2026</t>
        </is>
      </c>
      <c r="G23" s="52" t="n"/>
      <c r="H23" s="50" t="inlineStr">
        <is>
          <t>IT Po</t>
        </is>
      </c>
      <c r="I23" t="inlineStr">
        <is>
          <t>IT Equipment - ITBP Lab Kit</t>
        </is>
      </c>
    </row>
    <row r="24" ht="18" customHeight="1">
      <c r="A24" s="46" t="n">
        <v>18</v>
      </c>
      <c r="B24" s="50" t="inlineStr">
        <is>
          <t>GLOG-60016/26</t>
        </is>
      </c>
      <c r="C24" s="50" t="inlineStr">
        <is>
          <t>Reliability Spares - PCTC-Seaspan - Boilers QUOT26012103</t>
        </is>
      </c>
      <c r="D24" s="51" t="inlineStr">
        <is>
          <t>Spares</t>
        </is>
      </c>
      <c r="E24" s="51" t="inlineStr">
        <is>
          <t>Pending Approval</t>
        </is>
      </c>
      <c r="F24" s="52" t="inlineStr">
        <is>
          <t>25-02-2026</t>
        </is>
      </c>
      <c r="G24" s="52" t="n"/>
      <c r="H24" s="50" t="inlineStr">
        <is>
          <t>Po to be Approved</t>
        </is>
      </c>
      <c r="I24" t="inlineStr">
        <is>
          <t>Boiler Spares</t>
        </is>
      </c>
    </row>
    <row r="25" ht="18" customHeight="1">
      <c r="A25" s="46" t="n">
        <v>6</v>
      </c>
      <c r="B25" s="50" t="inlineStr">
        <is>
          <t>GLOG-60017/26-1</t>
        </is>
      </c>
      <c r="C25" s="50" t="inlineStr">
        <is>
          <t>PD - RSC Envirologic</t>
        </is>
      </c>
      <c r="D25" s="51" t="inlineStr">
        <is>
          <t>Spares</t>
        </is>
      </c>
      <c r="E25" s="51" t="inlineStr">
        <is>
          <t>Pending Delivery</t>
        </is>
      </c>
      <c r="F25" s="52" t="n"/>
      <c r="G25" s="52" t="n"/>
      <c r="H25" s="50" t="inlineStr">
        <is>
          <t>Seyi to advise Qty</t>
        </is>
      </c>
      <c r="I25" t="inlineStr">
        <is>
          <t>Lubricants</t>
        </is>
      </c>
    </row>
    <row r="26" ht="18" customHeight="1">
      <c r="A26" s="46" t="n">
        <v>16</v>
      </c>
      <c r="B26" s="50" t="inlineStr">
        <is>
          <t>GLOG-60018/26-1</t>
        </is>
      </c>
      <c r="C26" s="50" t="inlineStr">
        <is>
          <t>Reliabiltiy Spares - Gas Detection System</t>
        </is>
      </c>
      <c r="D26" s="51" t="inlineStr">
        <is>
          <t>Spares</t>
        </is>
      </c>
      <c r="E26" s="51" t="inlineStr">
        <is>
          <t>Pending Delivery</t>
        </is>
      </c>
      <c r="F26" s="52" t="inlineStr">
        <is>
          <t>06-03-2026</t>
        </is>
      </c>
      <c r="G26" s="52" t="n"/>
      <c r="H26" s="50" t="inlineStr">
        <is>
          <t>To advise Shipping Address</t>
        </is>
      </c>
      <c r="I26" t="inlineStr">
        <is>
          <t>Gas Detection System</t>
        </is>
      </c>
    </row>
    <row r="27" ht="18" customHeight="1">
      <c r="A27" s="46" t="n">
        <v>7</v>
      </c>
      <c r="B27" s="47" t="inlineStr">
        <is>
          <t>GLOG-60019/26-1</t>
        </is>
      </c>
      <c r="C27" s="47" t="inlineStr">
        <is>
          <t>Reliability Spares - Fire detection system</t>
        </is>
      </c>
      <c r="D27" s="48" t="inlineStr">
        <is>
          <t>Spares</t>
        </is>
      </c>
      <c r="E27" s="48" t="inlineStr">
        <is>
          <t>Pending Delivery</t>
        </is>
      </c>
      <c r="F27" s="49" t="inlineStr">
        <is>
          <t>06-03-2026</t>
        </is>
      </c>
      <c r="G27" s="49" t="n"/>
      <c r="H27" s="47" t="inlineStr">
        <is>
          <t>To advise Shipping Instructions</t>
        </is>
      </c>
      <c r="I27" t="inlineStr">
        <is>
          <t>Fire Detection System</t>
        </is>
      </c>
    </row>
    <row r="28" ht="18" customHeight="1">
      <c r="A28" s="46" t="n">
        <v>2</v>
      </c>
      <c r="B28" s="50" t="inlineStr">
        <is>
          <t>GLOG-60020/26-1</t>
        </is>
      </c>
      <c r="C28" s="50" t="inlineStr">
        <is>
          <t>SHIPYARD EXTRA OWNER SUPPLY- Abanaki Skimmers</t>
        </is>
      </c>
      <c r="D28" s="51" t="inlineStr">
        <is>
          <t>Spares</t>
        </is>
      </c>
      <c r="E28" s="51" t="inlineStr">
        <is>
          <t>Pending Delivery</t>
        </is>
      </c>
      <c r="F28" s="52" t="n">
        <v>46091</v>
      </c>
      <c r="G28" s="52" t="n"/>
      <c r="H28" s="50" t="inlineStr">
        <is>
          <t>Po shared with supplier, to be approved</t>
        </is>
      </c>
      <c r="I28" t="inlineStr">
        <is>
          <t>Oil Skimmers - Abanaki</t>
        </is>
      </c>
    </row>
    <row r="29" ht="18" customHeight="1">
      <c r="A29" s="46" t="n"/>
      <c r="B29" s="47" t="inlineStr">
        <is>
          <t>GLOG-60020/26-1</t>
        </is>
      </c>
      <c r="C29" s="47" t="inlineStr">
        <is>
          <t>SHIPYARD EXTRA OWNER SUPPLY- Abanaki Skimmers</t>
        </is>
      </c>
      <c r="D29" s="48" t="inlineStr">
        <is>
          <t>Spares</t>
        </is>
      </c>
      <c r="E29" s="61" t="inlineStr">
        <is>
          <t>Pending Supplier Confirmation</t>
        </is>
      </c>
      <c r="F29" s="49" t="n">
        <v>46091</v>
      </c>
      <c r="G29" s="49" t="n"/>
      <c r="H29" s="47" t="inlineStr">
        <is>
          <t>Po to be created however shared to Supplier</t>
        </is>
      </c>
      <c r="I29" t="inlineStr">
        <is>
          <t>Oil Skimmers - Abanaki</t>
        </is>
      </c>
    </row>
    <row r="30" ht="18" customHeight="1">
      <c r="A30" s="46" t="n"/>
      <c r="B30" s="47" t="inlineStr">
        <is>
          <t>GLOG-60021/26-1</t>
        </is>
      </c>
      <c r="C30" s="47" t="inlineStr">
        <is>
          <t>Pre Delivery - Garbage Compactor</t>
        </is>
      </c>
      <c r="D30" s="48" t="inlineStr">
        <is>
          <t>Spares</t>
        </is>
      </c>
      <c r="E30" s="48" t="inlineStr">
        <is>
          <t>Pending Delivery</t>
        </is>
      </c>
      <c r="F30" s="49" t="n">
        <v>46094</v>
      </c>
      <c r="G30" s="49" t="n"/>
      <c r="H30" s="47" t="inlineStr">
        <is>
          <t>Po to be Approved by VM</t>
        </is>
      </c>
      <c r="I30" t="inlineStr">
        <is>
          <t>Garbage Compactor</t>
        </is>
      </c>
    </row>
    <row r="31" ht="18" customHeight="1">
      <c r="A31" s="46" t="n">
        <v>49</v>
      </c>
      <c r="B31" s="47" t="inlineStr">
        <is>
          <t>GLOG-60022/26-1</t>
        </is>
      </c>
      <c r="C31" s="47" t="inlineStr">
        <is>
          <t>Pre Delivery - Cryogenic PPE</t>
        </is>
      </c>
      <c r="D31" s="48" t="inlineStr">
        <is>
          <t>Stores</t>
        </is>
      </c>
      <c r="E31" s="61" t="inlineStr">
        <is>
          <t>Pending Supplier Confirmation</t>
        </is>
      </c>
      <c r="F31" s="49" t="n">
        <v>46101</v>
      </c>
      <c r="G31" s="49" t="n"/>
      <c r="H31" s="47" t="inlineStr">
        <is>
          <t>Po to be Approved</t>
        </is>
      </c>
      <c r="I31" t="inlineStr">
        <is>
          <t>Cryogenic PPE</t>
        </is>
      </c>
    </row>
    <row r="32" ht="18" customHeight="1">
      <c r="A32" s="46" t="n">
        <v>61</v>
      </c>
      <c r="B32" s="47" t="inlineStr">
        <is>
          <t>GLOG-60024/26-1</t>
        </is>
      </c>
      <c r="C32" s="47" t="inlineStr">
        <is>
          <t>Pre Delivery - Sample Cooler</t>
        </is>
      </c>
      <c r="D32" s="48" t="inlineStr">
        <is>
          <t>Spares</t>
        </is>
      </c>
      <c r="E32" s="48" t="inlineStr">
        <is>
          <t>Pending Approval</t>
        </is>
      </c>
      <c r="F32" s="49" t="n">
        <v>46101</v>
      </c>
      <c r="G32" s="49" t="n"/>
      <c r="H32" s="47" t="inlineStr">
        <is>
          <t>Qty 2 Pcs to be Approved</t>
        </is>
      </c>
      <c r="I32" t="inlineStr">
        <is>
          <t>Sample Cooler</t>
        </is>
      </c>
    </row>
    <row r="33" ht="18" customHeight="1">
      <c r="A33" s="46" t="n">
        <v>68</v>
      </c>
      <c r="B33" s="50" t="inlineStr">
        <is>
          <t>GLOG-60025/26-1</t>
        </is>
      </c>
      <c r="C33" s="50" t="inlineStr">
        <is>
          <t>Reliability - Donghwa Spares for BOG Compressor</t>
        </is>
      </c>
      <c r="D33" s="51" t="inlineStr">
        <is>
          <t>Spares</t>
        </is>
      </c>
      <c r="E33" s="61" t="inlineStr">
        <is>
          <t>Pending Supplier Confirmation</t>
        </is>
      </c>
      <c r="F33" s="52" t="n">
        <v>46111</v>
      </c>
      <c r="G33" s="52" t="n"/>
      <c r="H33" s="50" t="inlineStr">
        <is>
          <t>To be Approved</t>
        </is>
      </c>
      <c r="I33" t="inlineStr">
        <is>
          <t>BOG Compressor Spares</t>
        </is>
      </c>
    </row>
    <row r="34" ht="18" customHeight="1">
      <c r="A34" s="46" t="n">
        <v>47</v>
      </c>
      <c r="B34" s="47" t="inlineStr">
        <is>
          <t>GLOG-60026/26-1</t>
        </is>
      </c>
      <c r="C34" s="47" t="inlineStr">
        <is>
          <t xml:space="preserve"> FLIR ESPro and E6 Pro</t>
        </is>
      </c>
      <c r="D34" s="48" t="inlineStr">
        <is>
          <t>Stores</t>
        </is>
      </c>
      <c r="E34" s="48" t="inlineStr">
        <is>
          <t>Pending Delivery</t>
        </is>
      </c>
      <c r="F34" s="49" t="n"/>
      <c r="G34" s="49" t="n"/>
      <c r="H34" s="47" t="inlineStr">
        <is>
          <t>Po Issued to V-Link</t>
        </is>
      </c>
      <c r="I34" t="inlineStr">
        <is>
          <t>Thermal Camera (FLIR)</t>
        </is>
      </c>
    </row>
    <row r="35" ht="18" customHeight="1">
      <c r="A35" s="46" t="n"/>
      <c r="B35" t="inlineStr">
        <is>
          <t>GLOG-60027/26-1</t>
        </is>
      </c>
      <c r="C35" t="inlineStr">
        <is>
          <t>Service: LNG OPERATION MANUAL Development</t>
        </is>
      </c>
      <c r="D35" s="48" t="n"/>
      <c r="E35" s="48" t="n"/>
      <c r="F35" s="49" t="n"/>
      <c r="G35" s="49" t="n"/>
      <c r="H35" s="47" t="n"/>
      <c r="I35" t="inlineStr">
        <is>
          <t>LNG Operation Manual</t>
        </is>
      </c>
    </row>
    <row r="36" ht="18" customHeight="1">
      <c r="A36" s="46" t="n">
        <v>19</v>
      </c>
      <c r="B36" s="50" t="n"/>
      <c r="C36" s="50" t="inlineStr">
        <is>
          <t>Citadel VHF/GPS and UHF ANTENNA system</t>
        </is>
      </c>
      <c r="D36" s="51" t="n"/>
      <c r="E36" s="51" t="n"/>
      <c r="F36" s="52" t="n"/>
      <c r="G36" s="52" t="n"/>
      <c r="H36" s="50" t="inlineStr">
        <is>
          <t>Po 000030180276 Dummy Po raised as Vendor not enlisted in Jibe</t>
        </is>
      </c>
      <c r="I36" t="inlineStr">
        <is>
          <t>Citadel VHF/GPS/UHF System</t>
        </is>
      </c>
    </row>
    <row r="37" ht="18" customHeight="1">
      <c r="A37" s="46" t="n">
        <v>20</v>
      </c>
      <c r="B37" s="47" t="n"/>
      <c r="C37" s="47" t="inlineStr">
        <is>
          <t>PCTC Loose Fittings Procurement</t>
        </is>
      </c>
      <c r="D37" s="48" t="n"/>
      <c r="E37" s="48" t="n"/>
      <c r="F37" s="49" t="n"/>
      <c r="G37" s="49" t="n"/>
      <c r="H37" s="47" t="inlineStr">
        <is>
          <t>Vendor to be enlisted in database</t>
        </is>
      </c>
      <c r="I37" t="inlineStr">
        <is>
          <t>RO-RO Equipment - Loose Fittings</t>
        </is>
      </c>
    </row>
    <row r="38" ht="18" customHeight="1">
      <c r="A38" s="46" t="n">
        <v>21</v>
      </c>
      <c r="B38" s="50" t="n"/>
      <c r="C38" s="50" t="inlineStr">
        <is>
          <t>Buyer Supply - 10,800 PCTC Citadel VHF/GPS and UHF ANTENNA system</t>
        </is>
      </c>
      <c r="D38" s="51" t="n"/>
      <c r="E38" s="51" t="n"/>
      <c r="F38" s="52" t="n"/>
      <c r="G38" s="52" t="n"/>
      <c r="H38" s="50" t="inlineStr">
        <is>
          <t>Dummy Po 000030180276 created as Vendor not in Jibe</t>
        </is>
      </c>
      <c r="I38" t="inlineStr">
        <is>
          <t>Citadel VHF/GPS/UHF System</t>
        </is>
      </c>
    </row>
    <row r="39" ht="18" customHeight="1">
      <c r="A39" s="46" t="n">
        <v>22</v>
      </c>
      <c r="B39" s="50" t="n"/>
      <c r="C39" s="50" t="inlineStr">
        <is>
          <t>Impa Stores Stationery</t>
        </is>
      </c>
      <c r="D39" s="51" t="n"/>
      <c r="E39" s="51" t="n"/>
      <c r="F39" s="52" t="n"/>
      <c r="G39" s="52" t="n"/>
      <c r="H39" s="50" t="n"/>
      <c r="I39" t="inlineStr">
        <is>
          <t>IMPA Stores - Stationery</t>
        </is>
      </c>
    </row>
    <row r="40" ht="18" customHeight="1">
      <c r="A40" s="46" t="n">
        <v>23</v>
      </c>
      <c r="B40" s="47" t="n"/>
      <c r="C40" s="47" t="inlineStr">
        <is>
          <t>Impa Stores - SOPEP</t>
        </is>
      </c>
      <c r="D40" s="48" t="n"/>
      <c r="E40" s="48" t="n"/>
      <c r="F40" s="49" t="n"/>
      <c r="G40" s="49" t="n"/>
      <c r="H40" s="47" t="n"/>
      <c r="I40" t="inlineStr">
        <is>
          <t>IMPA Stores - SOPEP</t>
        </is>
      </c>
    </row>
    <row r="41" ht="18" customHeight="1">
      <c r="A41" s="46" t="n">
        <v>24</v>
      </c>
      <c r="B41" s="50" t="n"/>
      <c r="C41" s="50" t="inlineStr">
        <is>
          <t>Impa Stores - Deck</t>
        </is>
      </c>
      <c r="D41" s="51" t="n"/>
      <c r="E41" s="51" t="n"/>
      <c r="F41" s="52" t="n"/>
      <c r="G41" s="52" t="n"/>
      <c r="H41" s="50" t="n"/>
      <c r="I41" t="inlineStr">
        <is>
          <t>IMPA Stores - Deck</t>
        </is>
      </c>
    </row>
    <row r="42" ht="18" customHeight="1">
      <c r="A42" s="46" t="n">
        <v>25</v>
      </c>
      <c r="B42" s="47" t="n"/>
      <c r="C42" s="47" t="inlineStr">
        <is>
          <t>Impa Stores - Bridge</t>
        </is>
      </c>
      <c r="D42" s="48" t="n"/>
      <c r="E42" s="48" t="n"/>
      <c r="F42" s="49" t="n"/>
      <c r="G42" s="49" t="n"/>
      <c r="H42" s="47" t="n"/>
      <c r="I42" t="inlineStr">
        <is>
          <t>IMPA Stores - Bridge</t>
        </is>
      </c>
    </row>
    <row r="43" ht="18" customHeight="1">
      <c r="A43" s="46" t="n">
        <v>26</v>
      </c>
      <c r="B43" s="50" t="n"/>
      <c r="C43" s="50" t="inlineStr">
        <is>
          <t>Impa Stores - Gym</t>
        </is>
      </c>
      <c r="D43" s="51" t="n"/>
      <c r="E43" s="51" t="n"/>
      <c r="F43" s="52" t="n"/>
      <c r="G43" s="52" t="n"/>
      <c r="H43" s="50" t="n"/>
      <c r="I43" t="inlineStr">
        <is>
          <t>IMPA Stores - Gym</t>
        </is>
      </c>
    </row>
    <row r="44" ht="18" customHeight="1">
      <c r="A44" s="46" t="n">
        <v>27</v>
      </c>
      <c r="B44" s="47" t="n"/>
      <c r="C44" s="47" t="inlineStr">
        <is>
          <t>Impa Stores - Crew</t>
        </is>
      </c>
      <c r="D44" s="48" t="n"/>
      <c r="E44" s="48" t="n"/>
      <c r="F44" s="49" t="n"/>
      <c r="G44" s="49" t="n"/>
      <c r="H44" s="47" t="n"/>
      <c r="I44" t="inlineStr">
        <is>
          <t>IMPA Stores - Crew</t>
        </is>
      </c>
    </row>
    <row r="45" ht="18" customHeight="1">
      <c r="A45" s="46" t="n">
        <v>28</v>
      </c>
      <c r="B45" s="50" t="n"/>
      <c r="C45" s="50" t="inlineStr">
        <is>
          <t>Impa Stores - FFE</t>
        </is>
      </c>
      <c r="D45" s="51" t="n"/>
      <c r="E45" s="51" t="n"/>
      <c r="F45" s="52" t="n"/>
      <c r="G45" s="52" t="n"/>
      <c r="H45" s="50" t="n"/>
      <c r="I45" t="inlineStr">
        <is>
          <t>IMPA Stores - FFE</t>
        </is>
      </c>
    </row>
    <row r="46" ht="18" customHeight="1">
      <c r="A46" s="46" t="n">
        <v>29</v>
      </c>
      <c r="B46" s="47" t="n"/>
      <c r="C46" s="47" t="inlineStr">
        <is>
          <t>Impa Stores - Company Stationery</t>
        </is>
      </c>
      <c r="D46" s="48" t="n"/>
      <c r="E46" s="48" t="n"/>
      <c r="F46" s="49" t="n"/>
      <c r="G46" s="49" t="n"/>
      <c r="H46" s="47" t="n"/>
      <c r="I46" t="inlineStr">
        <is>
          <t>IMPA Stores - Company Stationery</t>
        </is>
      </c>
    </row>
    <row r="47" ht="18" customHeight="1">
      <c r="A47" s="46" t="n">
        <v>30</v>
      </c>
      <c r="B47" s="50" t="n"/>
      <c r="C47" s="50" t="inlineStr">
        <is>
          <t>Impa Stores - BA Compressor</t>
        </is>
      </c>
      <c r="D47" s="51" t="n"/>
      <c r="E47" s="51" t="n"/>
      <c r="F47" s="52" t="n"/>
      <c r="G47" s="52" t="n"/>
      <c r="H47" s="50" t="n"/>
      <c r="I47" t="inlineStr">
        <is>
          <t>IMPA Stores - BA Compressor</t>
        </is>
      </c>
    </row>
    <row r="48" ht="18" customHeight="1">
      <c r="A48" s="46" t="n">
        <v>31</v>
      </c>
      <c r="B48" s="47" t="n"/>
      <c r="C48" s="47" t="inlineStr">
        <is>
          <t>Impa Stores - ACC</t>
        </is>
      </c>
      <c r="D48" s="48" t="n"/>
      <c r="E48" s="48" t="n"/>
      <c r="F48" s="49" t="n"/>
      <c r="G48" s="49" t="n"/>
      <c r="H48" s="47" t="n"/>
      <c r="I48" t="inlineStr">
        <is>
          <t>IMPA Stores - Accommodation</t>
        </is>
      </c>
    </row>
    <row r="49" ht="18" customHeight="1">
      <c r="A49" s="46" t="n">
        <v>32</v>
      </c>
      <c r="B49" s="50" t="n"/>
      <c r="C49" s="50" t="inlineStr">
        <is>
          <t>Impa Stores - Galley</t>
        </is>
      </c>
      <c r="D49" s="51" t="n"/>
      <c r="E49" s="51" t="n"/>
      <c r="F49" s="52" t="n"/>
      <c r="G49" s="52" t="n"/>
      <c r="H49" s="50" t="n"/>
      <c r="I49" t="inlineStr">
        <is>
          <t>IMPA Stores - Galley</t>
        </is>
      </c>
    </row>
    <row r="50" ht="18" customHeight="1">
      <c r="A50" s="46" t="n">
        <v>33</v>
      </c>
      <c r="B50" s="47" t="n"/>
      <c r="C50" s="47" t="inlineStr">
        <is>
          <t>Impa Stores - Engine</t>
        </is>
      </c>
      <c r="D50" s="48" t="n"/>
      <c r="E50" s="48" t="n"/>
      <c r="F50" s="49" t="n"/>
      <c r="G50" s="49" t="n"/>
      <c r="H50" s="47" t="n"/>
      <c r="I50" t="inlineStr">
        <is>
          <t>IMPA Stores - Engine</t>
        </is>
      </c>
    </row>
    <row r="51" ht="18" customHeight="1">
      <c r="A51" s="46" t="n">
        <v>34</v>
      </c>
      <c r="B51" s="50" t="n"/>
      <c r="C51" s="50" t="inlineStr">
        <is>
          <t>Impa Stores - Engine</t>
        </is>
      </c>
      <c r="D51" s="51" t="n"/>
      <c r="E51" s="51" t="n"/>
      <c r="F51" s="52" t="n"/>
      <c r="G51" s="52" t="n"/>
      <c r="H51" s="50" t="n"/>
      <c r="I51" t="inlineStr">
        <is>
          <t>IMPA Stores - Engine</t>
        </is>
      </c>
    </row>
    <row r="52" ht="18" customHeight="1">
      <c r="A52" s="46" t="n">
        <v>35</v>
      </c>
      <c r="B52" s="47" t="n"/>
      <c r="C52" s="47" t="inlineStr">
        <is>
          <t>Impa Stores - Engine</t>
        </is>
      </c>
      <c r="D52" s="48" t="n"/>
      <c r="E52" s="48" t="n"/>
      <c r="F52" s="49" t="n"/>
      <c r="G52" s="49" t="n"/>
      <c r="H52" s="47" t="n"/>
      <c r="I52" t="inlineStr">
        <is>
          <t>IMPA Stores - Engine</t>
        </is>
      </c>
    </row>
    <row r="53" ht="18" customHeight="1">
      <c r="A53" s="46" t="n">
        <v>36</v>
      </c>
      <c r="B53" s="50" t="n"/>
      <c r="C53" s="50" t="inlineStr">
        <is>
          <t>Impa Stores - Engine</t>
        </is>
      </c>
      <c r="D53" s="51" t="n"/>
      <c r="E53" s="51" t="n"/>
      <c r="F53" s="52" t="n"/>
      <c r="G53" s="52" t="n"/>
      <c r="H53" s="50" t="n"/>
      <c r="I53" t="inlineStr">
        <is>
          <t>IMPA Stores - Engine</t>
        </is>
      </c>
    </row>
    <row r="54" ht="18" customHeight="1">
      <c r="A54" s="46" t="n">
        <v>37</v>
      </c>
      <c r="B54" s="47" t="n"/>
      <c r="C54" s="47" t="inlineStr">
        <is>
          <t>Impa Stores - Electric</t>
        </is>
      </c>
      <c r="D54" s="48" t="n"/>
      <c r="E54" s="48" t="n"/>
      <c r="F54" s="49" t="n"/>
      <c r="G54" s="49" t="n"/>
      <c r="H54" s="47" t="n"/>
      <c r="I54" t="inlineStr">
        <is>
          <t>IMPA Stores - Electric</t>
        </is>
      </c>
    </row>
    <row r="55" ht="18" customHeight="1">
      <c r="A55" s="46" t="n">
        <v>38</v>
      </c>
      <c r="B55" s="50" t="n"/>
      <c r="C55" s="50" t="inlineStr">
        <is>
          <t>Impa Stores - Instrumenation</t>
        </is>
      </c>
      <c r="D55" s="51" t="n"/>
      <c r="E55" s="51" t="n"/>
      <c r="F55" s="52" t="n"/>
      <c r="G55" s="52" t="n"/>
      <c r="H55" s="50" t="n"/>
      <c r="I55" t="inlineStr">
        <is>
          <t>IMPA Stores - Instrumentation</t>
        </is>
      </c>
    </row>
    <row r="56" ht="18" customHeight="1">
      <c r="A56" s="46" t="n">
        <v>39</v>
      </c>
      <c r="B56" s="47" t="inlineStr">
        <is>
          <t>GLOG-60028/26</t>
        </is>
      </c>
      <c r="C56" s="47" t="inlineStr">
        <is>
          <t>Ultrasonic Cleaning system - 230V</t>
        </is>
      </c>
      <c r="D56" s="48" t="inlineStr">
        <is>
          <t>Stores</t>
        </is>
      </c>
      <c r="E56" s="48" t="inlineStr">
        <is>
          <t>Pending Approval</t>
        </is>
      </c>
      <c r="F56" s="49" t="n"/>
      <c r="G56" s="49" t="n"/>
      <c r="H56" s="47" t="inlineStr">
        <is>
          <t>To be Approved</t>
        </is>
      </c>
      <c r="I56" t="inlineStr">
        <is>
          <t>Ultrasonic Cleaner</t>
        </is>
      </c>
    </row>
    <row r="57" ht="18" customHeight="1">
      <c r="A57" s="46" t="n">
        <v>40</v>
      </c>
      <c r="B57" s="50" t="inlineStr">
        <is>
          <t>GLOG-60029/26</t>
        </is>
      </c>
      <c r="C57" s="50" t="inlineStr">
        <is>
          <t>OPA 90 KIT - 12-barrel kit</t>
        </is>
      </c>
      <c r="D57" s="51" t="inlineStr">
        <is>
          <t>Stores</t>
        </is>
      </c>
      <c r="E57" s="51" t="inlineStr">
        <is>
          <t>Pending Approval</t>
        </is>
      </c>
      <c r="F57" s="52" t="n"/>
      <c r="G57" s="52" t="n"/>
      <c r="H57" s="50" t="inlineStr">
        <is>
          <t>To be Approved</t>
        </is>
      </c>
      <c r="I57" t="inlineStr">
        <is>
          <t>OPA 90 Kit</t>
        </is>
      </c>
    </row>
    <row r="58" ht="18" customHeight="1">
      <c r="A58" s="46" t="n">
        <v>41</v>
      </c>
      <c r="B58" s="47" t="inlineStr">
        <is>
          <t>GLOG-60030/26</t>
        </is>
      </c>
      <c r="C58" s="47" t="inlineStr">
        <is>
          <t>H.P machine - 2pcs (prefer Branded - Karcher/ KEW)</t>
        </is>
      </c>
      <c r="D58" s="48" t="inlineStr">
        <is>
          <t>Stores</t>
        </is>
      </c>
      <c r="E58" s="48" t="inlineStr">
        <is>
          <t>Pending Approval</t>
        </is>
      </c>
      <c r="F58" s="49" t="n"/>
      <c r="G58" s="49" t="n"/>
      <c r="H58" s="47" t="inlineStr">
        <is>
          <t>To be Approved</t>
        </is>
      </c>
      <c r="I58" t="inlineStr">
        <is>
          <t>High Pressure Washer</t>
        </is>
      </c>
    </row>
    <row r="59" ht="18" customHeight="1">
      <c r="A59" s="46" t="n">
        <v>42</v>
      </c>
      <c r="B59" s="50" t="n"/>
      <c r="C59" s="50" t="inlineStr">
        <is>
          <t>2. LOTO Stickers</t>
        </is>
      </c>
      <c r="D59" s="51" t="n"/>
      <c r="E59" s="51" t="n"/>
      <c r="F59" s="52" t="n"/>
      <c r="G59" s="52" t="n"/>
      <c r="H59" s="50" t="n"/>
      <c r="I59" t="inlineStr">
        <is>
          <t>Safety &amp; PPE</t>
        </is>
      </c>
    </row>
    <row r="60" ht="18" customHeight="1">
      <c r="A60" s="46" t="n">
        <v>43</v>
      </c>
      <c r="B60" s="47" t="inlineStr">
        <is>
          <t>GLOG-60031/26</t>
        </is>
      </c>
      <c r="C60" s="47" t="inlineStr">
        <is>
          <t>3. Steam Splash Suit</t>
        </is>
      </c>
      <c r="D60" s="48" t="inlineStr">
        <is>
          <t>Stores</t>
        </is>
      </c>
      <c r="E60" s="48" t="inlineStr">
        <is>
          <t>Pending Approval</t>
        </is>
      </c>
      <c r="F60" s="49" t="n"/>
      <c r="G60" s="49" t="n"/>
      <c r="H60" s="47" t="inlineStr">
        <is>
          <t>To be Approved</t>
        </is>
      </c>
      <c r="I60" t="inlineStr">
        <is>
          <t>Steam Splash Suit</t>
        </is>
      </c>
    </row>
    <row r="61" ht="18" customHeight="1">
      <c r="A61" s="46" t="n">
        <v>44</v>
      </c>
      <c r="B61" s="50" t="n"/>
      <c r="C61" s="50" t="inlineStr">
        <is>
          <t>4. Chemical tags</t>
        </is>
      </c>
      <c r="D61" s="51" t="n"/>
      <c r="E61" s="51" t="n"/>
      <c r="F61" s="52" t="n"/>
      <c r="G61" s="52" t="n"/>
      <c r="H61" s="50" t="n"/>
      <c r="I61" t="inlineStr">
        <is>
          <t>Safety &amp; PPE</t>
        </is>
      </c>
    </row>
    <row r="62" ht="18" customHeight="1">
      <c r="A62" s="46" t="n">
        <v>45</v>
      </c>
      <c r="B62" s="47" t="n"/>
      <c r="C62" s="47" t="inlineStr">
        <is>
          <t>5. Trelleborg Safe lanes</t>
        </is>
      </c>
      <c r="D62" s="48" t="n"/>
      <c r="E62" s="48" t="n"/>
      <c r="F62" s="49" t="n"/>
      <c r="G62" s="49" t="n"/>
      <c r="H62" s="47" t="inlineStr">
        <is>
          <t>Delivered by Yard on Sws Vsl's</t>
        </is>
      </c>
      <c r="I62" t="inlineStr">
        <is>
          <t>Safety &amp; PPE</t>
        </is>
      </c>
    </row>
    <row r="63" ht="18" customHeight="1">
      <c r="A63" s="46" t="n">
        <v>46</v>
      </c>
      <c r="B63" t="inlineStr">
        <is>
          <t>GLOG-60023/26-1</t>
        </is>
      </c>
      <c r="C63" t="inlineStr">
        <is>
          <t>Pre Delivery - Seatab</t>
        </is>
      </c>
      <c r="D63" s="51" t="n"/>
      <c r="E63" s="51" t="n"/>
      <c r="F63" s="62" t="n">
        <v>46098</v>
      </c>
      <c r="G63" s="52" t="n"/>
      <c r="H63" s="50" t="n"/>
      <c r="I63" t="inlineStr">
        <is>
          <t>Seatab</t>
        </is>
      </c>
    </row>
    <row r="64" ht="18" customHeight="1">
      <c r="A64" s="46" t="n">
        <v>48</v>
      </c>
      <c r="B64" s="50" t="n"/>
      <c r="C64" s="50" t="inlineStr">
        <is>
          <t>8. Explosion Proof Camera</t>
        </is>
      </c>
      <c r="D64" s="51" t="n"/>
      <c r="E64" s="51" t="n"/>
      <c r="F64" s="52" t="n"/>
      <c r="G64" s="52" t="n"/>
      <c r="H64" s="50" t="n"/>
      <c r="I64" t="inlineStr">
        <is>
          <t>Thermal Camera (FLIR)</t>
        </is>
      </c>
    </row>
    <row r="65" ht="18" customHeight="1">
      <c r="A65" s="46" t="n">
        <v>50</v>
      </c>
      <c r="B65" s="50" t="n"/>
      <c r="C65" s="50" t="inlineStr">
        <is>
          <t>10. Temperature &amp; Pressure Calibrators</t>
        </is>
      </c>
      <c r="D65" s="51" t="n"/>
      <c r="E65" s="51" t="n"/>
      <c r="F65" s="52" t="n"/>
      <c r="G65" s="52" t="n"/>
      <c r="H65" s="50" t="n"/>
      <c r="I65" t="inlineStr">
        <is>
          <t>Temperature Calibrators</t>
        </is>
      </c>
    </row>
    <row r="66" ht="18" customHeight="1">
      <c r="A66" s="46" t="n">
        <v>51</v>
      </c>
      <c r="B66" s="47" t="n"/>
      <c r="C66" s="47" t="inlineStr">
        <is>
          <t>11. VISWA Line Samplers</t>
        </is>
      </c>
      <c r="D66" s="48" t="n"/>
      <c r="E66" s="48" t="n"/>
      <c r="F66" s="49" t="n"/>
      <c r="G66" s="49" t="n"/>
      <c r="H66" s="47" t="n"/>
      <c r="I66" t="inlineStr">
        <is>
          <t>VISWA Line Samplers</t>
        </is>
      </c>
    </row>
    <row r="67" ht="18" customHeight="1">
      <c r="A67" s="46" t="n">
        <v>52</v>
      </c>
      <c r="B67" s="50" t="n"/>
      <c r="C67" s="50" t="inlineStr">
        <is>
          <t xml:space="preserve">12. Standard Chinese stationery </t>
        </is>
      </c>
      <c r="D67" s="51" t="n"/>
      <c r="E67" s="51" t="n"/>
      <c r="F67" s="52" t="n"/>
      <c r="G67" s="52" t="n"/>
      <c r="H67" s="50" t="n"/>
      <c r="I67" t="inlineStr">
        <is>
          <t>IMPA Stores - Stationery</t>
        </is>
      </c>
    </row>
    <row r="68" ht="18" customHeight="1">
      <c r="A68" s="46" t="n">
        <v>53</v>
      </c>
      <c r="B68" s="47" t="n"/>
      <c r="C68" s="47" t="inlineStr">
        <is>
          <t>13. Air driven HP Pump - For hydraulic nuts for M/E - From Dan Marine or VLINK</t>
        </is>
      </c>
      <c r="D68" s="48" t="n"/>
      <c r="E68" s="48" t="n"/>
      <c r="F68" s="49" t="n"/>
      <c r="G68" s="49" t="n"/>
      <c r="H68" s="47" t="n"/>
      <c r="I68" t="inlineStr">
        <is>
          <t>High Pressure Washer</t>
        </is>
      </c>
    </row>
    <row r="69" ht="18" customHeight="1">
      <c r="A69" s="46" t="n">
        <v>54</v>
      </c>
      <c r="B69" s="50" t="n"/>
      <c r="C69" s="50" t="inlineStr">
        <is>
          <t>Chemical</t>
        </is>
      </c>
      <c r="D69" s="51" t="n"/>
      <c r="E69" s="51" t="n"/>
      <c r="F69" s="52" t="n"/>
      <c r="G69" s="52" t="n"/>
      <c r="H69" s="50" t="n"/>
      <c r="I69" t="inlineStr">
        <is>
          <t>Maintenance Chemicals</t>
        </is>
      </c>
    </row>
    <row r="70" ht="18" customHeight="1">
      <c r="A70" s="46" t="n">
        <v>55</v>
      </c>
      <c r="B70" s="47" t="n"/>
      <c r="C70" s="47" t="inlineStr">
        <is>
          <t>Mooring Rope</t>
        </is>
      </c>
      <c r="D70" s="48" t="n"/>
      <c r="E70" s="48" t="n"/>
      <c r="F70" s="49" t="n"/>
      <c r="G70" s="49" t="n"/>
      <c r="H70" s="47" t="n"/>
      <c r="I70" t="inlineStr">
        <is>
          <t>Mooring Ropes</t>
        </is>
      </c>
    </row>
    <row r="71" ht="18" customHeight="1">
      <c r="A71" s="46" t="n">
        <v>56</v>
      </c>
      <c r="B71" s="50" t="n"/>
      <c r="C71" s="50" t="inlineStr">
        <is>
          <t>UHF Radio</t>
        </is>
      </c>
      <c r="D71" s="51" t="n"/>
      <c r="E71" s="51" t="n"/>
      <c r="F71" s="52" t="n"/>
      <c r="G71" s="52" t="n"/>
      <c r="H71" s="50" t="n"/>
      <c r="I71" t="inlineStr">
        <is>
          <t>UHF Radio</t>
        </is>
      </c>
    </row>
    <row r="72" ht="18" customHeight="1">
      <c r="A72" s="46" t="n">
        <v>57</v>
      </c>
      <c r="B72" s="47" t="n"/>
      <c r="C72" s="47" t="inlineStr">
        <is>
          <t xml:space="preserve">Soot </t>
        </is>
      </c>
      <c r="D72" s="48" t="n"/>
      <c r="E72" s="48" t="n"/>
      <c r="F72" s="49" t="n"/>
      <c r="G72" s="49" t="n"/>
      <c r="H72" s="47" t="n"/>
      <c r="I72" t="inlineStr">
        <is>
          <t>Shipyard / Miscellaneous</t>
        </is>
      </c>
    </row>
    <row r="73" ht="18" customHeight="1">
      <c r="A73" s="46" t="n">
        <v>58</v>
      </c>
      <c r="B73" s="50" t="n"/>
      <c r="C73" s="50" t="inlineStr">
        <is>
          <t>Garbage Refrigerator</t>
        </is>
      </c>
      <c r="D73" s="51" t="n"/>
      <c r="E73" s="51" t="n"/>
      <c r="F73" s="52" t="n"/>
      <c r="G73" s="52" t="n"/>
      <c r="H73" s="50" t="n"/>
      <c r="I73" t="inlineStr">
        <is>
          <t>Shipyard / Miscellaneous</t>
        </is>
      </c>
    </row>
    <row r="74" ht="18" customHeight="1">
      <c r="A74" s="46" t="n">
        <v>59</v>
      </c>
      <c r="B74" s="47" t="n"/>
      <c r="C74" s="47" t="inlineStr">
        <is>
          <t>DF Tools</t>
        </is>
      </c>
      <c r="D74" s="48" t="n"/>
      <c r="E74" s="48" t="n"/>
      <c r="F74" s="49" t="n"/>
      <c r="G74" s="49" t="n"/>
      <c r="H74" s="47" t="n"/>
      <c r="I74" t="inlineStr">
        <is>
          <t>Dual Fuel Tools</t>
        </is>
      </c>
    </row>
    <row r="75" ht="18" customHeight="1">
      <c r="A75" s="46" t="n">
        <v>60</v>
      </c>
      <c r="B75" s="50" t="n"/>
      <c r="C75" s="50" t="inlineStr">
        <is>
          <t>UHF Antenna</t>
        </is>
      </c>
      <c r="D75" s="51" t="n"/>
      <c r="E75" s="51" t="n"/>
      <c r="F75" s="52" t="n"/>
      <c r="G75" s="52" t="n"/>
      <c r="H75" s="50" t="n"/>
      <c r="I75" t="inlineStr">
        <is>
          <t>UHF Radio</t>
        </is>
      </c>
    </row>
    <row r="76" ht="18" customHeight="1">
      <c r="A76" s="46" t="n">
        <v>62</v>
      </c>
      <c r="B76" s="50" t="n"/>
      <c r="C76" s="50" t="inlineStr">
        <is>
          <t>Citadel Items</t>
        </is>
      </c>
      <c r="D76" s="51" t="n"/>
      <c r="E76" s="51" t="n"/>
      <c r="F76" s="52" t="n"/>
      <c r="G76" s="52" t="n"/>
      <c r="H76" s="50" t="n"/>
      <c r="I76" t="inlineStr">
        <is>
          <t>Citadel VHF/GPS/UHF System</t>
        </is>
      </c>
    </row>
    <row r="77" ht="18" customHeight="1">
      <c r="A77" s="46" t="n">
        <v>63</v>
      </c>
      <c r="B77" s="47" t="n"/>
      <c r="C77" s="47" t="inlineStr">
        <is>
          <t>Stanchions</t>
        </is>
      </c>
      <c r="D77" s="48" t="n"/>
      <c r="E77" s="48" t="n"/>
      <c r="F77" s="49" t="n"/>
      <c r="G77" s="49" t="n"/>
      <c r="H77" s="47" t="n"/>
      <c r="I77" t="inlineStr">
        <is>
          <t>Shipyard / Miscellaneous</t>
        </is>
      </c>
    </row>
    <row r="78" ht="18" customHeight="1">
      <c r="A78" s="46" t="n">
        <v>64</v>
      </c>
      <c r="B78" s="50" t="n"/>
      <c r="C78" s="50" t="inlineStr">
        <is>
          <t xml:space="preserve">Main Engine  </t>
        </is>
      </c>
      <c r="D78" s="51" t="n"/>
      <c r="E78" s="51" t="n"/>
      <c r="F78" s="52" t="n"/>
      <c r="G78" s="52" t="n"/>
      <c r="H78" s="50" t="n"/>
      <c r="I78" t="inlineStr">
        <is>
          <t>Engine Spares - Main Engine</t>
        </is>
      </c>
    </row>
    <row r="79" ht="18" customHeight="1">
      <c r="A79" s="46" t="n">
        <v>65</v>
      </c>
      <c r="B79" s="47" t="n"/>
      <c r="C79" s="47" t="inlineStr">
        <is>
          <t xml:space="preserve"> Aux. Engine</t>
        </is>
      </c>
      <c r="D79" s="48" t="n"/>
      <c r="E79" s="48" t="n"/>
      <c r="F79" s="49" t="n"/>
      <c r="G79" s="49" t="n"/>
      <c r="H79" s="47" t="n"/>
      <c r="I79" t="inlineStr">
        <is>
          <t>Engine Spares - Auxiliary Engine</t>
        </is>
      </c>
    </row>
    <row r="80" ht="18" customHeight="1">
      <c r="A80" s="46" t="n">
        <v>66</v>
      </c>
      <c r="B80" s="50" t="n"/>
      <c r="C80" s="50" t="inlineStr">
        <is>
          <t>RO-RO Equipment (Main &amp; Centre Ramp spares + inner Ramp spares)</t>
        </is>
      </c>
      <c r="D80" s="51" t="n"/>
      <c r="E80" s="51" t="n"/>
      <c r="F80" s="52" t="n"/>
      <c r="G80" s="52" t="n"/>
      <c r="H80" s="50" t="n"/>
      <c r="I80" t="inlineStr">
        <is>
          <t>RO-RO Equipment - Spares</t>
        </is>
      </c>
    </row>
    <row r="81" ht="18" customHeight="1">
      <c r="A81" s="46" t="n">
        <v>67</v>
      </c>
      <c r="B81" s="47" t="n"/>
      <c r="C81" s="47" t="inlineStr">
        <is>
          <t>HP Pump Skid</t>
        </is>
      </c>
      <c r="D81" s="48" t="n"/>
      <c r="E81" s="48" t="n"/>
      <c r="F81" s="49" t="n"/>
      <c r="G81" s="49" t="n"/>
      <c r="H81" s="47" t="n"/>
      <c r="I81" t="inlineStr">
        <is>
          <t>High Pressure Washer</t>
        </is>
      </c>
    </row>
    <row r="82" ht="18" customHeight="1">
      <c r="A82" s="46" t="n">
        <v>69</v>
      </c>
      <c r="B82" s="47" t="n"/>
      <c r="C82" s="47" t="inlineStr">
        <is>
          <t>Nitrogen Generator</t>
        </is>
      </c>
      <c r="D82" s="48" t="n"/>
      <c r="E82" s="48" t="n"/>
      <c r="F82" s="49" t="n"/>
      <c r="G82" s="49" t="n"/>
      <c r="H82" s="47" t="n"/>
      <c r="I82" t="inlineStr">
        <is>
          <t>Nitrogen Generator</t>
        </is>
      </c>
    </row>
    <row r="83" ht="18" customHeight="1">
      <c r="A83" s="46" t="n">
        <v>70</v>
      </c>
      <c r="B83" s="50" t="n"/>
      <c r="C83" s="50" t="n"/>
      <c r="D83" s="51" t="n"/>
      <c r="E83" s="51" t="n"/>
      <c r="F83" s="52" t="n"/>
      <c r="G83" s="52" t="n"/>
      <c r="H83" s="50" t="n"/>
    </row>
    <row r="84" ht="18" customHeight="1">
      <c r="A84" s="46" t="n">
        <v>71</v>
      </c>
      <c r="B84" s="47" t="n"/>
      <c r="C84" s="47" t="inlineStr">
        <is>
          <t xml:space="preserve">RSC Lube oil - qty </t>
        </is>
      </c>
      <c r="D84" s="48" t="n"/>
      <c r="E84" s="48" t="n"/>
      <c r="F84" s="49" t="n"/>
      <c r="G84" s="49" t="n"/>
      <c r="H84" s="47" t="n"/>
      <c r="I84" t="inlineStr">
        <is>
          <t>Lubricants</t>
        </is>
      </c>
    </row>
    <row r="85" ht="18" customHeight="1">
      <c r="A85" s="46" t="n">
        <v>72</v>
      </c>
      <c r="B85" s="50" t="n"/>
      <c r="C85" s="50" t="inlineStr">
        <is>
          <t xml:space="preserve">QC DC </t>
        </is>
      </c>
      <c r="D85" s="51" t="n"/>
      <c r="E85" s="51" t="n"/>
      <c r="F85" s="52" t="n"/>
      <c r="G85" s="52" t="n"/>
      <c r="H85" s="50" t="n"/>
      <c r="I85" t="inlineStr">
        <is>
          <t>QCDC</t>
        </is>
      </c>
    </row>
    <row r="86" ht="18" customHeight="1">
      <c r="A86" s="46" t="n">
        <v>73</v>
      </c>
      <c r="B86" s="47" t="n"/>
      <c r="C86" s="47" t="inlineStr">
        <is>
          <t>Manuals for all equipment- priority for BWTS, STP, OWS, EMGCY AC, EMCY GEN</t>
        </is>
      </c>
      <c r="D86" s="48" t="n"/>
      <c r="E86" s="48" t="n"/>
      <c r="F86" s="49" t="n"/>
      <c r="G86" s="49" t="n"/>
      <c r="H86" s="47" t="n"/>
      <c r="I86" t="inlineStr">
        <is>
          <t>Publications &amp; Manuals</t>
        </is>
      </c>
    </row>
    <row r="87" ht="18" customHeight="1">
      <c r="A87" s="46" t="n">
        <v>74</v>
      </c>
      <c r="B87" s="50" t="n"/>
      <c r="C87" s="50" t="inlineStr">
        <is>
          <t>Domestic refrigerators 200 litres for rec rooms to be added to stores supplies</t>
        </is>
      </c>
      <c r="D87" s="51" t="n"/>
      <c r="E87" s="51" t="n"/>
      <c r="F87" s="52" t="n"/>
      <c r="G87" s="52" t="n"/>
      <c r="H87" s="50" t="n"/>
      <c r="I87" t="inlineStr">
        <is>
          <t>Crew Care &amp; Provisions</t>
        </is>
      </c>
    </row>
    <row r="88" ht="18" customHeight="1">
      <c r="A88" s="46" t="n">
        <v>75</v>
      </c>
      <c r="B88" s="47" t="n"/>
      <c r="C88" s="47" t="inlineStr">
        <is>
          <t>Breathing air compressor</t>
        </is>
      </c>
      <c r="D88" s="48" t="n"/>
      <c r="E88" s="48" t="n"/>
      <c r="F88" s="49" t="n"/>
      <c r="G88" s="49" t="n"/>
      <c r="H88" s="47" t="n"/>
      <c r="I88" t="inlineStr">
        <is>
          <t>IMPA Stores - BA Compressor</t>
        </is>
      </c>
    </row>
    <row r="89" ht="18" customHeight="1">
      <c r="A89" s="46" t="n">
        <v>76</v>
      </c>
      <c r="B89" s="50" t="n"/>
      <c r="C89" s="50" t="inlineStr">
        <is>
          <t>ozone sterliser</t>
        </is>
      </c>
      <c r="D89" s="51" t="n"/>
      <c r="E89" s="51" t="n"/>
      <c r="F89" s="52" t="n"/>
      <c r="G89" s="52" t="n"/>
      <c r="H89" s="50" t="n"/>
      <c r="I89" t="inlineStr">
        <is>
          <t>Shipyard / Miscellaneous</t>
        </is>
      </c>
    </row>
    <row r="90" ht="18" customHeight="1">
      <c r="A90" s="46" t="n">
        <v>77</v>
      </c>
      <c r="B90" s="47" t="n"/>
      <c r="C90" s="47" t="inlineStr">
        <is>
          <t>suez light</t>
        </is>
      </c>
      <c r="D90" s="48" t="n"/>
      <c r="E90" s="48" t="n"/>
      <c r="F90" s="49" t="n"/>
      <c r="G90" s="49" t="n"/>
      <c r="H90" s="47" t="n"/>
      <c r="I90" t="inlineStr">
        <is>
          <t>Shipyard / Miscellaneous</t>
        </is>
      </c>
    </row>
    <row r="91" ht="18" customHeight="1">
      <c r="A91" s="46" t="n">
        <v>78</v>
      </c>
      <c r="B91" s="50" t="n"/>
      <c r="C91" s="50" t="inlineStr">
        <is>
          <t>Item no 11, loose equipment for emergency operation of roro equipment</t>
        </is>
      </c>
      <c r="D91" s="51" t="n"/>
      <c r="E91" s="51" t="n"/>
      <c r="F91" s="52" t="n"/>
      <c r="G91" s="52" t="n"/>
      <c r="H91" s="50" t="n"/>
      <c r="I91" t="inlineStr">
        <is>
          <t>RO-RO Equipment - Loose Fittings</t>
        </is>
      </c>
    </row>
    <row r="92" ht="18" customHeight="1">
      <c r="A92" s="46" t="n">
        <v>79</v>
      </c>
      <c r="B92" s="47" t="n"/>
      <c r="C92" s="47" t="inlineStr">
        <is>
          <t>Reefer cable and plugs extensions</t>
        </is>
      </c>
      <c r="D92" s="48" t="n"/>
      <c r="E92" s="48" t="n"/>
      <c r="F92" s="49" t="n"/>
      <c r="G92" s="49" t="n"/>
      <c r="H92" s="47" t="n"/>
      <c r="I92" t="inlineStr">
        <is>
          <t>Refrigerant Equipment</t>
        </is>
      </c>
    </row>
    <row r="93" ht="18" customHeight="1">
      <c r="A93" s="46" t="n">
        <v>80</v>
      </c>
      <c r="B93" s="50" t="n"/>
      <c r="C93" s="50" t="inlineStr">
        <is>
          <t xml:space="preserve">Manual chain blocks </t>
        </is>
      </c>
      <c r="D93" s="51" t="n"/>
      <c r="E93" s="51" t="n"/>
      <c r="F93" s="52" t="n"/>
      <c r="G93" s="52" t="n"/>
      <c r="H93" s="50" t="n"/>
      <c r="I93" t="inlineStr">
        <is>
          <t>Shipyard / Miscellaneous</t>
        </is>
      </c>
    </row>
    <row r="94" ht="18" customHeight="1">
      <c r="A94" s="46" t="n">
        <v>81</v>
      </c>
      <c r="B94" s="47" t="n"/>
      <c r="C94" s="47" t="inlineStr">
        <is>
          <t>Glycol</t>
        </is>
      </c>
      <c r="D94" s="48" t="n"/>
      <c r="E94" s="48" t="n"/>
      <c r="F94" s="49" t="n"/>
      <c r="G94" s="49" t="n"/>
      <c r="H94" s="47" t="n"/>
      <c r="I94" t="inlineStr">
        <is>
          <t>Lubricants</t>
        </is>
      </c>
    </row>
    <row r="95" ht="18" customHeight="1">
      <c r="A95" s="46" t="n">
        <v>82</v>
      </c>
      <c r="B95" s="50" t="inlineStr">
        <is>
          <t>GLOG-60035/26</t>
        </is>
      </c>
      <c r="C95" s="50" t="inlineStr">
        <is>
          <t>Gas meters</t>
        </is>
      </c>
      <c r="D95" s="51" t="n"/>
      <c r="E95" s="51" t="n"/>
      <c r="F95" s="52" t="n"/>
      <c r="G95" s="52" t="n"/>
      <c r="H95" s="50" t="n"/>
      <c r="I95" t="inlineStr">
        <is>
          <t>Gas Meters</t>
        </is>
      </c>
    </row>
    <row r="96" ht="18" customHeight="1">
      <c r="A96" s="46" t="n">
        <v>83</v>
      </c>
      <c r="B96" s="47" t="n"/>
      <c r="C96" s="47" t="inlineStr">
        <is>
          <t>Welding machine in Workshop 440 v</t>
        </is>
      </c>
      <c r="D96" s="48" t="n"/>
      <c r="E96" s="48" t="n"/>
      <c r="F96" s="49" t="n"/>
      <c r="G96" s="49" t="n"/>
      <c r="H96" s="47" t="n"/>
      <c r="I96" t="inlineStr">
        <is>
          <t>Welding Equipment</t>
        </is>
      </c>
    </row>
    <row r="97" ht="18" customHeight="1">
      <c r="A97" s="46" t="n">
        <v>84</v>
      </c>
      <c r="B97" s="50" t="n"/>
      <c r="C97" s="50" t="inlineStr">
        <is>
          <t>Service Car and Forlift</t>
        </is>
      </c>
      <c r="D97" s="51" t="n"/>
      <c r="E97" s="51" t="n"/>
      <c r="F97" s="52" t="n"/>
      <c r="G97" s="52" t="n"/>
      <c r="H97" s="50" t="n"/>
      <c r="I97" t="inlineStr">
        <is>
          <t>Shipyard / Miscellaneous</t>
        </is>
      </c>
    </row>
    <row r="98" ht="18" customHeight="1">
      <c r="A98" s="46" t="n">
        <v>85</v>
      </c>
      <c r="B98" s="47" t="n"/>
      <c r="C98" s="47" t="n"/>
      <c r="D98" s="48" t="n"/>
      <c r="E98" s="48" t="n"/>
      <c r="F98" s="49" t="n"/>
      <c r="G98" s="49" t="n"/>
      <c r="H98" s="47" t="n"/>
    </row>
    <row r="99" ht="18" customHeight="1">
      <c r="A99" s="46" t="n">
        <v>86</v>
      </c>
      <c r="B99" s="50" t="n"/>
      <c r="C99" s="50" t="n"/>
      <c r="D99" s="51" t="n"/>
      <c r="E99" s="51" t="n"/>
      <c r="F99" s="52" t="n"/>
      <c r="G99" s="52" t="n"/>
      <c r="H99" s="50" t="n"/>
    </row>
    <row r="100" ht="18" customHeight="1">
      <c r="A100" s="46" t="n">
        <v>87</v>
      </c>
      <c r="B100" s="47" t="n"/>
      <c r="C100" s="47" t="n"/>
      <c r="D100" s="48" t="n"/>
      <c r="E100" s="48" t="n"/>
      <c r="F100" s="49" t="n"/>
      <c r="G100" s="49" t="n"/>
      <c r="H100" s="47" t="n"/>
    </row>
    <row r="101" ht="18" customHeight="1">
      <c r="A101" s="46" t="n">
        <v>88</v>
      </c>
      <c r="B101" s="50" t="n"/>
      <c r="C101" s="50" t="n"/>
      <c r="D101" s="51" t="n"/>
      <c r="E101" s="51" t="n"/>
      <c r="F101" s="52" t="n"/>
      <c r="G101" s="52" t="n"/>
      <c r="H101" s="50" t="n"/>
    </row>
    <row r="102" ht="18" customHeight="1">
      <c r="A102" s="46" t="n">
        <v>89</v>
      </c>
      <c r="B102" s="47" t="n"/>
      <c r="C102" s="47" t="n"/>
      <c r="D102" s="48" t="n"/>
      <c r="E102" s="48" t="n"/>
      <c r="F102" s="49" t="n"/>
      <c r="G102" s="49" t="n"/>
      <c r="H102" s="47" t="n"/>
    </row>
    <row r="103" ht="18" customHeight="1">
      <c r="A103" s="46" t="n">
        <v>90</v>
      </c>
      <c r="B103" s="50" t="n"/>
      <c r="C103" s="50" t="n"/>
      <c r="D103" s="51" t="n"/>
      <c r="E103" s="51" t="n"/>
      <c r="F103" s="52" t="n"/>
      <c r="G103" s="52" t="n"/>
      <c r="H103" s="50" t="n"/>
    </row>
    <row r="104" ht="18" customHeight="1">
      <c r="A104" s="46" t="n">
        <v>91</v>
      </c>
      <c r="B104" s="47" t="n"/>
      <c r="C104" s="47" t="n"/>
      <c r="D104" s="48" t="n"/>
      <c r="E104" s="48" t="n"/>
      <c r="F104" s="49" t="n"/>
      <c r="G104" s="49" t="n"/>
      <c r="H104" s="47" t="n"/>
    </row>
    <row r="105" ht="18" customHeight="1">
      <c r="A105" s="46" t="n">
        <v>92</v>
      </c>
      <c r="B105" s="50" t="n"/>
      <c r="C105" s="50" t="n"/>
      <c r="D105" s="51" t="n"/>
      <c r="E105" s="51" t="n"/>
      <c r="F105" s="52" t="n"/>
      <c r="G105" s="52" t="n"/>
      <c r="H105" s="50" t="n"/>
    </row>
    <row r="106" ht="18" customHeight="1">
      <c r="A106" s="46" t="n">
        <v>93</v>
      </c>
      <c r="B106" s="47" t="n"/>
      <c r="C106" s="47" t="n"/>
      <c r="D106" s="48" t="n"/>
      <c r="E106" s="48" t="n"/>
      <c r="F106" s="49" t="n"/>
      <c r="G106" s="49" t="n"/>
      <c r="H106" s="47" t="n"/>
    </row>
    <row r="107" ht="18" customHeight="1">
      <c r="A107" s="46" t="n">
        <v>94</v>
      </c>
      <c r="B107" s="50" t="n"/>
      <c r="C107" s="50" t="n"/>
      <c r="D107" s="51" t="n"/>
      <c r="E107" s="51" t="n"/>
      <c r="F107" s="52" t="n"/>
      <c r="G107" s="52" t="n"/>
      <c r="H107" s="50" t="n"/>
    </row>
    <row r="108" ht="18" customHeight="1">
      <c r="A108" s="46" t="n">
        <v>95</v>
      </c>
      <c r="B108" s="47" t="n"/>
      <c r="C108" s="47" t="n"/>
      <c r="D108" s="48" t="n"/>
      <c r="E108" s="48" t="n"/>
      <c r="F108" s="49" t="n"/>
      <c r="G108" s="49" t="n"/>
      <c r="H108" s="47" t="n"/>
    </row>
    <row r="109" ht="18" customHeight="1">
      <c r="A109" s="46" t="n">
        <v>96</v>
      </c>
      <c r="B109" s="50" t="n"/>
      <c r="C109" s="50" t="n"/>
      <c r="D109" s="51" t="n"/>
      <c r="E109" s="51" t="n"/>
      <c r="F109" s="52" t="n"/>
      <c r="G109" s="52" t="n"/>
      <c r="H109" s="50" t="n"/>
    </row>
    <row r="110" ht="18" customHeight="1">
      <c r="A110" s="46" t="n">
        <v>97</v>
      </c>
      <c r="B110" s="47" t="n"/>
      <c r="C110" s="47" t="n"/>
      <c r="D110" s="48" t="n"/>
      <c r="E110" s="48" t="n"/>
      <c r="F110" s="49" t="n"/>
      <c r="G110" s="49" t="n"/>
      <c r="H110" s="47" t="n"/>
    </row>
    <row r="111" ht="18" customHeight="1">
      <c r="A111" s="46" t="n">
        <v>98</v>
      </c>
      <c r="B111" s="50" t="n"/>
      <c r="C111" s="50" t="n"/>
      <c r="D111" s="51" t="n"/>
      <c r="E111" s="51" t="n"/>
      <c r="F111" s="52" t="n"/>
      <c r="G111" s="52" t="n"/>
      <c r="H111" s="50" t="n"/>
    </row>
    <row r="112" ht="18" customHeight="1">
      <c r="A112" s="46" t="n">
        <v>99</v>
      </c>
      <c r="B112" s="47" t="n"/>
      <c r="C112" s="47" t="n"/>
      <c r="D112" s="48" t="n"/>
      <c r="E112" s="48" t="n"/>
      <c r="F112" s="49" t="n"/>
      <c r="G112" s="49" t="n"/>
      <c r="H112" s="47" t="n"/>
    </row>
    <row r="113" ht="18" customHeight="1">
      <c r="A113" s="46" t="n">
        <v>100</v>
      </c>
      <c r="B113" s="50" t="n"/>
      <c r="C113" s="50" t="n"/>
      <c r="D113" s="51" t="n"/>
      <c r="E113" s="51" t="n"/>
      <c r="F113" s="52" t="n"/>
      <c r="G113" s="52" t="n"/>
      <c r="H113" s="50" t="n"/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zoomScale="70" zoomScaleNormal="70" workbookViewId="0">
      <pane ySplit="10" topLeftCell="A76" activePane="bottomLeft" state="frozen"/>
      <selection pane="bottomLeft" activeCell="C90" sqref="C90"/>
    </sheetView>
  </sheetViews>
  <sheetFormatPr baseColWidth="8" defaultColWidth="8.5703125" defaultRowHeight="15"/>
  <cols>
    <col width="3.85546875" bestFit="1" customWidth="1" min="1" max="1"/>
    <col width="17.42578125" customWidth="1" min="2" max="2"/>
    <col width="79.42578125" bestFit="1" customWidth="1" min="3" max="3"/>
    <col width="8.7109375" bestFit="1" customWidth="1" min="4" max="4"/>
    <col width="14.85546875" bestFit="1" customWidth="1" min="5" max="5"/>
    <col width="13.140625" bestFit="1" customWidth="1" min="6" max="6"/>
    <col width="12.5703125" bestFit="1" customWidth="1" min="7" max="7"/>
    <col width="38.7109375" bestFit="1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Loyal</t>
        </is>
      </c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COUNTIF(E11:E111,"Not Created")</f>
        <v/>
      </c>
      <c r="B7" s="29">
        <f>COUNTIF(E11:E111,"To Be Created")</f>
        <v/>
      </c>
      <c r="C7" s="29">
        <f>COUNTIF(E11:E111,"Pending Approval")</f>
        <v/>
      </c>
      <c r="D7" s="29">
        <f>COUNTIF(E11:E111,"Approved &amp; Issued")</f>
        <v/>
      </c>
      <c r="E7" s="29">
        <f>COUNTIF(E11:E111,"Pending Delivery")</f>
        <v/>
      </c>
      <c r="F7" s="29">
        <f>COUNTIF(E11:E111,"Delivered")</f>
        <v/>
      </c>
      <c r="G7" s="29">
        <f>COUNTA(B11:B111)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  <c r="I10" t="inlineStr">
        <is>
          <t>PO Name Standardized</t>
        </is>
      </c>
    </row>
    <row r="11" ht="18" customHeight="1">
      <c r="A11" s="46" t="n">
        <v>6</v>
      </c>
      <c r="B11" s="50" t="inlineStr">
        <is>
          <t>GLOY-60001/26-1</t>
        </is>
      </c>
      <c r="C11" s="50" t="inlineStr">
        <is>
          <t>Shipyard Extra Owner supply - Captains Eye</t>
        </is>
      </c>
      <c r="D11" s="51" t="n"/>
      <c r="E11" s="51" t="n"/>
      <c r="F11" s="52" t="inlineStr">
        <is>
          <t>15-01-2026</t>
        </is>
      </c>
      <c r="G11" s="52" t="n"/>
      <c r="H11" s="50" t="n"/>
      <c r="I11" t="inlineStr">
        <is>
          <t>Navigation - Captains Eye</t>
        </is>
      </c>
    </row>
    <row r="12" ht="18" customHeight="1">
      <c r="A12" s="46" t="n">
        <v>2</v>
      </c>
      <c r="B12" s="50" t="inlineStr">
        <is>
          <t>GLOY-60002/26-1</t>
        </is>
      </c>
      <c r="C12" s="50" t="inlineStr">
        <is>
          <t>FS-KVH-SWS-LOYAL</t>
        </is>
      </c>
      <c r="D12" s="51" t="inlineStr">
        <is>
          <t>Others</t>
        </is>
      </c>
      <c r="E12" s="51" t="inlineStr">
        <is>
          <t>Pending Delivery</t>
        </is>
      </c>
      <c r="F12" s="52" t="inlineStr">
        <is>
          <t>26-01-2026</t>
        </is>
      </c>
      <c r="G12" s="52" t="n"/>
      <c r="H12" s="50" t="inlineStr">
        <is>
          <t>IT Po</t>
        </is>
      </c>
      <c r="I12" t="inlineStr">
        <is>
          <t>Communications - VSAT (KVH)</t>
        </is>
      </c>
    </row>
    <row r="13" ht="18" customHeight="1">
      <c r="A13" s="46" t="n">
        <v>7</v>
      </c>
      <c r="B13" s="47" t="inlineStr">
        <is>
          <t>GLOY-60004/26-1</t>
        </is>
      </c>
      <c r="C13" s="47" t="inlineStr">
        <is>
          <t>FS-AST-LOYOL</t>
        </is>
      </c>
      <c r="D13" s="48" t="n"/>
      <c r="E13" s="48" t="n"/>
      <c r="F13" s="49" t="inlineStr">
        <is>
          <t>27-01-2026</t>
        </is>
      </c>
      <c r="G13" s="49" t="n"/>
      <c r="H13" s="47" t="n"/>
      <c r="I13" t="inlineStr">
        <is>
          <t>Lubricants</t>
        </is>
      </c>
    </row>
    <row r="14" ht="18" customHeight="1">
      <c r="A14" s="46" t="n">
        <v>8</v>
      </c>
      <c r="B14" s="50" t="inlineStr">
        <is>
          <t>GLOY-60005/26-1</t>
        </is>
      </c>
      <c r="C14" s="50" t="inlineStr">
        <is>
          <t>FS-ITBP  -LOYAL</t>
        </is>
      </c>
      <c r="D14" s="51" t="n"/>
      <c r="E14" s="51" t="n"/>
      <c r="F14" s="52" t="inlineStr">
        <is>
          <t>27-01-2026</t>
        </is>
      </c>
      <c r="G14" s="52" t="n"/>
      <c r="H14" s="50" t="n"/>
      <c r="I14" t="inlineStr">
        <is>
          <t>IT Equipment - ITBP</t>
        </is>
      </c>
    </row>
    <row r="15" ht="18" customHeight="1">
      <c r="A15" s="46" t="n">
        <v>9</v>
      </c>
      <c r="B15" s="47" t="inlineStr">
        <is>
          <t>GLOY-60006/26-1</t>
        </is>
      </c>
      <c r="C15" s="47" t="inlineStr">
        <is>
          <t>SHIPYARD EXTRA OWNER SUPLPY - 10800 CEU LNG PCTC _x0013_ Consilium SMiG Integration</t>
        </is>
      </c>
      <c r="D15" s="48" t="n"/>
      <c r="E15" s="48" t="n"/>
      <c r="F15" s="49" t="inlineStr">
        <is>
          <t>12-02-2026</t>
        </is>
      </c>
      <c r="G15" s="49" t="n"/>
      <c r="H15" s="47" t="n"/>
      <c r="I15" t="inlineStr">
        <is>
          <t>Safety Integration - SMiG</t>
        </is>
      </c>
    </row>
    <row r="16" ht="18" customHeight="1">
      <c r="A16" s="46" t="n">
        <v>13</v>
      </c>
      <c r="B16" s="47" t="inlineStr">
        <is>
          <t>GLOY-60007/26-1</t>
        </is>
      </c>
      <c r="C16" s="47" t="inlineStr">
        <is>
          <t>FS-LENOVO-Loyal</t>
        </is>
      </c>
      <c r="D16" s="48" t="n"/>
      <c r="E16" s="48" t="n"/>
      <c r="F16" s="49" t="inlineStr">
        <is>
          <t>13-02-2026</t>
        </is>
      </c>
      <c r="G16" s="49" t="n"/>
      <c r="H16" s="47" t="n"/>
      <c r="I16" t="inlineStr">
        <is>
          <t>IT Equipment - Computers (Lenovo)</t>
        </is>
      </c>
    </row>
    <row r="17" ht="18" customHeight="1">
      <c r="A17" s="46" t="n">
        <v>16</v>
      </c>
      <c r="B17" s="50" t="inlineStr">
        <is>
          <t>GLOY-60008/26-1</t>
        </is>
      </c>
      <c r="C17" s="50" t="inlineStr">
        <is>
          <t>Reliability Spares - 10,8K CEU SWS - GVT- Eltronic</t>
        </is>
      </c>
      <c r="D17" s="51" t="n"/>
      <c r="E17" s="51" t="n"/>
      <c r="F17" s="52" t="inlineStr">
        <is>
          <t>03-03-2026</t>
        </is>
      </c>
      <c r="G17" s="52" t="n"/>
      <c r="H17" s="50" t="n"/>
      <c r="I17" t="inlineStr">
        <is>
          <t>Boiler Spares</t>
        </is>
      </c>
    </row>
    <row r="18" ht="18" customHeight="1">
      <c r="A18" s="46" t="n">
        <v>5</v>
      </c>
      <c r="B18" s="47" t="inlineStr">
        <is>
          <t>GLOY-60009/26-1</t>
        </is>
      </c>
      <c r="C18" s="47" t="inlineStr">
        <is>
          <t>Shipyard Extra Buyers Supply - Hinas SVM SEASPAN 10.8K PCTC</t>
        </is>
      </c>
      <c r="D18" s="48" t="inlineStr">
        <is>
          <t>Spares</t>
        </is>
      </c>
      <c r="E18" s="48" t="inlineStr">
        <is>
          <t>Pending Delivery</t>
        </is>
      </c>
      <c r="F18" s="49" t="inlineStr">
        <is>
          <t>17-02-2026</t>
        </is>
      </c>
      <c r="G18" s="49" t="n"/>
      <c r="H18" s="47" t="inlineStr">
        <is>
          <t>Seyi to advsie Email Id's of Avikus</t>
        </is>
      </c>
      <c r="I18" t="inlineStr">
        <is>
          <t>Navigation - HiNAS SVM</t>
        </is>
      </c>
    </row>
    <row r="19" ht="18" customHeight="1">
      <c r="A19" s="46" t="n">
        <v>12</v>
      </c>
      <c r="B19" s="50" t="inlineStr">
        <is>
          <t>GLOY-60010/26-1</t>
        </is>
      </c>
      <c r="C19" s="50" t="inlineStr">
        <is>
          <t>FS-VLINK CABLE</t>
        </is>
      </c>
      <c r="D19" s="51" t="n"/>
      <c r="E19" s="51" t="n"/>
      <c r="F19" s="52" t="inlineStr">
        <is>
          <t>11-02-2026</t>
        </is>
      </c>
      <c r="G19" s="52" t="n"/>
      <c r="H19" s="50" t="n"/>
      <c r="I19" t="inlineStr">
        <is>
          <t>Communications - VLINK</t>
        </is>
      </c>
    </row>
    <row r="20" ht="18" customHeight="1">
      <c r="A20" s="46" t="n">
        <v>14</v>
      </c>
      <c r="B20" s="50" t="inlineStr">
        <is>
          <t>GLOY-60012/26-1</t>
        </is>
      </c>
      <c r="C20" s="50" t="inlineStr">
        <is>
          <t>FS-ITBP CABLES</t>
        </is>
      </c>
      <c r="D20" s="51" t="n"/>
      <c r="E20" s="51" t="n"/>
      <c r="F20" s="52" t="inlineStr">
        <is>
          <t>18-02-2026</t>
        </is>
      </c>
      <c r="G20" s="52" t="n"/>
      <c r="H20" s="50" t="n"/>
      <c r="I20" t="inlineStr">
        <is>
          <t>IT Equipment - ITBP Cables</t>
        </is>
      </c>
    </row>
    <row r="21" ht="18" customHeight="1">
      <c r="A21" s="46" t="n">
        <v>10</v>
      </c>
      <c r="B21" s="50" t="inlineStr">
        <is>
          <t>GLOY-60013/26-1</t>
        </is>
      </c>
      <c r="C21" s="50" t="inlineStr">
        <is>
          <t>FS-ITBP Additional Item</t>
        </is>
      </c>
      <c r="D21" s="51" t="n"/>
      <c r="E21" s="51" t="n"/>
      <c r="F21" s="52" t="inlineStr">
        <is>
          <t>19-02-2026</t>
        </is>
      </c>
      <c r="G21" s="52" t="n"/>
      <c r="H21" s="50" t="n"/>
      <c r="I21" t="inlineStr">
        <is>
          <t>IT Equipment - ITBP Additional Items</t>
        </is>
      </c>
    </row>
    <row r="22" ht="18" customHeight="1">
      <c r="A22" s="46" t="n">
        <v>1</v>
      </c>
      <c r="B22" s="47" t="inlineStr">
        <is>
          <t>GLOY-60014/26-1</t>
        </is>
      </c>
      <c r="C22" s="47" t="inlineStr">
        <is>
          <t>FS-ITBP MISC LAB KIT</t>
        </is>
      </c>
      <c r="D22" s="48" t="inlineStr">
        <is>
          <t>Others</t>
        </is>
      </c>
      <c r="E22" s="48" t="inlineStr">
        <is>
          <t>Pending Delivery</t>
        </is>
      </c>
      <c r="F22" s="49" t="inlineStr">
        <is>
          <t>24-02-2026</t>
        </is>
      </c>
      <c r="G22" s="49" t="n"/>
      <c r="H22" s="47" t="inlineStr">
        <is>
          <t>IT Po</t>
        </is>
      </c>
      <c r="I22" t="inlineStr">
        <is>
          <t>IT Equipment - ITBP Lab Kit</t>
        </is>
      </c>
    </row>
    <row r="23" ht="18" customHeight="1">
      <c r="A23" s="46" t="n">
        <v>3</v>
      </c>
      <c r="B23" s="47" t="inlineStr">
        <is>
          <t>GLOY-60016/26</t>
        </is>
      </c>
      <c r="C23" s="47" t="inlineStr">
        <is>
          <t>Reliability Spares - PCTC-Seaspan - Boilers QUOT26012103</t>
        </is>
      </c>
      <c r="D23" s="48" t="inlineStr">
        <is>
          <t>Spares</t>
        </is>
      </c>
      <c r="E23" s="48" t="inlineStr">
        <is>
          <t>Pending Approval</t>
        </is>
      </c>
      <c r="F23" s="49" t="inlineStr">
        <is>
          <t>25-02-2026</t>
        </is>
      </c>
      <c r="G23" s="49" t="n"/>
      <c r="H23" s="47" t="inlineStr">
        <is>
          <t>Po to be Approved</t>
        </is>
      </c>
      <c r="I23" t="inlineStr">
        <is>
          <t>Boiler Spares</t>
        </is>
      </c>
    </row>
    <row r="24" ht="18" customHeight="1">
      <c r="A24" s="46" t="n">
        <v>11</v>
      </c>
      <c r="B24" s="47" t="inlineStr">
        <is>
          <t>GLOY-60017/26-1</t>
        </is>
      </c>
      <c r="C24" s="47" t="inlineStr">
        <is>
          <t>PD - RSC Envirologic</t>
        </is>
      </c>
      <c r="D24" s="48" t="n"/>
      <c r="E24" s="48" t="n"/>
      <c r="F24" s="49" t="n"/>
      <c r="G24" s="49" t="n"/>
      <c r="H24" s="47" t="n"/>
      <c r="I24" t="inlineStr">
        <is>
          <t>Lubricants</t>
        </is>
      </c>
    </row>
    <row r="25" ht="18" customHeight="1">
      <c r="A25" s="46" t="n">
        <v>17</v>
      </c>
      <c r="B25" s="47" t="inlineStr">
        <is>
          <t>GLOY-60018/26-1</t>
        </is>
      </c>
      <c r="C25" s="47" t="inlineStr">
        <is>
          <t>Reliabiltiy Spares - Gas Detection System</t>
        </is>
      </c>
      <c r="D25" s="48" t="n"/>
      <c r="E25" s="48" t="n"/>
      <c r="F25" s="49" t="inlineStr">
        <is>
          <t>06-03-2026</t>
        </is>
      </c>
      <c r="G25" s="49" t="n"/>
      <c r="H25" s="47" t="n"/>
      <c r="I25" t="inlineStr">
        <is>
          <t>Gas Detection System</t>
        </is>
      </c>
    </row>
    <row r="26" ht="18" customHeight="1">
      <c r="A26" s="46" t="n">
        <v>4</v>
      </c>
      <c r="B26" s="50" t="inlineStr">
        <is>
          <t>GLOY-60019/26-1</t>
        </is>
      </c>
      <c r="C26" s="50" t="inlineStr">
        <is>
          <t>Reliability Spares - Fire detection system</t>
        </is>
      </c>
      <c r="D26" s="51" t="inlineStr">
        <is>
          <t>Spares</t>
        </is>
      </c>
      <c r="E26" s="51" t="inlineStr">
        <is>
          <t>Pending Delivery</t>
        </is>
      </c>
      <c r="F26" s="52" t="inlineStr">
        <is>
          <t>06-03-2026</t>
        </is>
      </c>
      <c r="G26" s="52" t="n"/>
      <c r="H26" s="50" t="inlineStr">
        <is>
          <t>To advise Shipping Instructions</t>
        </is>
      </c>
      <c r="I26" t="inlineStr">
        <is>
          <t>Fire Detection System</t>
        </is>
      </c>
    </row>
    <row r="27" ht="18" customHeight="1">
      <c r="A27" s="46" t="n">
        <v>15</v>
      </c>
      <c r="B27" s="47" t="inlineStr">
        <is>
          <t>GLOY-60020/26-1</t>
        </is>
      </c>
      <c r="C27" s="47" t="inlineStr">
        <is>
          <t>SHIPYARD EXTRA OWNER SUPPLY- Abanaki Skimmers</t>
        </is>
      </c>
      <c r="D27" s="48" t="inlineStr">
        <is>
          <t>Spares</t>
        </is>
      </c>
      <c r="E27" s="48" t="inlineStr">
        <is>
          <t>Pending Supplier Confirmation</t>
        </is>
      </c>
      <c r="F27" s="49" t="n">
        <v>46091</v>
      </c>
      <c r="G27" s="49" t="n"/>
      <c r="H27" s="47" t="inlineStr">
        <is>
          <t>Po to be created however shared to Supplier</t>
        </is>
      </c>
      <c r="I27" t="inlineStr">
        <is>
          <t>Oil Skimmers - Abanaki</t>
        </is>
      </c>
    </row>
    <row r="28" ht="18" customHeight="1">
      <c r="A28" s="46" t="n">
        <v>18</v>
      </c>
      <c r="B28" s="50" t="inlineStr">
        <is>
          <t>GLOY-60021/26-1</t>
        </is>
      </c>
      <c r="C28" s="50" t="inlineStr">
        <is>
          <t>Pre Delivery - Garbage Compactor</t>
        </is>
      </c>
      <c r="D28" s="48" t="inlineStr">
        <is>
          <t>Spares</t>
        </is>
      </c>
      <c r="E28" s="51" t="inlineStr">
        <is>
          <t>Pending Delivery</t>
        </is>
      </c>
      <c r="F28" s="52" t="n">
        <v>46094</v>
      </c>
      <c r="G28" s="52" t="n"/>
      <c r="H28" s="50" t="inlineStr">
        <is>
          <t>To be approved by VM</t>
        </is>
      </c>
      <c r="I28" t="inlineStr">
        <is>
          <t>Garbage Compactor</t>
        </is>
      </c>
    </row>
    <row r="29" ht="18" customHeight="1">
      <c r="A29" s="46" t="n">
        <v>46</v>
      </c>
      <c r="B29" s="50" t="inlineStr">
        <is>
          <t>GLOY-60022/26-1</t>
        </is>
      </c>
      <c r="C29" s="50" t="inlineStr">
        <is>
          <t>Pre Delivery - Cryogenic PPE</t>
        </is>
      </c>
      <c r="D29" s="51" t="inlineStr">
        <is>
          <t>Stores</t>
        </is>
      </c>
      <c r="E29" s="51" t="inlineStr">
        <is>
          <t>Pending Supplier Confirmation</t>
        </is>
      </c>
      <c r="F29" s="52" t="n">
        <v>46101</v>
      </c>
      <c r="G29" s="52" t="n"/>
      <c r="H29" s="50" t="inlineStr">
        <is>
          <t>Po to be Approved</t>
        </is>
      </c>
      <c r="I29" t="inlineStr">
        <is>
          <t>Cryogenic PPE</t>
        </is>
      </c>
    </row>
    <row r="30" ht="18" customHeight="1">
      <c r="A30" s="46" t="n">
        <v>58</v>
      </c>
      <c r="B30" s="50" t="inlineStr">
        <is>
          <t>GLOY-60024/26-1</t>
        </is>
      </c>
      <c r="C30" s="50" t="inlineStr">
        <is>
          <t>Pre Delivery - Sample Cooler</t>
        </is>
      </c>
      <c r="D30" s="51" t="inlineStr">
        <is>
          <t>Spares</t>
        </is>
      </c>
      <c r="E30" s="51" t="inlineStr">
        <is>
          <t>Pending Supplier Confirmation</t>
        </is>
      </c>
      <c r="F30" s="52" t="n">
        <v>46101</v>
      </c>
      <c r="G30" s="52" t="n"/>
      <c r="H30" s="50" t="inlineStr">
        <is>
          <t>Qty 2 Pcs</t>
        </is>
      </c>
      <c r="I30" t="inlineStr">
        <is>
          <t>Sample Cooler</t>
        </is>
      </c>
    </row>
    <row r="31" ht="18" customHeight="1">
      <c r="A31" s="46" t="n">
        <v>65</v>
      </c>
      <c r="B31" s="47" t="inlineStr">
        <is>
          <t>GLOY-60025/26-1</t>
        </is>
      </c>
      <c r="C31" s="47" t="inlineStr">
        <is>
          <t>Reliability - Donghwa Spares for BOG Compressor</t>
        </is>
      </c>
      <c r="D31" s="48" t="inlineStr">
        <is>
          <t>Spares</t>
        </is>
      </c>
      <c r="E31" s="48" t="inlineStr">
        <is>
          <t>Pending Supplier Confirmation</t>
        </is>
      </c>
      <c r="F31" s="49" t="n">
        <v>46111</v>
      </c>
      <c r="G31" s="49" t="n"/>
      <c r="H31" s="47" t="inlineStr">
        <is>
          <t>To be Approved</t>
        </is>
      </c>
      <c r="I31" t="inlineStr">
        <is>
          <t>BOG Compressor Spares</t>
        </is>
      </c>
    </row>
    <row r="32" ht="18" customHeight="1">
      <c r="A32" s="46" t="n">
        <v>44</v>
      </c>
      <c r="B32" s="50" t="inlineStr">
        <is>
          <t>GLOY-60026/26-1</t>
        </is>
      </c>
      <c r="C32" s="50" t="inlineStr">
        <is>
          <t>FLIR ESPro and E6 Pro</t>
        </is>
      </c>
      <c r="D32" s="51" t="inlineStr">
        <is>
          <t>Stores</t>
        </is>
      </c>
      <c r="E32" s="51" t="inlineStr">
        <is>
          <t>Pending Delivery</t>
        </is>
      </c>
      <c r="F32" s="52" t="n"/>
      <c r="G32" s="52" t="n"/>
      <c r="H32" s="50" t="inlineStr">
        <is>
          <t>Po issued on V-Link</t>
        </is>
      </c>
      <c r="I32" t="inlineStr">
        <is>
          <t>Thermal Camera (FLIR)</t>
        </is>
      </c>
    </row>
    <row r="33" ht="18" customHeight="1">
      <c r="A33" s="46" t="n"/>
      <c r="B33" t="inlineStr">
        <is>
          <t>GLOY-60027/26-1</t>
        </is>
      </c>
      <c r="C33" t="inlineStr">
        <is>
          <t>Service: LNG OPERATION MANUAL Development</t>
        </is>
      </c>
      <c r="D33" s="51" t="n"/>
      <c r="E33" s="51" t="n"/>
      <c r="F33" s="52" t="n"/>
      <c r="G33" s="52" t="n"/>
      <c r="H33" s="50" t="n"/>
      <c r="I33" t="inlineStr">
        <is>
          <t>LNG Operation Manual</t>
        </is>
      </c>
    </row>
    <row r="34" ht="18" customHeight="1">
      <c r="A34" s="46" t="n">
        <v>19</v>
      </c>
      <c r="B34" s="47" t="n"/>
      <c r="C34" s="47" t="inlineStr">
        <is>
          <t>Impa Stores Stationery</t>
        </is>
      </c>
      <c r="D34" s="48" t="n"/>
      <c r="E34" s="48" t="n"/>
      <c r="F34" s="49" t="n"/>
      <c r="G34" s="49" t="n"/>
      <c r="H34" s="47" t="n"/>
      <c r="I34" t="inlineStr">
        <is>
          <t>IMPA Stores - Stationery</t>
        </is>
      </c>
    </row>
    <row r="35" ht="18" customHeight="1">
      <c r="A35" s="46" t="n">
        <v>20</v>
      </c>
      <c r="B35" s="50" t="n"/>
      <c r="C35" s="50" t="inlineStr">
        <is>
          <t>Impa Stores - SOPEP</t>
        </is>
      </c>
      <c r="D35" s="51" t="n"/>
      <c r="E35" s="51" t="n"/>
      <c r="F35" s="52" t="n"/>
      <c r="G35" s="52" t="n"/>
      <c r="H35" s="50" t="n"/>
      <c r="I35" t="inlineStr">
        <is>
          <t>IMPA Stores - SOPEP</t>
        </is>
      </c>
    </row>
    <row r="36" ht="18" customHeight="1">
      <c r="A36" s="46" t="n">
        <v>21</v>
      </c>
      <c r="B36" s="47" t="n"/>
      <c r="C36" s="47" t="inlineStr">
        <is>
          <t>Impa Stores - Deck</t>
        </is>
      </c>
      <c r="D36" s="48" t="n"/>
      <c r="E36" s="48" t="n"/>
      <c r="F36" s="49" t="n"/>
      <c r="G36" s="49" t="n"/>
      <c r="H36" s="47" t="n"/>
      <c r="I36" t="inlineStr">
        <is>
          <t>IMPA Stores - Deck</t>
        </is>
      </c>
    </row>
    <row r="37" ht="18" customHeight="1">
      <c r="A37" s="46" t="n">
        <v>22</v>
      </c>
      <c r="B37" s="50" t="n"/>
      <c r="C37" s="50" t="inlineStr">
        <is>
          <t>Impa Stores - Bridge</t>
        </is>
      </c>
      <c r="D37" s="51" t="n"/>
      <c r="E37" s="51" t="n"/>
      <c r="F37" s="52" t="n"/>
      <c r="G37" s="52" t="n"/>
      <c r="H37" s="50" t="n"/>
      <c r="I37" t="inlineStr">
        <is>
          <t>IMPA Stores - Bridge</t>
        </is>
      </c>
    </row>
    <row r="38" ht="18" customHeight="1">
      <c r="A38" s="46" t="n">
        <v>23</v>
      </c>
      <c r="B38" s="47" t="n"/>
      <c r="C38" s="47" t="inlineStr">
        <is>
          <t>Impa Stores - Gym</t>
        </is>
      </c>
      <c r="D38" s="48" t="n"/>
      <c r="E38" s="48" t="n"/>
      <c r="F38" s="49" t="n"/>
      <c r="G38" s="49" t="n"/>
      <c r="H38" s="47" t="n"/>
      <c r="I38" t="inlineStr">
        <is>
          <t>IMPA Stores - Gym</t>
        </is>
      </c>
    </row>
    <row r="39" ht="18" customHeight="1">
      <c r="A39" s="46" t="n">
        <v>24</v>
      </c>
      <c r="B39" s="50" t="n"/>
      <c r="C39" s="50" t="inlineStr">
        <is>
          <t>Impa Stores - Crew</t>
        </is>
      </c>
      <c r="D39" s="51" t="n"/>
      <c r="E39" s="51" t="n"/>
      <c r="F39" s="52" t="n"/>
      <c r="G39" s="52" t="n"/>
      <c r="H39" s="50" t="n"/>
      <c r="I39" t="inlineStr">
        <is>
          <t>IMPA Stores - Crew</t>
        </is>
      </c>
    </row>
    <row r="40" ht="18" customHeight="1">
      <c r="A40" s="46" t="n">
        <v>25</v>
      </c>
      <c r="B40" s="47" t="n"/>
      <c r="C40" s="47" t="inlineStr">
        <is>
          <t>Impa Stores - FFE</t>
        </is>
      </c>
      <c r="D40" s="48" t="n"/>
      <c r="E40" s="48" t="n"/>
      <c r="F40" s="49" t="n"/>
      <c r="G40" s="49" t="n"/>
      <c r="H40" s="47" t="n"/>
      <c r="I40" t="inlineStr">
        <is>
          <t>IMPA Stores - FFE</t>
        </is>
      </c>
    </row>
    <row r="41" ht="18" customHeight="1">
      <c r="A41" s="46" t="n">
        <v>26</v>
      </c>
      <c r="B41" s="50" t="n"/>
      <c r="C41" s="50" t="inlineStr">
        <is>
          <t>Impa Stores - Company Stationery</t>
        </is>
      </c>
      <c r="D41" s="51" t="n"/>
      <c r="E41" s="51" t="n"/>
      <c r="F41" s="52" t="n"/>
      <c r="G41" s="52" t="n"/>
      <c r="H41" s="50" t="n"/>
      <c r="I41" t="inlineStr">
        <is>
          <t>IMPA Stores - Company Stationery</t>
        </is>
      </c>
    </row>
    <row r="42" ht="18" customHeight="1">
      <c r="A42" s="46" t="n">
        <v>27</v>
      </c>
      <c r="B42" s="47" t="n"/>
      <c r="C42" s="47" t="inlineStr">
        <is>
          <t>Impa Stores - BA Compressor</t>
        </is>
      </c>
      <c r="D42" s="48" t="n"/>
      <c r="E42" s="48" t="n"/>
      <c r="F42" s="49" t="n"/>
      <c r="G42" s="49" t="n"/>
      <c r="H42" s="47" t="n"/>
      <c r="I42" t="inlineStr">
        <is>
          <t>IMPA Stores - BA Compressor</t>
        </is>
      </c>
    </row>
    <row r="43" ht="18" customHeight="1">
      <c r="A43" s="46" t="n">
        <v>28</v>
      </c>
      <c r="B43" s="50" t="n"/>
      <c r="C43" s="50" t="inlineStr">
        <is>
          <t>Impa Stores - ACC</t>
        </is>
      </c>
      <c r="D43" s="51" t="n"/>
      <c r="E43" s="51" t="n"/>
      <c r="F43" s="52" t="n"/>
      <c r="G43" s="52" t="n"/>
      <c r="H43" s="50" t="n"/>
      <c r="I43" t="inlineStr">
        <is>
          <t>IMPA Stores - Accommodation</t>
        </is>
      </c>
    </row>
    <row r="44" ht="18" customHeight="1">
      <c r="A44" s="46" t="n">
        <v>29</v>
      </c>
      <c r="B44" s="47" t="n"/>
      <c r="C44" s="47" t="inlineStr">
        <is>
          <t>Impa Stores - Galley</t>
        </is>
      </c>
      <c r="D44" s="48" t="n"/>
      <c r="E44" s="48" t="n"/>
      <c r="F44" s="49" t="n"/>
      <c r="G44" s="49" t="n"/>
      <c r="H44" s="47" t="n"/>
      <c r="I44" t="inlineStr">
        <is>
          <t>IMPA Stores - Galley</t>
        </is>
      </c>
    </row>
    <row r="45" ht="18" customHeight="1">
      <c r="A45" s="46" t="n">
        <v>30</v>
      </c>
      <c r="B45" s="50" t="n"/>
      <c r="C45" s="50" t="inlineStr">
        <is>
          <t>Impa Stores - Engine</t>
        </is>
      </c>
      <c r="D45" s="51" t="n"/>
      <c r="E45" s="51" t="n"/>
      <c r="F45" s="52" t="n"/>
      <c r="G45" s="52" t="n"/>
      <c r="H45" s="50" t="n"/>
      <c r="I45" t="inlineStr">
        <is>
          <t>IMPA Stores - Engine</t>
        </is>
      </c>
    </row>
    <row r="46" ht="18" customHeight="1">
      <c r="A46" s="46" t="n">
        <v>31</v>
      </c>
      <c r="B46" s="47" t="n"/>
      <c r="C46" s="47" t="inlineStr">
        <is>
          <t>Impa Stores - Engine</t>
        </is>
      </c>
      <c r="D46" s="48" t="n"/>
      <c r="E46" s="48" t="n"/>
      <c r="F46" s="49" t="n"/>
      <c r="G46" s="49" t="n"/>
      <c r="H46" s="47" t="n"/>
      <c r="I46" t="inlineStr">
        <is>
          <t>IMPA Stores - Engine</t>
        </is>
      </c>
    </row>
    <row r="47" ht="18" customHeight="1">
      <c r="A47" s="46" t="n">
        <v>32</v>
      </c>
      <c r="B47" s="50" t="n"/>
      <c r="C47" s="50" t="inlineStr">
        <is>
          <t>Impa Stores - Engine</t>
        </is>
      </c>
      <c r="D47" s="51" t="n"/>
      <c r="E47" s="51" t="n"/>
      <c r="F47" s="52" t="n"/>
      <c r="G47" s="52" t="n"/>
      <c r="H47" s="50" t="n"/>
      <c r="I47" t="inlineStr">
        <is>
          <t>IMPA Stores - Engine</t>
        </is>
      </c>
    </row>
    <row r="48" ht="18" customHeight="1">
      <c r="A48" s="46" t="n">
        <v>33</v>
      </c>
      <c r="B48" s="47" t="n"/>
      <c r="C48" s="47" t="inlineStr">
        <is>
          <t>Impa Stores - Engine</t>
        </is>
      </c>
      <c r="D48" s="48" t="n"/>
      <c r="E48" s="48" t="n"/>
      <c r="F48" s="49" t="n"/>
      <c r="G48" s="49" t="n"/>
      <c r="H48" s="47" t="n"/>
      <c r="I48" t="inlineStr">
        <is>
          <t>IMPA Stores - Engine</t>
        </is>
      </c>
    </row>
    <row r="49" ht="18" customHeight="1">
      <c r="A49" s="46" t="n">
        <v>34</v>
      </c>
      <c r="B49" s="50" t="n"/>
      <c r="C49" s="50" t="inlineStr">
        <is>
          <t>Impa Stores - Electric</t>
        </is>
      </c>
      <c r="D49" s="51" t="n"/>
      <c r="E49" s="51" t="n"/>
      <c r="F49" s="52" t="n"/>
      <c r="G49" s="52" t="n"/>
      <c r="H49" s="50" t="n"/>
      <c r="I49" t="inlineStr">
        <is>
          <t>IMPA Stores - Electric</t>
        </is>
      </c>
    </row>
    <row r="50" ht="18" customHeight="1">
      <c r="A50" s="46" t="n">
        <v>35</v>
      </c>
      <c r="B50" s="47" t="n"/>
      <c r="C50" s="47" t="inlineStr">
        <is>
          <t>Impa Stores - Instrumenation</t>
        </is>
      </c>
      <c r="D50" s="48" t="n"/>
      <c r="E50" s="48" t="n"/>
      <c r="F50" s="49" t="n"/>
      <c r="G50" s="49" t="n"/>
      <c r="H50" s="47" t="n"/>
      <c r="I50" t="inlineStr">
        <is>
          <t>IMPA Stores - Instrumentation</t>
        </is>
      </c>
    </row>
    <row r="51" ht="18" customHeight="1">
      <c r="A51" s="46" t="n">
        <v>36</v>
      </c>
      <c r="B51" s="50" t="inlineStr">
        <is>
          <t>GLOY-60028/26</t>
        </is>
      </c>
      <c r="C51" s="50" t="inlineStr">
        <is>
          <t>Ultrasonic Cleaning system - 230V</t>
        </is>
      </c>
      <c r="D51" s="51" t="inlineStr">
        <is>
          <t>Stores</t>
        </is>
      </c>
      <c r="E51" s="51" t="inlineStr">
        <is>
          <t>Pending Approval</t>
        </is>
      </c>
      <c r="F51" s="52" t="n"/>
      <c r="G51" s="52" t="n"/>
      <c r="H51" s="50" t="inlineStr">
        <is>
          <t>To be Approved</t>
        </is>
      </c>
      <c r="I51" t="inlineStr">
        <is>
          <t>Ultrasonic Cleaner</t>
        </is>
      </c>
    </row>
    <row r="52" ht="18" customHeight="1">
      <c r="A52" s="46" t="n">
        <v>37</v>
      </c>
      <c r="B52" s="47" t="inlineStr">
        <is>
          <t>GLOY-60029/26</t>
        </is>
      </c>
      <c r="C52" s="47" t="inlineStr">
        <is>
          <t>OPA 90 KIT - 12-barrel kit</t>
        </is>
      </c>
      <c r="D52" s="48" t="inlineStr">
        <is>
          <t>Stores</t>
        </is>
      </c>
      <c r="E52" s="48" t="inlineStr">
        <is>
          <t>Pending Approval</t>
        </is>
      </c>
      <c r="F52" s="49" t="n"/>
      <c r="G52" s="49" t="n"/>
      <c r="H52" s="47" t="inlineStr">
        <is>
          <t>To be Approved</t>
        </is>
      </c>
      <c r="I52" t="inlineStr">
        <is>
          <t>OPA 90 Kit</t>
        </is>
      </c>
    </row>
    <row r="53" ht="18" customHeight="1">
      <c r="A53" s="46" t="n">
        <v>38</v>
      </c>
      <c r="B53" s="50" t="inlineStr">
        <is>
          <t>GLOY-60030/26</t>
        </is>
      </c>
      <c r="C53" s="50" t="inlineStr">
        <is>
          <t>H.P machine - 2pcs (prefer Branded - Karcher/ KEW)</t>
        </is>
      </c>
      <c r="D53" s="51" t="inlineStr">
        <is>
          <t>Stores</t>
        </is>
      </c>
      <c r="E53" s="51" t="inlineStr">
        <is>
          <t>Pending Approval</t>
        </is>
      </c>
      <c r="F53" s="52" t="n"/>
      <c r="G53" s="52" t="n"/>
      <c r="H53" s="50" t="inlineStr">
        <is>
          <t>To be Approved</t>
        </is>
      </c>
      <c r="I53" t="inlineStr">
        <is>
          <t>High Pressure Washer</t>
        </is>
      </c>
    </row>
    <row r="54" ht="18" customHeight="1">
      <c r="A54" s="46" t="n">
        <v>39</v>
      </c>
      <c r="B54" s="47" t="n"/>
      <c r="C54" s="47" t="inlineStr">
        <is>
          <t>2. LOTO Stickers</t>
        </is>
      </c>
      <c r="D54" s="48" t="n"/>
      <c r="E54" s="48" t="n"/>
      <c r="F54" s="49" t="n"/>
      <c r="G54" s="49" t="n"/>
      <c r="H54" s="47" t="n"/>
      <c r="I54" t="inlineStr">
        <is>
          <t>Safety &amp; PPE</t>
        </is>
      </c>
    </row>
    <row r="55" ht="18" customHeight="1">
      <c r="A55" s="46" t="n">
        <v>40</v>
      </c>
      <c r="B55" s="50" t="inlineStr">
        <is>
          <t>GLOY-60031/26</t>
        </is>
      </c>
      <c r="C55" s="50" t="inlineStr">
        <is>
          <t>3. Steam Splash Suit</t>
        </is>
      </c>
      <c r="D55" s="51" t="inlineStr">
        <is>
          <t>Stores</t>
        </is>
      </c>
      <c r="E55" s="51" t="inlineStr">
        <is>
          <t>Pending Approval</t>
        </is>
      </c>
      <c r="F55" s="52" t="n"/>
      <c r="G55" s="52" t="n"/>
      <c r="H55" s="50" t="inlineStr">
        <is>
          <t>To be Approved</t>
        </is>
      </c>
      <c r="I55" t="inlineStr">
        <is>
          <t>Steam Splash Suit</t>
        </is>
      </c>
    </row>
    <row r="56" ht="18" customHeight="1">
      <c r="A56" s="46" t="n">
        <v>41</v>
      </c>
      <c r="B56" s="47" t="n"/>
      <c r="C56" s="47" t="inlineStr">
        <is>
          <t>4. Chemical tags</t>
        </is>
      </c>
      <c r="D56" s="48" t="n"/>
      <c r="E56" s="48" t="n"/>
      <c r="F56" s="49" t="n"/>
      <c r="G56" s="49" t="n"/>
      <c r="H56" s="47" t="n"/>
      <c r="I56" t="inlineStr">
        <is>
          <t>Safety &amp; PPE</t>
        </is>
      </c>
    </row>
    <row r="57" ht="18" customHeight="1">
      <c r="A57" s="46" t="n">
        <v>42</v>
      </c>
      <c r="B57" s="50" t="n"/>
      <c r="C57" s="50" t="inlineStr">
        <is>
          <t>5. Trelleborg Safe lanes</t>
        </is>
      </c>
      <c r="D57" s="51" t="n"/>
      <c r="E57" s="51" t="n"/>
      <c r="F57" s="52" t="n"/>
      <c r="G57" s="52" t="n"/>
      <c r="H57" s="47" t="inlineStr">
        <is>
          <t>Delivered by Yard on Sws Vsl's</t>
        </is>
      </c>
      <c r="I57" t="inlineStr">
        <is>
          <t>Safety &amp; PPE</t>
        </is>
      </c>
    </row>
    <row r="58" ht="18" customHeight="1">
      <c r="A58" s="46" t="n">
        <v>43</v>
      </c>
      <c r="B58" t="inlineStr">
        <is>
          <t>GLOY-60023/26-1</t>
        </is>
      </c>
      <c r="C58" t="inlineStr">
        <is>
          <t>Pre Delivery - Seatab</t>
        </is>
      </c>
      <c r="D58" s="48" t="n"/>
      <c r="E58" s="48" t="n"/>
      <c r="F58" s="62" t="n">
        <v>46099</v>
      </c>
      <c r="G58" s="49" t="n"/>
      <c r="H58" s="47" t="n"/>
      <c r="I58" t="inlineStr">
        <is>
          <t>Seatab</t>
        </is>
      </c>
    </row>
    <row r="59" ht="18" customHeight="1">
      <c r="A59" s="46" t="n">
        <v>45</v>
      </c>
      <c r="B59" s="47" t="n"/>
      <c r="C59" s="47" t="inlineStr">
        <is>
          <t>8. Explosion Proof Camera</t>
        </is>
      </c>
      <c r="D59" s="48" t="n"/>
      <c r="E59" s="48" t="n"/>
      <c r="F59" s="49" t="n"/>
      <c r="G59" s="49" t="n"/>
      <c r="H59" s="47" t="n"/>
      <c r="I59" t="inlineStr">
        <is>
          <t>Thermal Camera (FLIR)</t>
        </is>
      </c>
    </row>
    <row r="60" ht="18" customHeight="1">
      <c r="A60" s="46" t="n">
        <v>47</v>
      </c>
      <c r="B60" s="47" t="n"/>
      <c r="C60" s="47" t="inlineStr">
        <is>
          <t>10. Temperature &amp; Pressure Calibrators</t>
        </is>
      </c>
      <c r="D60" s="48" t="n"/>
      <c r="E60" s="48" t="n"/>
      <c r="F60" s="49" t="n"/>
      <c r="G60" s="49" t="n"/>
      <c r="H60" s="47" t="n"/>
      <c r="I60" t="inlineStr">
        <is>
          <t>Temperature Calibrators</t>
        </is>
      </c>
    </row>
    <row r="61" ht="18" customHeight="1">
      <c r="A61" s="46" t="n">
        <v>48</v>
      </c>
      <c r="B61" s="50" t="n"/>
      <c r="C61" s="50" t="inlineStr">
        <is>
          <t>11. VISWA Line Samplers</t>
        </is>
      </c>
      <c r="D61" s="51" t="n"/>
      <c r="E61" s="51" t="n"/>
      <c r="F61" s="52" t="n"/>
      <c r="G61" s="52" t="n"/>
      <c r="H61" s="50" t="n"/>
      <c r="I61" t="inlineStr">
        <is>
          <t>VISWA Line Samplers</t>
        </is>
      </c>
    </row>
    <row r="62" ht="18" customHeight="1">
      <c r="A62" s="46" t="n">
        <v>49</v>
      </c>
      <c r="B62" s="47" t="n"/>
      <c r="C62" s="47" t="inlineStr">
        <is>
          <t xml:space="preserve">12. Standard Chinese stationery </t>
        </is>
      </c>
      <c r="D62" s="48" t="n"/>
      <c r="E62" s="48" t="n"/>
      <c r="F62" s="49" t="n"/>
      <c r="G62" s="49" t="n"/>
      <c r="H62" s="47" t="n"/>
      <c r="I62" t="inlineStr">
        <is>
          <t>IMPA Stores - Stationery</t>
        </is>
      </c>
    </row>
    <row r="63" ht="18" customHeight="1">
      <c r="A63" s="46" t="n">
        <v>50</v>
      </c>
      <c r="B63" s="50" t="n"/>
      <c r="C63" s="50" t="inlineStr">
        <is>
          <t>13. Air driven HP Pump - For hydraulic nuts for M/E - From Dan Marine or VLINK</t>
        </is>
      </c>
      <c r="D63" s="51" t="n"/>
      <c r="E63" s="51" t="n"/>
      <c r="F63" s="52" t="n"/>
      <c r="G63" s="52" t="n"/>
      <c r="H63" s="50" t="n"/>
      <c r="I63" t="inlineStr">
        <is>
          <t>High Pressure Washer</t>
        </is>
      </c>
    </row>
    <row r="64" ht="18" customHeight="1">
      <c r="A64" s="46" t="n">
        <v>51</v>
      </c>
      <c r="B64" s="47" t="n"/>
      <c r="C64" s="47" t="inlineStr">
        <is>
          <t>Chemical</t>
        </is>
      </c>
      <c r="D64" s="48" t="n"/>
      <c r="E64" s="48" t="n"/>
      <c r="F64" s="49" t="n"/>
      <c r="G64" s="49" t="n"/>
      <c r="H64" s="47" t="n"/>
      <c r="I64" t="inlineStr">
        <is>
          <t>Maintenance Chemicals</t>
        </is>
      </c>
    </row>
    <row r="65" ht="18" customHeight="1">
      <c r="A65" s="46" t="n">
        <v>52</v>
      </c>
      <c r="B65" s="50" t="n"/>
      <c r="C65" s="50" t="inlineStr">
        <is>
          <t>Mooring Rope</t>
        </is>
      </c>
      <c r="D65" s="51" t="n"/>
      <c r="E65" s="51" t="n"/>
      <c r="F65" s="52" t="n"/>
      <c r="G65" s="52" t="n"/>
      <c r="H65" s="50" t="n"/>
      <c r="I65" t="inlineStr">
        <is>
          <t>Mooring Ropes</t>
        </is>
      </c>
    </row>
    <row r="66" ht="18" customHeight="1">
      <c r="A66" s="46" t="n">
        <v>53</v>
      </c>
      <c r="B66" s="47" t="n"/>
      <c r="C66" s="47" t="inlineStr">
        <is>
          <t>UHF Radio</t>
        </is>
      </c>
      <c r="D66" s="48" t="n"/>
      <c r="E66" s="48" t="n"/>
      <c r="F66" s="49" t="n"/>
      <c r="G66" s="49" t="n"/>
      <c r="H66" s="47" t="n"/>
      <c r="I66" t="inlineStr">
        <is>
          <t>UHF Radio</t>
        </is>
      </c>
    </row>
    <row r="67" ht="18" customHeight="1">
      <c r="A67" s="46" t="n">
        <v>54</v>
      </c>
      <c r="B67" s="50" t="n"/>
      <c r="C67" s="50" t="inlineStr">
        <is>
          <t xml:space="preserve">Soot </t>
        </is>
      </c>
      <c r="D67" s="51" t="n"/>
      <c r="E67" s="51" t="n"/>
      <c r="F67" s="52" t="n"/>
      <c r="G67" s="52" t="n"/>
      <c r="H67" s="50" t="n"/>
      <c r="I67" t="inlineStr">
        <is>
          <t>Shipyard / Miscellaneous</t>
        </is>
      </c>
    </row>
    <row r="68" ht="18" customHeight="1">
      <c r="A68" s="46" t="n">
        <v>55</v>
      </c>
      <c r="B68" s="47" t="n"/>
      <c r="C68" s="47" t="inlineStr">
        <is>
          <t>Garbage Refrigerator</t>
        </is>
      </c>
      <c r="D68" s="48" t="n"/>
      <c r="E68" s="48" t="n"/>
      <c r="F68" s="49" t="n"/>
      <c r="G68" s="49" t="n"/>
      <c r="H68" s="47" t="n"/>
      <c r="I68" t="inlineStr">
        <is>
          <t>Shipyard / Miscellaneous</t>
        </is>
      </c>
    </row>
    <row r="69" ht="18" customHeight="1">
      <c r="A69" s="46" t="n">
        <v>56</v>
      </c>
      <c r="B69" s="50" t="n"/>
      <c r="C69" s="50" t="inlineStr">
        <is>
          <t>DF Tools</t>
        </is>
      </c>
      <c r="D69" s="51" t="n"/>
      <c r="E69" s="51" t="n"/>
      <c r="F69" s="52" t="n"/>
      <c r="G69" s="52" t="n"/>
      <c r="H69" s="50" t="n"/>
      <c r="I69" t="inlineStr">
        <is>
          <t>Dual Fuel Tools</t>
        </is>
      </c>
    </row>
    <row r="70" ht="18" customHeight="1">
      <c r="A70" s="46" t="n">
        <v>57</v>
      </c>
      <c r="B70" s="47" t="n"/>
      <c r="C70" s="47" t="inlineStr">
        <is>
          <t>UHF Antenna</t>
        </is>
      </c>
      <c r="D70" s="48" t="n"/>
      <c r="E70" s="48" t="n"/>
      <c r="F70" s="49" t="n"/>
      <c r="G70" s="49" t="n"/>
      <c r="H70" s="47" t="n"/>
      <c r="I70" t="inlineStr">
        <is>
          <t>UHF Radio</t>
        </is>
      </c>
    </row>
    <row r="71" ht="18" customHeight="1">
      <c r="A71" s="46" t="n">
        <v>59</v>
      </c>
      <c r="B71" s="47" t="n"/>
      <c r="C71" s="47" t="inlineStr">
        <is>
          <t>Citadel Items</t>
        </is>
      </c>
      <c r="D71" s="48" t="n"/>
      <c r="E71" s="48" t="n"/>
      <c r="F71" s="49" t="n"/>
      <c r="G71" s="49" t="n"/>
      <c r="H71" s="47" t="n"/>
      <c r="I71" t="inlineStr">
        <is>
          <t>Citadel VHF/GPS/UHF System</t>
        </is>
      </c>
    </row>
    <row r="72" ht="18" customHeight="1">
      <c r="A72" s="46" t="n">
        <v>60</v>
      </c>
      <c r="B72" s="50" t="n"/>
      <c r="C72" s="50" t="inlineStr">
        <is>
          <t>Stanchions</t>
        </is>
      </c>
      <c r="D72" s="51" t="n"/>
      <c r="E72" s="51" t="n"/>
      <c r="F72" s="52" t="n"/>
      <c r="G72" s="52" t="n"/>
      <c r="H72" s="50" t="n"/>
      <c r="I72" t="inlineStr">
        <is>
          <t>Shipyard / Miscellaneous</t>
        </is>
      </c>
    </row>
    <row r="73" ht="18" customHeight="1">
      <c r="A73" s="46" t="n">
        <v>61</v>
      </c>
      <c r="B73" s="47" t="n"/>
      <c r="C73" s="47" t="inlineStr">
        <is>
          <t xml:space="preserve">Main Engine  </t>
        </is>
      </c>
      <c r="D73" s="48" t="n"/>
      <c r="E73" s="48" t="n"/>
      <c r="F73" s="49" t="n"/>
      <c r="G73" s="49" t="n"/>
      <c r="H73" s="47" t="n"/>
      <c r="I73" t="inlineStr">
        <is>
          <t>Engine Spares - Main Engine</t>
        </is>
      </c>
    </row>
    <row r="74" ht="18" customHeight="1">
      <c r="A74" s="46" t="n">
        <v>62</v>
      </c>
      <c r="B74" s="50" t="n"/>
      <c r="C74" s="50" t="inlineStr">
        <is>
          <t xml:space="preserve"> Aux. Engine</t>
        </is>
      </c>
      <c r="D74" s="51" t="n"/>
      <c r="E74" s="51" t="n"/>
      <c r="F74" s="52" t="n"/>
      <c r="G74" s="52" t="n"/>
      <c r="H74" s="50" t="n"/>
      <c r="I74" t="inlineStr">
        <is>
          <t>Engine Spares - Auxiliary Engine</t>
        </is>
      </c>
    </row>
    <row r="75" ht="18" customHeight="1">
      <c r="A75" s="46" t="n">
        <v>63</v>
      </c>
      <c r="B75" s="47" t="n"/>
      <c r="C75" s="47" t="inlineStr">
        <is>
          <t>RO-RO Equipment (Main &amp; Centre Ramp spares + inner Ramp spares)</t>
        </is>
      </c>
      <c r="D75" s="48" t="n"/>
      <c r="E75" s="48" t="n"/>
      <c r="F75" s="49" t="n"/>
      <c r="G75" s="49" t="n"/>
      <c r="H75" s="47" t="n"/>
      <c r="I75" t="inlineStr">
        <is>
          <t>RO-RO Equipment - Spares</t>
        </is>
      </c>
    </row>
    <row r="76" ht="18" customHeight="1">
      <c r="A76" s="46" t="n">
        <v>64</v>
      </c>
      <c r="B76" s="50" t="n"/>
      <c r="C76" s="50" t="inlineStr">
        <is>
          <t>HP Pump Skid</t>
        </is>
      </c>
      <c r="D76" s="51" t="n"/>
      <c r="E76" s="51" t="n"/>
      <c r="F76" s="52" t="n"/>
      <c r="G76" s="52" t="n"/>
      <c r="H76" s="50" t="n"/>
      <c r="I76" t="inlineStr">
        <is>
          <t>High Pressure Washer</t>
        </is>
      </c>
    </row>
    <row r="77" ht="18" customHeight="1">
      <c r="A77" s="46" t="n">
        <v>66</v>
      </c>
      <c r="B77" s="50" t="n"/>
      <c r="C77" s="50" t="inlineStr">
        <is>
          <t>Nitrogen Generator</t>
        </is>
      </c>
      <c r="D77" s="51" t="n"/>
      <c r="E77" s="51" t="n"/>
      <c r="F77" s="52" t="n"/>
      <c r="G77" s="52" t="n"/>
      <c r="H77" s="50" t="n"/>
      <c r="I77" t="inlineStr">
        <is>
          <t>Nitrogen Generator</t>
        </is>
      </c>
    </row>
    <row r="78" ht="18" customHeight="1">
      <c r="A78" s="46" t="n">
        <v>67</v>
      </c>
      <c r="B78" s="47" t="n"/>
      <c r="C78" s="47" t="n"/>
      <c r="D78" s="48" t="n"/>
      <c r="E78" s="48" t="n"/>
      <c r="F78" s="49" t="n"/>
      <c r="G78" s="49" t="n"/>
      <c r="H78" s="47" t="n"/>
    </row>
    <row r="79" ht="18" customHeight="1">
      <c r="A79" s="46" t="n">
        <v>68</v>
      </c>
      <c r="B79" s="50" t="n"/>
      <c r="C79" s="50" t="inlineStr">
        <is>
          <t xml:space="preserve">RSC Lube oil - qty </t>
        </is>
      </c>
      <c r="D79" s="51" t="n"/>
      <c r="E79" s="51" t="n"/>
      <c r="F79" s="52" t="n"/>
      <c r="G79" s="52" t="n"/>
      <c r="H79" s="50" t="n"/>
      <c r="I79" t="inlineStr">
        <is>
          <t>Lubricants</t>
        </is>
      </c>
    </row>
    <row r="80" ht="18" customHeight="1">
      <c r="A80" s="46" t="n">
        <v>69</v>
      </c>
      <c r="B80" s="47" t="n"/>
      <c r="C80" s="47" t="inlineStr">
        <is>
          <t xml:space="preserve">QC DC </t>
        </is>
      </c>
      <c r="D80" s="48" t="n"/>
      <c r="E80" s="48" t="n"/>
      <c r="F80" s="49" t="n"/>
      <c r="G80" s="49" t="n"/>
      <c r="H80" s="47" t="n"/>
      <c r="I80" t="inlineStr">
        <is>
          <t>QCDC</t>
        </is>
      </c>
    </row>
    <row r="81" ht="18" customHeight="1">
      <c r="A81" s="46" t="n">
        <v>70</v>
      </c>
      <c r="B81" s="50" t="n"/>
      <c r="C81" s="50" t="inlineStr">
        <is>
          <t>Manuals for all equipment- priority for BWTS, STP, OWS, EMGCY AC, EMCY GEN</t>
        </is>
      </c>
      <c r="D81" s="51" t="n"/>
      <c r="E81" s="51" t="n"/>
      <c r="F81" s="52" t="n"/>
      <c r="G81" s="52" t="n"/>
      <c r="H81" s="50" t="n"/>
      <c r="I81" t="inlineStr">
        <is>
          <t>Publications &amp; Manuals</t>
        </is>
      </c>
    </row>
    <row r="82" ht="18" customHeight="1">
      <c r="A82" s="46" t="n">
        <v>71</v>
      </c>
      <c r="B82" s="47" t="n"/>
      <c r="C82" s="47" t="inlineStr">
        <is>
          <t>Domestic refrigerators 200 litres for rec rooms to be added to stores supplies</t>
        </is>
      </c>
      <c r="D82" s="48" t="n"/>
      <c r="E82" s="48" t="n"/>
      <c r="F82" s="49" t="n"/>
      <c r="G82" s="49" t="n"/>
      <c r="H82" s="47" t="n"/>
      <c r="I82" t="inlineStr">
        <is>
          <t>Crew Care &amp; Provisions</t>
        </is>
      </c>
    </row>
    <row r="83" ht="18" customHeight="1">
      <c r="A83" s="46" t="n">
        <v>72</v>
      </c>
      <c r="B83" s="50" t="n"/>
      <c r="C83" s="50" t="inlineStr">
        <is>
          <t>Breathing air compressor</t>
        </is>
      </c>
      <c r="D83" s="51" t="n"/>
      <c r="E83" s="51" t="n"/>
      <c r="F83" s="52" t="n"/>
      <c r="G83" s="52" t="n"/>
      <c r="H83" s="50" t="n"/>
      <c r="I83" t="inlineStr">
        <is>
          <t>IMPA Stores - BA Compressor</t>
        </is>
      </c>
    </row>
    <row r="84" ht="18" customHeight="1">
      <c r="A84" s="46" t="n">
        <v>73</v>
      </c>
      <c r="B84" s="47" t="n"/>
      <c r="C84" s="47" t="inlineStr">
        <is>
          <t>ozone sterliser</t>
        </is>
      </c>
      <c r="D84" s="48" t="n"/>
      <c r="E84" s="48" t="n"/>
      <c r="F84" s="49" t="n"/>
      <c r="G84" s="49" t="n"/>
      <c r="H84" s="47" t="n"/>
      <c r="I84" t="inlineStr">
        <is>
          <t>Shipyard / Miscellaneous</t>
        </is>
      </c>
    </row>
    <row r="85" ht="18" customHeight="1">
      <c r="A85" s="46" t="n">
        <v>74</v>
      </c>
      <c r="B85" s="50" t="n"/>
      <c r="C85" s="50" t="inlineStr">
        <is>
          <t>suez light</t>
        </is>
      </c>
      <c r="D85" s="51" t="n"/>
      <c r="E85" s="51" t="n"/>
      <c r="F85" s="52" t="n"/>
      <c r="G85" s="52" t="n"/>
      <c r="H85" s="50" t="n"/>
      <c r="I85" t="inlineStr">
        <is>
          <t>Shipyard / Miscellaneous</t>
        </is>
      </c>
    </row>
    <row r="86" ht="18" customHeight="1">
      <c r="A86" s="46" t="n">
        <v>75</v>
      </c>
      <c r="B86" s="47" t="n"/>
      <c r="C86" s="47" t="inlineStr">
        <is>
          <t>Item no 11, loose equipment for emergency operation of roro equipment</t>
        </is>
      </c>
      <c r="D86" s="48" t="n"/>
      <c r="E86" s="48" t="n"/>
      <c r="F86" s="49" t="n"/>
      <c r="G86" s="49" t="n"/>
      <c r="H86" s="47" t="n"/>
      <c r="I86" t="inlineStr">
        <is>
          <t>RO-RO Equipment - Loose Fittings</t>
        </is>
      </c>
    </row>
    <row r="87" ht="18" customHeight="1">
      <c r="A87" s="46" t="n">
        <v>76</v>
      </c>
      <c r="B87" s="50" t="n"/>
      <c r="C87" s="50" t="inlineStr">
        <is>
          <t>Reefer cable and plugs extensions</t>
        </is>
      </c>
      <c r="D87" s="51" t="n"/>
      <c r="E87" s="51" t="n"/>
      <c r="F87" s="52" t="n"/>
      <c r="G87" s="52" t="n"/>
      <c r="H87" s="50" t="n"/>
      <c r="I87" t="inlineStr">
        <is>
          <t>Refrigerant Equipment</t>
        </is>
      </c>
    </row>
    <row r="88" ht="18" customHeight="1">
      <c r="A88" s="46" t="n">
        <v>77</v>
      </c>
      <c r="B88" s="47" t="n"/>
      <c r="C88" s="47" t="inlineStr">
        <is>
          <t xml:space="preserve">Manual chain blocks </t>
        </is>
      </c>
      <c r="D88" s="48" t="n"/>
      <c r="E88" s="48" t="n"/>
      <c r="F88" s="49" t="n"/>
      <c r="G88" s="49" t="n"/>
      <c r="H88" s="47" t="n"/>
      <c r="I88" t="inlineStr">
        <is>
          <t>Shipyard / Miscellaneous</t>
        </is>
      </c>
    </row>
    <row r="89" ht="18" customHeight="1">
      <c r="A89" s="46" t="n">
        <v>78</v>
      </c>
      <c r="B89" s="50" t="n"/>
      <c r="C89" s="50" t="inlineStr">
        <is>
          <t>Glycol</t>
        </is>
      </c>
      <c r="D89" s="51" t="n"/>
      <c r="E89" s="51" t="n"/>
      <c r="F89" s="52" t="n"/>
      <c r="G89" s="52" t="n"/>
      <c r="H89" s="50" t="n"/>
      <c r="I89" t="inlineStr">
        <is>
          <t>Lubricants</t>
        </is>
      </c>
    </row>
    <row r="90" ht="18" customHeight="1">
      <c r="A90" s="46" t="n">
        <v>79</v>
      </c>
      <c r="B90" s="47" t="inlineStr">
        <is>
          <t>GLOY-60035/26</t>
        </is>
      </c>
      <c r="C90" s="47" t="inlineStr">
        <is>
          <t>Gas meters</t>
        </is>
      </c>
      <c r="D90" s="48" t="n"/>
      <c r="E90" s="48" t="n"/>
      <c r="F90" s="49" t="n"/>
      <c r="G90" s="49" t="n"/>
      <c r="H90" s="47" t="n"/>
      <c r="I90" t="inlineStr">
        <is>
          <t>Gas Meters</t>
        </is>
      </c>
    </row>
    <row r="91" ht="18" customHeight="1">
      <c r="A91" s="46" t="n">
        <v>80</v>
      </c>
      <c r="B91" s="50" t="n"/>
      <c r="C91" s="50" t="inlineStr">
        <is>
          <t>Welding machine in Workshop 440 v</t>
        </is>
      </c>
      <c r="D91" s="51" t="n"/>
      <c r="E91" s="51" t="n"/>
      <c r="F91" s="52" t="n"/>
      <c r="G91" s="52" t="n"/>
      <c r="H91" s="50" t="n"/>
      <c r="I91" t="inlineStr">
        <is>
          <t>Welding Equipment</t>
        </is>
      </c>
    </row>
    <row r="92" ht="18" customHeight="1">
      <c r="A92" s="46" t="n">
        <v>81</v>
      </c>
      <c r="B92" s="47" t="n"/>
      <c r="C92" s="47" t="inlineStr">
        <is>
          <t>Service Car and Forlift</t>
        </is>
      </c>
      <c r="D92" s="48" t="n"/>
      <c r="E92" s="48" t="n"/>
      <c r="F92" s="49" t="n"/>
      <c r="G92" s="49" t="n"/>
      <c r="H92" s="47" t="n"/>
      <c r="I92" t="inlineStr">
        <is>
          <t>Shipyard / Miscellaneous</t>
        </is>
      </c>
    </row>
    <row r="93" ht="18" customHeight="1">
      <c r="A93" s="46" t="n">
        <v>82</v>
      </c>
      <c r="B93" s="50" t="n"/>
      <c r="C93" s="50" t="inlineStr">
        <is>
          <t>Seatrial</t>
        </is>
      </c>
      <c r="D93" s="51" t="n"/>
      <c r="E93" s="51" t="n"/>
      <c r="F93" s="52" t="n"/>
      <c r="G93" s="52" t="n"/>
      <c r="H93" s="50" t="inlineStr">
        <is>
          <t>To be Discussed</t>
        </is>
      </c>
      <c r="I93" t="inlineStr">
        <is>
          <t>Sea Trial</t>
        </is>
      </c>
    </row>
    <row r="94" ht="18" customHeight="1">
      <c r="A94" s="46" t="n">
        <v>83</v>
      </c>
      <c r="B94" s="47" t="n"/>
      <c r="C94" s="47" t="n"/>
      <c r="D94" s="48" t="n"/>
      <c r="E94" s="48" t="n"/>
      <c r="F94" s="49" t="n"/>
      <c r="G94" s="49" t="n"/>
      <c r="H94" s="47" t="n"/>
    </row>
    <row r="95" ht="18" customHeight="1">
      <c r="A95" s="46" t="n">
        <v>84</v>
      </c>
      <c r="B95" s="50" t="n"/>
      <c r="C95" s="50" t="n"/>
      <c r="D95" s="51" t="n"/>
      <c r="E95" s="51" t="n"/>
      <c r="F95" s="52" t="n"/>
      <c r="G95" s="52" t="n"/>
      <c r="H95" s="50" t="n"/>
    </row>
    <row r="96" ht="18" customHeight="1">
      <c r="A96" s="46" t="n">
        <v>85</v>
      </c>
      <c r="B96" s="47" t="n"/>
      <c r="C96" s="47" t="n"/>
      <c r="D96" s="48" t="n"/>
      <c r="E96" s="48" t="n"/>
      <c r="F96" s="49" t="n"/>
      <c r="G96" s="49" t="n"/>
      <c r="H96" s="47" t="n"/>
    </row>
    <row r="97" ht="18" customHeight="1">
      <c r="A97" s="46" t="n">
        <v>86</v>
      </c>
      <c r="B97" s="50" t="n"/>
      <c r="C97" s="50" t="n"/>
      <c r="D97" s="51" t="n"/>
      <c r="E97" s="51" t="n"/>
      <c r="F97" s="52" t="n"/>
      <c r="G97" s="52" t="n"/>
      <c r="H97" s="50" t="n"/>
    </row>
    <row r="98" ht="18" customHeight="1">
      <c r="A98" s="46" t="n">
        <v>87</v>
      </c>
      <c r="B98" s="47" t="n"/>
      <c r="C98" s="47" t="n"/>
      <c r="D98" s="48" t="n"/>
      <c r="E98" s="48" t="n"/>
      <c r="F98" s="49" t="n"/>
      <c r="G98" s="49" t="n"/>
      <c r="H98" s="47" t="n"/>
    </row>
    <row r="99" ht="18" customHeight="1">
      <c r="A99" s="46" t="n">
        <v>88</v>
      </c>
      <c r="B99" s="50" t="n"/>
      <c r="C99" s="50" t="n"/>
      <c r="D99" s="51" t="n"/>
      <c r="E99" s="51" t="n"/>
      <c r="F99" s="52" t="n"/>
      <c r="G99" s="52" t="n"/>
      <c r="H99" s="50" t="n"/>
    </row>
    <row r="100" ht="18" customHeight="1">
      <c r="A100" s="46" t="n">
        <v>89</v>
      </c>
      <c r="B100" s="47" t="n"/>
      <c r="C100" s="47" t="n"/>
      <c r="D100" s="48" t="n"/>
      <c r="E100" s="48" t="n"/>
      <c r="F100" s="49" t="n"/>
      <c r="G100" s="49" t="n"/>
      <c r="H100" s="47" t="n"/>
    </row>
    <row r="101" ht="18" customHeight="1">
      <c r="A101" s="46" t="n">
        <v>90</v>
      </c>
      <c r="B101" s="50" t="n"/>
      <c r="C101" s="50" t="n"/>
      <c r="D101" s="51" t="n"/>
      <c r="E101" s="51" t="n"/>
      <c r="F101" s="52" t="n"/>
      <c r="G101" s="52" t="n"/>
      <c r="H101" s="50" t="n"/>
    </row>
    <row r="102" ht="18" customHeight="1">
      <c r="A102" s="46" t="n">
        <v>91</v>
      </c>
      <c r="B102" s="47" t="n"/>
      <c r="C102" s="47" t="n"/>
      <c r="D102" s="48" t="n"/>
      <c r="E102" s="48" t="n"/>
      <c r="F102" s="49" t="n"/>
      <c r="G102" s="49" t="n"/>
      <c r="H102" s="47" t="n"/>
    </row>
    <row r="103" ht="18" customHeight="1">
      <c r="A103" s="46" t="n">
        <v>92</v>
      </c>
      <c r="B103" s="50" t="n"/>
      <c r="C103" s="50" t="n"/>
      <c r="D103" s="51" t="n"/>
      <c r="E103" s="51" t="n"/>
      <c r="F103" s="52" t="n"/>
      <c r="G103" s="52" t="n"/>
      <c r="H103" s="50" t="n"/>
    </row>
    <row r="104" ht="18" customHeight="1">
      <c r="A104" s="46" t="n">
        <v>93</v>
      </c>
      <c r="B104" s="47" t="n"/>
      <c r="C104" s="47" t="n"/>
      <c r="D104" s="48" t="n"/>
      <c r="E104" s="48" t="n"/>
      <c r="F104" s="49" t="n"/>
      <c r="G104" s="49" t="n"/>
      <c r="H104" s="47" t="n"/>
    </row>
    <row r="105" ht="18" customHeight="1">
      <c r="A105" s="46" t="n">
        <v>94</v>
      </c>
      <c r="B105" s="50" t="n"/>
      <c r="C105" s="50" t="n"/>
      <c r="D105" s="51" t="n"/>
      <c r="E105" s="51" t="n"/>
      <c r="F105" s="52" t="n"/>
      <c r="G105" s="52" t="n"/>
      <c r="H105" s="50" t="n"/>
    </row>
    <row r="106" ht="18" customHeight="1">
      <c r="A106" s="46" t="n">
        <v>95</v>
      </c>
      <c r="B106" s="47" t="n"/>
      <c r="C106" s="47" t="n"/>
      <c r="D106" s="48" t="n"/>
      <c r="E106" s="48" t="n"/>
      <c r="F106" s="49" t="n"/>
      <c r="G106" s="49" t="n"/>
      <c r="H106" s="47" t="n"/>
    </row>
    <row r="107" ht="18" customHeight="1">
      <c r="A107" s="46" t="n">
        <v>96</v>
      </c>
      <c r="B107" s="50" t="n"/>
      <c r="C107" s="50" t="n"/>
      <c r="D107" s="51" t="n"/>
      <c r="E107" s="51" t="n"/>
      <c r="F107" s="52" t="n"/>
      <c r="G107" s="52" t="n"/>
      <c r="H107" s="50" t="n"/>
    </row>
    <row r="108" ht="18" customHeight="1">
      <c r="A108" s="46" t="n">
        <v>97</v>
      </c>
      <c r="B108" s="47" t="n"/>
      <c r="C108" s="47" t="n"/>
      <c r="D108" s="48" t="n"/>
      <c r="E108" s="48" t="n"/>
      <c r="F108" s="49" t="n"/>
      <c r="G108" s="49" t="n"/>
      <c r="H108" s="47" t="n"/>
    </row>
    <row r="109" ht="18" customHeight="1">
      <c r="A109" s="46" t="n">
        <v>98</v>
      </c>
      <c r="B109" s="50" t="n"/>
      <c r="C109" s="50" t="n"/>
      <c r="D109" s="51" t="n"/>
      <c r="E109" s="51" t="n"/>
      <c r="F109" s="52" t="n"/>
      <c r="G109" s="52" t="n"/>
      <c r="H109" s="50" t="n"/>
    </row>
    <row r="110" ht="18" customHeight="1">
      <c r="A110" s="46" t="n">
        <v>99</v>
      </c>
      <c r="B110" s="47" t="n"/>
      <c r="C110" s="47" t="n"/>
      <c r="D110" s="48" t="n"/>
      <c r="E110" s="48" t="n"/>
      <c r="F110" s="49" t="n"/>
      <c r="G110" s="49" t="n"/>
      <c r="H110" s="47" t="n"/>
    </row>
    <row r="111" ht="18" customHeight="1">
      <c r="A111" s="46" t="n">
        <v>100</v>
      </c>
      <c r="B111" s="50" t="n"/>
      <c r="C111" s="50" t="n"/>
      <c r="D111" s="51" t="n"/>
      <c r="E111" s="51" t="n"/>
      <c r="F111" s="52" t="n"/>
      <c r="G111" s="52" t="n"/>
      <c r="H111" s="50" t="n"/>
    </row>
  </sheetData>
  <autoFilter ref="A10:K111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1" showDropDown="0" showInputMessage="0" showErrorMessage="0" allowBlank="1" type="list">
      <formula1>"Spares,Stores,Lube Oil,Chemicals,Lashing Gear,Others"</formula1>
      <formula2>0</formula2>
    </dataValidation>
    <dataValidation sqref="E11:E111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A1"/>
  <sheetViews>
    <sheetView workbookViewId="0">
      <selection activeCell="Q39" sqref="Q39"/>
    </sheetView>
  </sheetViews>
  <sheetFormatPr baseColWidth="8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min="1" max="1"/>
    <col width="14" customWidth="1" min="2" max="2"/>
    <col width="28" customWidth="1" min="3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min="1" max="1"/>
    <col width="14" customWidth="1" min="2" max="2"/>
    <col width="28" customWidth="1" min="3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2026-03-01T01:19:46Z</dcterms:created>
  <dcterms:modified xsi:type="dcterms:W3CDTF">2026-05-06T02:33:06Z</dcterms:modified>
  <cp:lastModifiedBy>Inis Gan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95efa48-3542-40a0-935f-e5728a0bb1e7_Enabled" fmtid="{D5CDD505-2E9C-101B-9397-08002B2CF9AE}" pid="2">
    <vt:lpwstr>true</vt:lpwstr>
  </property>
  <property name="MSIP_Label_895efa48-3542-40a0-935f-e5728a0bb1e7_SetDate" fmtid="{D5CDD505-2E9C-101B-9397-08002B2CF9AE}" pid="3">
    <vt:lpwstr>2026-04-30T06:38:32Z</vt:lpwstr>
  </property>
  <property name="MSIP_Label_895efa48-3542-40a0-935f-e5728a0bb1e7_Method" fmtid="{D5CDD505-2E9C-101B-9397-08002B2CF9AE}" pid="4">
    <vt:lpwstr>Standard</vt:lpwstr>
  </property>
  <property name="MSIP_Label_895efa48-3542-40a0-935f-e5728a0bb1e7_Name" fmtid="{D5CDD505-2E9C-101B-9397-08002B2CF9AE}" pid="5">
    <vt:lpwstr>General</vt:lpwstr>
  </property>
  <property name="MSIP_Label_895efa48-3542-40a0-935f-e5728a0bb1e7_SiteId" fmtid="{D5CDD505-2E9C-101B-9397-08002B2CF9AE}" pid="6">
    <vt:lpwstr>fb052de5-3344-415c-a8e0-3b26eed71f5a</vt:lpwstr>
  </property>
  <property name="MSIP_Label_895efa48-3542-40a0-935f-e5728a0bb1e7_ActionId" fmtid="{D5CDD505-2E9C-101B-9397-08002B2CF9AE}" pid="7">
    <vt:lpwstr>9cc42c7c-f9e7-4e77-8a4d-73e15b96e319</vt:lpwstr>
  </property>
  <property name="MSIP_Label_895efa48-3542-40a0-935f-e5728a0bb1e7_ContentBits" fmtid="{D5CDD505-2E9C-101B-9397-08002B2CF9AE}" pid="8">
    <vt:lpwstr>0</vt:lpwstr>
  </property>
  <property name="MSIP_Label_895efa48-3542-40a0-935f-e5728a0bb1e7_Tag" fmtid="{D5CDD505-2E9C-101B-9397-08002B2CF9AE}" pid="9">
    <vt:lpwstr>10, 3, 0, 1</vt:lpwstr>
  </property>
  <property name="ContentTypeId" fmtid="{D5CDD505-2E9C-101B-9397-08002B2CF9AE}" pid="10">
    <vt:lpwstr>0x0101008270D3ED764D80469A03188CF793EF52</vt:lpwstr>
  </property>
</Properties>
</file>