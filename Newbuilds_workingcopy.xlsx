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pivotTables/pivotTable1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gani\Downloads\"/>
    </mc:Choice>
  </mc:AlternateContent>
  <xr:revisionPtr revIDLastSave="0" documentId="8_{4AE34F3D-B458-4556-A676-1FEC337F49FF}" xr6:coauthVersionLast="47" xr6:coauthVersionMax="47" xr10:uidLastSave="{00000000-0000-0000-0000-000000000000}"/>
  <bookViews>
    <workbookView xWindow="28680" yWindow="495" windowWidth="29040" windowHeight="15720" tabRatio="909" xr2:uid="{00000000-000D-0000-FFFF-FFFF00000000}"/>
  </bookViews>
  <sheets>
    <sheet name="Projects" sheetId="11" r:id="rId1"/>
    <sheet name="Insights" sheetId="12" r:id="rId2"/>
    <sheet name="📊 Fleet Summary" sheetId="1" r:id="rId3"/>
    <sheet name="Glovis Lander" sheetId="6" r:id="rId4"/>
    <sheet name="Glovis Luminous" sheetId="7" r:id="rId5"/>
    <sheet name="Glovis Lighthouse" sheetId="2" r:id="rId6"/>
    <sheet name="Glovis Link" sheetId="3" r:id="rId7"/>
    <sheet name="Glovis Logos" sheetId="4" r:id="rId8"/>
    <sheet name="Glovis Loyal" sheetId="5" r:id="rId9"/>
    <sheet name="tbc_project 2" sheetId="10" r:id="rId10"/>
    <sheet name="Vessel 7" sheetId="8" r:id="rId11"/>
    <sheet name="Vessel 8" sheetId="9" r:id="rId12"/>
  </sheets>
  <externalReferences>
    <externalReference r:id="rId13"/>
  </externalReferences>
  <definedNames>
    <definedName name="_xlnm._FilterDatabase" localSheetId="3" hidden="1">'Glovis Lander'!$A$10:$M$139</definedName>
    <definedName name="_xlnm._FilterDatabase" localSheetId="5" hidden="1">'Glovis Lighthouse'!$A$10:$Q$150</definedName>
    <definedName name="_xlnm._FilterDatabase" localSheetId="6" hidden="1">'Glovis Link'!$A$10:$K$113</definedName>
    <definedName name="_xlnm._FilterDatabase" localSheetId="7" hidden="1">'Glovis Logos'!$A$10:$K$113</definedName>
    <definedName name="_xlnm._FilterDatabase" localSheetId="8" hidden="1">'Glovis Loyal'!$A$10:$K$111</definedName>
    <definedName name="_xlnm._FilterDatabase" localSheetId="4" hidden="1">'Glovis Luminous'!$A$10:$H$110</definedName>
    <definedName name="_xlnm._FilterDatabase" localSheetId="0" hidden="1">Projects!$A$5:$P$676</definedName>
    <definedName name="Status">Projects!$P$6</definedName>
  </definedNames>
  <calcPr calcId="191029"/>
  <pivotCaches>
    <pivotCache cacheId="15" r:id="rId1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25" i="11" l="1" a="1"/>
  <c r="F525" i="11" s="1"/>
  <c r="D7" i="11" l="1"/>
  <c r="D8" i="11"/>
  <c r="D9" i="11"/>
  <c r="D10" i="11"/>
  <c r="D11" i="11"/>
  <c r="D12" i="11"/>
  <c r="D13" i="11"/>
  <c r="D14" i="11"/>
  <c r="D15" i="11"/>
  <c r="D16" i="11"/>
  <c r="D17" i="11"/>
  <c r="D18" i="11"/>
  <c r="D19" i="11"/>
  <c r="D20" i="11"/>
  <c r="D21" i="11"/>
  <c r="D22" i="11"/>
  <c r="D23" i="11"/>
  <c r="D24" i="11"/>
  <c r="D25" i="11"/>
  <c r="D26" i="11"/>
  <c r="D27" i="11"/>
  <c r="D28" i="11"/>
  <c r="D29" i="11"/>
  <c r="D30" i="11"/>
  <c r="D31" i="11"/>
  <c r="D32" i="11"/>
  <c r="D33" i="11"/>
  <c r="D34" i="11"/>
  <c r="D35" i="11"/>
  <c r="D36" i="11"/>
  <c r="D37" i="11"/>
  <c r="D38" i="11"/>
  <c r="D39" i="11"/>
  <c r="D40" i="11"/>
  <c r="D41" i="11"/>
  <c r="D42" i="11"/>
  <c r="D43" i="11"/>
  <c r="D44" i="11"/>
  <c r="D45" i="11"/>
  <c r="D46" i="11"/>
  <c r="D47" i="11"/>
  <c r="D48" i="11"/>
  <c r="D49" i="11"/>
  <c r="D50" i="11"/>
  <c r="D51" i="11"/>
  <c r="D52" i="11"/>
  <c r="D53" i="11"/>
  <c r="D54" i="11"/>
  <c r="D55" i="11"/>
  <c r="D56" i="11"/>
  <c r="D57" i="11"/>
  <c r="D58" i="11"/>
  <c r="D59" i="11"/>
  <c r="D60" i="11"/>
  <c r="D61" i="11"/>
  <c r="D62" i="11"/>
  <c r="D63" i="11"/>
  <c r="D64" i="11"/>
  <c r="D65" i="11"/>
  <c r="D66" i="11"/>
  <c r="D67" i="11"/>
  <c r="D68" i="11"/>
  <c r="D69" i="11"/>
  <c r="D70" i="11"/>
  <c r="D71" i="11"/>
  <c r="D72" i="11"/>
  <c r="D73" i="11"/>
  <c r="D74" i="11"/>
  <c r="D75" i="11"/>
  <c r="D76" i="11"/>
  <c r="D77" i="11"/>
  <c r="D78" i="11"/>
  <c r="D79" i="11"/>
  <c r="D80" i="11"/>
  <c r="D81" i="11"/>
  <c r="D82" i="11"/>
  <c r="D83" i="11"/>
  <c r="D84" i="11"/>
  <c r="D85" i="11"/>
  <c r="D86" i="11"/>
  <c r="D87" i="11"/>
  <c r="D88" i="11"/>
  <c r="D89" i="11"/>
  <c r="D90" i="11"/>
  <c r="D91" i="11"/>
  <c r="D92" i="11"/>
  <c r="D93" i="11"/>
  <c r="D94" i="11"/>
  <c r="D95" i="11"/>
  <c r="D96" i="11"/>
  <c r="D97" i="11"/>
  <c r="D98" i="11"/>
  <c r="D99" i="11"/>
  <c r="D100" i="11"/>
  <c r="D101" i="11"/>
  <c r="D102" i="11"/>
  <c r="D103" i="11"/>
  <c r="D104" i="11"/>
  <c r="D105" i="11"/>
  <c r="D106" i="11"/>
  <c r="D107" i="11"/>
  <c r="D108" i="11"/>
  <c r="D109" i="11"/>
  <c r="D110" i="11"/>
  <c r="D111" i="11"/>
  <c r="D112" i="11"/>
  <c r="D113" i="11"/>
  <c r="D114" i="11"/>
  <c r="D115" i="11"/>
  <c r="D116" i="11"/>
  <c r="D117" i="11"/>
  <c r="D118" i="11"/>
  <c r="D119" i="11"/>
  <c r="D120" i="11"/>
  <c r="D121" i="11"/>
  <c r="D122" i="11"/>
  <c r="D123" i="11"/>
  <c r="D124" i="11"/>
  <c r="D125" i="11"/>
  <c r="D126" i="11"/>
  <c r="D127" i="11"/>
  <c r="D128" i="11"/>
  <c r="D129" i="11"/>
  <c r="D130" i="11"/>
  <c r="D131" i="11"/>
  <c r="D132" i="11"/>
  <c r="D133" i="11"/>
  <c r="D134" i="11"/>
  <c r="D135" i="11"/>
  <c r="D136" i="11"/>
  <c r="D137" i="11"/>
  <c r="D138" i="11"/>
  <c r="D139" i="11"/>
  <c r="D140" i="11"/>
  <c r="D141" i="11"/>
  <c r="D142" i="11"/>
  <c r="D143" i="11"/>
  <c r="D144" i="11"/>
  <c r="D145" i="11"/>
  <c r="D146" i="11"/>
  <c r="D147" i="11"/>
  <c r="D148" i="11"/>
  <c r="D149" i="11"/>
  <c r="D150" i="11"/>
  <c r="D151" i="11"/>
  <c r="D152" i="11"/>
  <c r="D153" i="11"/>
  <c r="D154" i="11"/>
  <c r="D155" i="11"/>
  <c r="D156" i="11"/>
  <c r="D157" i="11"/>
  <c r="D158" i="11"/>
  <c r="D159" i="11"/>
  <c r="D160" i="11"/>
  <c r="D161" i="11"/>
  <c r="D162" i="11"/>
  <c r="D163" i="11"/>
  <c r="D164" i="11"/>
  <c r="D165" i="11"/>
  <c r="D166" i="11"/>
  <c r="D167" i="11"/>
  <c r="D168" i="11"/>
  <c r="D169" i="11"/>
  <c r="D170" i="11"/>
  <c r="D171" i="11"/>
  <c r="D172" i="11"/>
  <c r="D173" i="11"/>
  <c r="D174" i="11"/>
  <c r="D175" i="11"/>
  <c r="D176" i="11"/>
  <c r="D177" i="11"/>
  <c r="D178" i="11"/>
  <c r="D179" i="11"/>
  <c r="D180" i="11"/>
  <c r="D181" i="11"/>
  <c r="D182" i="11"/>
  <c r="D183" i="11"/>
  <c r="D184" i="11"/>
  <c r="D185" i="11"/>
  <c r="D186" i="11"/>
  <c r="D187" i="11"/>
  <c r="D188" i="11"/>
  <c r="D189" i="11"/>
  <c r="D190" i="11"/>
  <c r="D191" i="11"/>
  <c r="D192" i="11"/>
  <c r="D193" i="11"/>
  <c r="D194" i="11"/>
  <c r="D195" i="11"/>
  <c r="D196" i="11"/>
  <c r="D197" i="11"/>
  <c r="D198" i="11"/>
  <c r="D199" i="11"/>
  <c r="D200" i="11"/>
  <c r="D201" i="11"/>
  <c r="D202" i="11"/>
  <c r="D203" i="11"/>
  <c r="D204" i="11"/>
  <c r="D205" i="11"/>
  <c r="D206" i="11"/>
  <c r="D207" i="11"/>
  <c r="D208" i="11"/>
  <c r="D209" i="11"/>
  <c r="D210" i="11"/>
  <c r="D211" i="11"/>
  <c r="D212" i="11"/>
  <c r="D213" i="11"/>
  <c r="D214" i="11"/>
  <c r="D215" i="11"/>
  <c r="D216" i="11"/>
  <c r="D217" i="11"/>
  <c r="D218" i="11"/>
  <c r="D219" i="11"/>
  <c r="D220" i="11"/>
  <c r="D221" i="11"/>
  <c r="D222" i="11"/>
  <c r="D223" i="11"/>
  <c r="D224" i="11"/>
  <c r="D225" i="11"/>
  <c r="D226" i="11"/>
  <c r="D227" i="11"/>
  <c r="D228" i="11"/>
  <c r="D229" i="11"/>
  <c r="D230" i="11"/>
  <c r="D231" i="11"/>
  <c r="D232" i="11"/>
  <c r="D233" i="11"/>
  <c r="D234" i="11"/>
  <c r="D235" i="11"/>
  <c r="D236" i="11"/>
  <c r="D237" i="11"/>
  <c r="D238" i="11"/>
  <c r="D239" i="11"/>
  <c r="D240" i="11"/>
  <c r="D241" i="11"/>
  <c r="D242" i="11"/>
  <c r="D243" i="11"/>
  <c r="D244" i="11"/>
  <c r="D245" i="11"/>
  <c r="D246" i="11"/>
  <c r="D247" i="11"/>
  <c r="D248" i="11"/>
  <c r="D249" i="11"/>
  <c r="D250" i="11"/>
  <c r="D251" i="11"/>
  <c r="D252" i="11"/>
  <c r="D253" i="11"/>
  <c r="D254" i="11"/>
  <c r="D255" i="11"/>
  <c r="D256" i="11"/>
  <c r="D257" i="11"/>
  <c r="D258" i="11"/>
  <c r="D259" i="11"/>
  <c r="D260" i="11"/>
  <c r="D261" i="11"/>
  <c r="D262" i="11"/>
  <c r="D263" i="11"/>
  <c r="D264" i="11"/>
  <c r="D265" i="11"/>
  <c r="D266" i="11"/>
  <c r="D267" i="11"/>
  <c r="D268" i="11"/>
  <c r="D269" i="11"/>
  <c r="D270" i="11"/>
  <c r="D271" i="11"/>
  <c r="D272" i="11"/>
  <c r="D273" i="11"/>
  <c r="D274" i="11"/>
  <c r="D275" i="11"/>
  <c r="D276" i="11"/>
  <c r="D277" i="11"/>
  <c r="D278" i="11"/>
  <c r="D279" i="11"/>
  <c r="D280" i="11"/>
  <c r="D281" i="11"/>
  <c r="D282" i="11"/>
  <c r="D283" i="11"/>
  <c r="D284" i="11"/>
  <c r="D285" i="11"/>
  <c r="D286" i="11"/>
  <c r="D287" i="11"/>
  <c r="D288" i="11"/>
  <c r="D289" i="11"/>
  <c r="D290" i="11"/>
  <c r="D291" i="11"/>
  <c r="D292" i="11"/>
  <c r="D293" i="11"/>
  <c r="D294" i="11"/>
  <c r="D295" i="11"/>
  <c r="D296" i="11"/>
  <c r="D297" i="11"/>
  <c r="D298" i="11"/>
  <c r="D299" i="11"/>
  <c r="D300" i="11"/>
  <c r="D301" i="11"/>
  <c r="D302" i="11"/>
  <c r="D303" i="11"/>
  <c r="D304" i="11"/>
  <c r="D305" i="11"/>
  <c r="D306" i="11"/>
  <c r="D307" i="11"/>
  <c r="D308" i="11"/>
  <c r="D309" i="11"/>
  <c r="D310" i="11"/>
  <c r="D311" i="11"/>
  <c r="D312" i="11"/>
  <c r="D313" i="11"/>
  <c r="D314" i="11"/>
  <c r="D315" i="11"/>
  <c r="D316" i="11"/>
  <c r="D317" i="11"/>
  <c r="D318" i="11"/>
  <c r="D319" i="11"/>
  <c r="D320" i="11"/>
  <c r="D321" i="11"/>
  <c r="D322" i="11"/>
  <c r="D323" i="11"/>
  <c r="D324" i="11"/>
  <c r="D325" i="11"/>
  <c r="D326" i="11"/>
  <c r="D327" i="11"/>
  <c r="D328" i="11"/>
  <c r="D329" i="11"/>
  <c r="D330" i="11"/>
  <c r="D331" i="11"/>
  <c r="D332" i="11"/>
  <c r="D333" i="11"/>
  <c r="D334" i="11"/>
  <c r="D335" i="11"/>
  <c r="D336" i="11"/>
  <c r="D337" i="11"/>
  <c r="D338" i="11"/>
  <c r="D339" i="11"/>
  <c r="D340" i="11"/>
  <c r="D341" i="11"/>
  <c r="D342" i="11"/>
  <c r="D343" i="11"/>
  <c r="D344" i="11"/>
  <c r="D345" i="11"/>
  <c r="D346" i="11"/>
  <c r="D347" i="11"/>
  <c r="D348" i="11"/>
  <c r="D349" i="11"/>
  <c r="D350" i="11"/>
  <c r="D351" i="11"/>
  <c r="D352" i="11"/>
  <c r="D353" i="11"/>
  <c r="D354" i="11"/>
  <c r="D355" i="11"/>
  <c r="D356" i="11"/>
  <c r="D357" i="11"/>
  <c r="D358" i="11"/>
  <c r="D359" i="11"/>
  <c r="D360" i="11"/>
  <c r="D361" i="11"/>
  <c r="D362" i="11"/>
  <c r="D363" i="11"/>
  <c r="D364" i="11"/>
  <c r="D365" i="11"/>
  <c r="D366" i="11"/>
  <c r="D367" i="11"/>
  <c r="D368" i="11"/>
  <c r="D369" i="11"/>
  <c r="D370" i="11"/>
  <c r="D371" i="11"/>
  <c r="D372" i="11"/>
  <c r="D373" i="11"/>
  <c r="D374" i="11"/>
  <c r="D375" i="11"/>
  <c r="D376" i="11"/>
  <c r="D377" i="11"/>
  <c r="D378" i="11"/>
  <c r="D379" i="11"/>
  <c r="D380" i="11"/>
  <c r="D381" i="11"/>
  <c r="D382" i="11"/>
  <c r="D383" i="11"/>
  <c r="D384" i="11"/>
  <c r="D385" i="11"/>
  <c r="D386" i="11"/>
  <c r="D387" i="11"/>
  <c r="D388" i="11"/>
  <c r="D389" i="11"/>
  <c r="D390" i="11"/>
  <c r="D391" i="11"/>
  <c r="D392" i="11"/>
  <c r="D393" i="11"/>
  <c r="D394" i="11"/>
  <c r="D395" i="11"/>
  <c r="D396" i="11"/>
  <c r="D397" i="11"/>
  <c r="D398" i="11"/>
  <c r="D399" i="11"/>
  <c r="D400" i="11"/>
  <c r="D401" i="11"/>
  <c r="D402" i="11"/>
  <c r="D403" i="11"/>
  <c r="D404" i="11"/>
  <c r="D405" i="11"/>
  <c r="D406" i="11"/>
  <c r="D407" i="11"/>
  <c r="D408" i="11"/>
  <c r="D409" i="11"/>
  <c r="D410" i="11"/>
  <c r="D411" i="11"/>
  <c r="D412" i="11"/>
  <c r="D413" i="11"/>
  <c r="D414" i="11"/>
  <c r="D415" i="11"/>
  <c r="D416" i="11"/>
  <c r="D417" i="11"/>
  <c r="D418" i="11"/>
  <c r="D419" i="11"/>
  <c r="D420" i="11"/>
  <c r="D421" i="11"/>
  <c r="D422" i="11"/>
  <c r="D423" i="11"/>
  <c r="D424" i="11"/>
  <c r="D425" i="11"/>
  <c r="D426" i="11"/>
  <c r="D427" i="11"/>
  <c r="D428" i="11"/>
  <c r="D429" i="11"/>
  <c r="D430" i="11"/>
  <c r="D431" i="11"/>
  <c r="D432" i="11"/>
  <c r="D433" i="11"/>
  <c r="D434" i="11"/>
  <c r="D435" i="11"/>
  <c r="D436" i="11"/>
  <c r="D437" i="11"/>
  <c r="D438" i="11"/>
  <c r="D439" i="11"/>
  <c r="D440" i="11"/>
  <c r="D441" i="11"/>
  <c r="D442" i="11"/>
  <c r="D443" i="11"/>
  <c r="D444" i="11"/>
  <c r="D445" i="11"/>
  <c r="D446" i="11"/>
  <c r="D447" i="11"/>
  <c r="D448" i="11"/>
  <c r="D449" i="11"/>
  <c r="D450" i="11"/>
  <c r="D451" i="11"/>
  <c r="D452" i="11"/>
  <c r="D453" i="11"/>
  <c r="D454" i="11"/>
  <c r="D455" i="11"/>
  <c r="D456" i="11"/>
  <c r="D457" i="11"/>
  <c r="D458" i="11"/>
  <c r="D459" i="11"/>
  <c r="D460" i="11"/>
  <c r="D461" i="11"/>
  <c r="D462" i="11"/>
  <c r="D463" i="11"/>
  <c r="D464" i="11"/>
  <c r="D465" i="11"/>
  <c r="D466" i="11"/>
  <c r="D467" i="11"/>
  <c r="D468" i="11"/>
  <c r="D469" i="11"/>
  <c r="D470" i="11"/>
  <c r="D471" i="11"/>
  <c r="D472" i="11"/>
  <c r="D473" i="11"/>
  <c r="D474" i="11"/>
  <c r="D475" i="11"/>
  <c r="D476" i="11"/>
  <c r="D477" i="11"/>
  <c r="D478" i="11"/>
  <c r="D479" i="11"/>
  <c r="D480" i="11"/>
  <c r="D481" i="11"/>
  <c r="D482" i="11"/>
  <c r="D483" i="11"/>
  <c r="D484" i="11"/>
  <c r="D485" i="11"/>
  <c r="D486" i="11"/>
  <c r="D487" i="11"/>
  <c r="D488" i="11"/>
  <c r="D489" i="11"/>
  <c r="D490" i="11"/>
  <c r="D491" i="11"/>
  <c r="D492" i="11"/>
  <c r="D493" i="11"/>
  <c r="D494" i="11"/>
  <c r="D495" i="11"/>
  <c r="D496" i="11"/>
  <c r="D497" i="11"/>
  <c r="D498" i="11"/>
  <c r="D499" i="11"/>
  <c r="D500" i="11"/>
  <c r="D501" i="11"/>
  <c r="D502" i="11"/>
  <c r="D503" i="11"/>
  <c r="D504" i="11"/>
  <c r="D505" i="11"/>
  <c r="D506" i="11"/>
  <c r="D507" i="11"/>
  <c r="D508" i="11"/>
  <c r="D509" i="11"/>
  <c r="D510" i="11"/>
  <c r="D511" i="11"/>
  <c r="D512" i="11"/>
  <c r="D513" i="11"/>
  <c r="D514" i="11"/>
  <c r="D515" i="11"/>
  <c r="D516" i="11"/>
  <c r="D517" i="11"/>
  <c r="D518" i="11"/>
  <c r="D519" i="11"/>
  <c r="D520" i="11"/>
  <c r="D521" i="11"/>
  <c r="D522" i="11"/>
  <c r="D524" i="11"/>
  <c r="D6" i="11"/>
  <c r="C12" i="1"/>
  <c r="C11" i="1"/>
  <c r="C10" i="1"/>
  <c r="C9" i="1"/>
  <c r="C8" i="1"/>
  <c r="C7" i="1"/>
  <c r="C6" i="1"/>
  <c r="C5" i="1"/>
  <c r="G7" i="9"/>
  <c r="I7" i="9" s="1"/>
  <c r="F7" i="9"/>
  <c r="E7" i="9"/>
  <c r="D7" i="9"/>
  <c r="C7" i="9"/>
  <c r="B7" i="9"/>
  <c r="A7" i="9"/>
  <c r="G7" i="8"/>
  <c r="I7" i="8" s="1"/>
  <c r="F7" i="8"/>
  <c r="E7" i="8"/>
  <c r="D7" i="8"/>
  <c r="C7" i="8"/>
  <c r="B7" i="8"/>
  <c r="A7" i="8"/>
  <c r="G7" i="7"/>
  <c r="F7" i="7"/>
  <c r="E7" i="7"/>
  <c r="D7" i="7"/>
  <c r="C7" i="7"/>
  <c r="B7" i="7"/>
  <c r="A7" i="7"/>
  <c r="I7" i="6"/>
  <c r="G7" i="6"/>
  <c r="F7" i="6"/>
  <c r="E7" i="6"/>
  <c r="C7" i="6"/>
  <c r="B7" i="6"/>
  <c r="A7" i="6"/>
  <c r="G7" i="5"/>
  <c r="F7" i="5"/>
  <c r="E7" i="5"/>
  <c r="D7" i="5"/>
  <c r="C7" i="5"/>
  <c r="B7" i="5"/>
  <c r="A7" i="5"/>
  <c r="G7" i="4"/>
  <c r="F7" i="4"/>
  <c r="E7" i="4"/>
  <c r="D7" i="4"/>
  <c r="C7" i="4"/>
  <c r="B7" i="4"/>
  <c r="A7" i="4"/>
  <c r="G7" i="3"/>
  <c r="F7" i="3"/>
  <c r="E7" i="3"/>
  <c r="D7" i="3"/>
  <c r="C7" i="3"/>
  <c r="B7" i="3"/>
  <c r="A7" i="3"/>
  <c r="I12" i="1"/>
  <c r="K12" i="1" s="1"/>
  <c r="H12" i="1"/>
  <c r="G12" i="1"/>
  <c r="F12" i="1"/>
  <c r="E12" i="1"/>
  <c r="D12" i="1"/>
  <c r="B12" i="1"/>
  <c r="A12" i="1"/>
  <c r="I11" i="1"/>
  <c r="J11" i="1" s="1"/>
  <c r="H11" i="1"/>
  <c r="G11" i="1"/>
  <c r="F11" i="1"/>
  <c r="E11" i="1"/>
  <c r="D11" i="1"/>
  <c r="B11" i="1"/>
  <c r="A11" i="1"/>
  <c r="I10" i="1"/>
  <c r="H10" i="1"/>
  <c r="G10" i="1"/>
  <c r="F10" i="1"/>
  <c r="E10" i="1"/>
  <c r="D10" i="1"/>
  <c r="B10" i="1"/>
  <c r="A10" i="1"/>
  <c r="I9" i="1"/>
  <c r="H9" i="1"/>
  <c r="G9" i="1"/>
  <c r="F9" i="1"/>
  <c r="E9" i="1"/>
  <c r="D9" i="1"/>
  <c r="B9" i="1"/>
  <c r="A9" i="1"/>
  <c r="I8" i="1"/>
  <c r="H8" i="1"/>
  <c r="G8" i="1"/>
  <c r="F8" i="1"/>
  <c r="E8" i="1"/>
  <c r="D8" i="1"/>
  <c r="B8" i="1"/>
  <c r="A8" i="1"/>
  <c r="I7" i="1"/>
  <c r="H7" i="1"/>
  <c r="G7" i="1"/>
  <c r="F7" i="1"/>
  <c r="E7" i="1"/>
  <c r="D7" i="1"/>
  <c r="B7" i="1"/>
  <c r="A7" i="1"/>
  <c r="I6" i="1"/>
  <c r="H6" i="1"/>
  <c r="G6" i="1"/>
  <c r="F6" i="1"/>
  <c r="E6" i="1"/>
  <c r="D6" i="1"/>
  <c r="B6" i="1"/>
  <c r="A6" i="1"/>
  <c r="I5" i="1"/>
  <c r="H5" i="1"/>
  <c r="G5" i="1"/>
  <c r="F5" i="1"/>
  <c r="E5" i="1"/>
  <c r="D5" i="1"/>
  <c r="B5" i="1"/>
  <c r="A5" i="1"/>
  <c r="I7" i="7" l="1"/>
  <c r="K10" i="1"/>
  <c r="J10" i="1"/>
  <c r="K11" i="1"/>
  <c r="K8" i="1"/>
  <c r="K7" i="6"/>
  <c r="K9" i="1"/>
  <c r="J8" i="1"/>
  <c r="I7" i="5"/>
  <c r="H7" i="5"/>
  <c r="J7" i="1"/>
  <c r="H7" i="4"/>
  <c r="I7" i="4"/>
  <c r="I13" i="1"/>
  <c r="E13" i="1"/>
  <c r="F13" i="1"/>
  <c r="G13" i="1"/>
  <c r="D13" i="1"/>
  <c r="I7" i="3"/>
  <c r="C13" i="1"/>
  <c r="K6" i="1"/>
  <c r="H13" i="1"/>
  <c r="J6" i="1"/>
  <c r="J9" i="1"/>
  <c r="J5" i="1"/>
  <c r="H7" i="3"/>
  <c r="K7" i="1"/>
  <c r="K5" i="1"/>
  <c r="J7" i="6"/>
  <c r="H7" i="7"/>
  <c r="J12" i="1"/>
  <c r="H7" i="8"/>
  <c r="H7" i="9"/>
  <c r="J13" i="1" l="1"/>
  <c r="K1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Inis Gan</author>
  </authors>
  <commentList>
    <comment ref="E5" authorId="0" shapeId="0" xr:uid="{10FB733C-3F2C-47D2-B086-E5D7831240AF}">
      <text>
        <r>
          <rPr>
            <b/>
            <sz val="9"/>
            <color indexed="81"/>
            <rFont val="Tahoma"/>
            <charset val="1"/>
          </rPr>
          <t>Inis Gan:</t>
        </r>
        <r>
          <rPr>
            <sz val="9"/>
            <color indexed="81"/>
            <rFont val="Tahoma"/>
            <charset val="1"/>
          </rPr>
          <t xml:space="preserve">
N/As for suppliers etc as they are not yet quoted but will be needed for newbuilds anyways</t>
        </r>
      </text>
    </comment>
    <comment ref="M5" authorId="0" shapeId="0" xr:uid="{40CF9F14-17F9-4A49-A6A5-A5AB175751C7}">
      <text>
        <r>
          <rPr>
            <b/>
            <sz val="9"/>
            <color indexed="81"/>
            <rFont val="Tahoma"/>
            <charset val="1"/>
          </rPr>
          <t>Inis Gan:</t>
        </r>
        <r>
          <rPr>
            <sz val="9"/>
            <color indexed="81"/>
            <rFont val="Tahoma"/>
            <charset val="1"/>
          </rPr>
          <t xml:space="preserve">
Fixed but empy names as they are standard items for newbuilds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<sst xmlns="http://schemas.openxmlformats.org/spreadsheetml/2006/main" count="7657" uniqueCount="1055">
  <si>
    <t>Vessel names and shipyards pull automatically from each vessel sheet. All counts update live.</t>
  </si>
  <si>
    <t>Vessel Name</t>
  </si>
  <si>
    <t>Shipyard</t>
  </si>
  <si>
    <t>Not Created</t>
  </si>
  <si>
    <t>To Be Created</t>
  </si>
  <si>
    <t>Pending Approval</t>
  </si>
  <si>
    <t>Approved &amp; Issued</t>
  </si>
  <si>
    <t>Pending Delivery</t>
  </si>
  <si>
    <t>Delivered</t>
  </si>
  <si>
    <t>Total POs</t>
  </si>
  <si>
    <t>% Issued</t>
  </si>
  <si>
    <t>% Delivered</t>
  </si>
  <si>
    <t>FLEET TOTAL</t>
  </si>
  <si>
    <t>🚢  Vessel Purchase Order Tracker</t>
  </si>
  <si>
    <t>Vessel Name:</t>
  </si>
  <si>
    <t>← e.g. Seaspan New York</t>
  </si>
  <si>
    <t>Shipyard:</t>
  </si>
  <si>
    <t>← e.g. YZJ Shipyard</t>
  </si>
  <si>
    <t>Vessel Delivery Date:</t>
  </si>
  <si>
    <t>← Enter date as: 01-Jun-2025</t>
  </si>
  <si>
    <t>📅  Date fields: Enter dates as DD-MMM-YYYY format (e.g. 15-Jan-2025). Columns F &amp; G are date columns.</t>
  </si>
  <si>
    <t>S/N</t>
  </si>
  <si>
    <t>PO Number</t>
  </si>
  <si>
    <t>PO Name</t>
  </si>
  <si>
    <t>Category</t>
  </si>
  <si>
    <t>Status</t>
  </si>
  <si>
    <t>PO Issue Date</t>
  </si>
  <si>
    <t>Req. Delivery Date</t>
  </si>
  <si>
    <t>Reason / Remarks</t>
  </si>
  <si>
    <t>🚢  Newbuild PO Summary</t>
  </si>
  <si>
    <t>GLIG-60007/25</t>
  </si>
  <si>
    <t>FS services</t>
  </si>
  <si>
    <t>GLIG-60010/26-1</t>
  </si>
  <si>
    <t>FS-VLINK-H1610</t>
  </si>
  <si>
    <t>GLIG-60022/26-1</t>
  </si>
  <si>
    <t>FS-LENOVO-Lighthouse</t>
  </si>
  <si>
    <t>GLIG-60026/26-2</t>
  </si>
  <si>
    <t>Reliability Spares - 10,8K CEU SWS - GVT- Eltronic</t>
  </si>
  <si>
    <t>GLIG-60023/26-1</t>
  </si>
  <si>
    <t>FS-ITBP CABLES</t>
  </si>
  <si>
    <t>GLIG-60003/25</t>
  </si>
  <si>
    <t>Citadel VHF/GPS and UHF ANTENNA system</t>
  </si>
  <si>
    <t>GLIG-60009/26</t>
  </si>
  <si>
    <t>FS-ITBP  -1</t>
  </si>
  <si>
    <t>GLIG-60015/26-1</t>
  </si>
  <si>
    <t>FS-X10</t>
  </si>
  <si>
    <t>GLIG-60018/26</t>
  </si>
  <si>
    <t>FS-KVH-LIGHTHOUSE</t>
  </si>
  <si>
    <t>GLIG-60013/26-1</t>
  </si>
  <si>
    <t>FS-VLINK-Accessories</t>
  </si>
  <si>
    <t>GLIG-60017/26-1</t>
  </si>
  <si>
    <t>FS-SIHUI</t>
  </si>
  <si>
    <t>Wartsila Training PCTC</t>
  </si>
  <si>
    <t>GLIG-60033/26-1</t>
  </si>
  <si>
    <t>Reliability Spares - PCTC-Seaspan - Boilers QUOT26012103</t>
  </si>
  <si>
    <t>GLIG-60002/25-1</t>
  </si>
  <si>
    <t>Pre-Delivery - Lubes</t>
  </si>
  <si>
    <t>GLIG-60020/26</t>
  </si>
  <si>
    <t>Interface -equipment-lighthouse</t>
  </si>
  <si>
    <t>Reliabiltiy Spares - Gas Detection System</t>
  </si>
  <si>
    <t>GLIG-60019/26-1</t>
  </si>
  <si>
    <t>FS-KVH -LIGHTHOUSE UPDATED</t>
  </si>
  <si>
    <t>GLIG-60034/26-1</t>
  </si>
  <si>
    <t>Jonghap - PCTC Loose Fittings Procurement</t>
  </si>
  <si>
    <t>Buyer Supply - 10,800 PCTC Citadel VHF/GPS and UHF ANTENNA system</t>
  </si>
  <si>
    <t>GLIG-60021/26-1</t>
  </si>
  <si>
    <t>FS-Interface-Light house</t>
  </si>
  <si>
    <t>GLIG-60012/26-1</t>
  </si>
  <si>
    <t>FS-ITBP  -glovis lighthouse</t>
  </si>
  <si>
    <t>GLIG-60029/26-1</t>
  </si>
  <si>
    <t>FS-ITBP MISC LAB KIT</t>
  </si>
  <si>
    <t>GLIG-60030/26-1</t>
  </si>
  <si>
    <t>Pre Delivery Lubes Order# 3 (5714478288)</t>
  </si>
  <si>
    <t>GLIG-60038/26-1</t>
  </si>
  <si>
    <t>Reliability Spares - Fire detection system</t>
  </si>
  <si>
    <t>GLIG-60005/26-1</t>
  </si>
  <si>
    <t>Shipyard Extra Owner supply - Captains Eye</t>
  </si>
  <si>
    <t>GLIG-60024/26-1</t>
  </si>
  <si>
    <t>Shipyard Extra Buyer Supply - HiNAS SVM 10800 A-Q-2025-09-02_R0</t>
  </si>
  <si>
    <t>GLIG-60001/25-1</t>
  </si>
  <si>
    <t>Lubricants - Pre Delivery</t>
  </si>
  <si>
    <t>GLIG-60032/26</t>
  </si>
  <si>
    <t>FS-ITBP-LICENSES</t>
  </si>
  <si>
    <t>GLIG-60016/26</t>
  </si>
  <si>
    <t>Sihui Marine-light house</t>
  </si>
  <si>
    <t>GLIG-60027/26-1</t>
  </si>
  <si>
    <t>FS-VLINK CABLE</t>
  </si>
  <si>
    <t>GLIG-60014/26</t>
  </si>
  <si>
    <t>GLIG-60003/26-1</t>
  </si>
  <si>
    <t>Interface PO</t>
  </si>
  <si>
    <t>GLIG-60025/26-1</t>
  </si>
  <si>
    <t>PD Lubes - VLSQ61941 - Kaeser Fluid Rotary S-46X</t>
  </si>
  <si>
    <t>GLIG-60001/26</t>
  </si>
  <si>
    <t>FS</t>
  </si>
  <si>
    <t>GLIG-60002/26</t>
  </si>
  <si>
    <t>fs interface</t>
  </si>
  <si>
    <t>GLIG-60008/26-1</t>
  </si>
  <si>
    <t>AST PO</t>
  </si>
  <si>
    <t>GLIG-60005/25-1</t>
  </si>
  <si>
    <t>SHIPYARD EXTRA OWNER SUPPLY - SWS-10.8k CEU extra cost for SMiG application</t>
  </si>
  <si>
    <t>GLIG-60028/26-1</t>
  </si>
  <si>
    <t>FS-ITBP Additional Item</t>
  </si>
  <si>
    <t>GLIG-60037/26-1</t>
  </si>
  <si>
    <t>FS-VLINK-Starlink Accessories</t>
  </si>
  <si>
    <t>Ultrasonic Cleaning system - 230V</t>
  </si>
  <si>
    <t>OPA 90 KIT - 12-barrel kit</t>
  </si>
  <si>
    <t>H.P machine - 2pcs (prefer Branded - Karcher/ KEW)</t>
  </si>
  <si>
    <t>2. LOTO Stickers</t>
  </si>
  <si>
    <t>3. Steam Splash Suit</t>
  </si>
  <si>
    <t>4. Chemical tags</t>
  </si>
  <si>
    <t>5. Trelleborg Safe lanes</t>
  </si>
  <si>
    <t>8. Explosion Proof Camera</t>
  </si>
  <si>
    <t>10. Temperature &amp; Pressure Calibrators</t>
  </si>
  <si>
    <t>11. VISWA Line Samplers</t>
  </si>
  <si>
    <t>12. Standard Chinese stationery </t>
  </si>
  <si>
    <t>13. Air driven HP Pump - For hydraulic nuts for M/E - From Dan Marine or VLINK</t>
  </si>
  <si>
    <t>Chemical</t>
  </si>
  <si>
    <t>Mooring Rope</t>
  </si>
  <si>
    <t>Impa Stores Stationery</t>
  </si>
  <si>
    <t>Impa Stores - SOPEP</t>
  </si>
  <si>
    <t>Impa Stores - Deck</t>
  </si>
  <si>
    <t>Impa Stores - Bridge</t>
  </si>
  <si>
    <t>Impa Stores - Gym</t>
  </si>
  <si>
    <t>Impa Stores - Crew</t>
  </si>
  <si>
    <t>Impa Stores - FFE</t>
  </si>
  <si>
    <t>Impa Stores - Company Stationery</t>
  </si>
  <si>
    <t>Impa Stores - BA Compressor</t>
  </si>
  <si>
    <t>Impa Stores - ACC</t>
  </si>
  <si>
    <t>Impa Stores - Galley</t>
  </si>
  <si>
    <t>Impa Stores - Engine</t>
  </si>
  <si>
    <t>Impa Stores - Electric</t>
  </si>
  <si>
    <t>Impa Stores - Instrumenation</t>
  </si>
  <si>
    <t>UHF Radio</t>
  </si>
  <si>
    <t xml:space="preserve">Soot </t>
  </si>
  <si>
    <t>Garbage Refrigerator</t>
  </si>
  <si>
    <t>DF Tools</t>
  </si>
  <si>
    <t>UHF Antenna</t>
  </si>
  <si>
    <t>Citadel Items</t>
  </si>
  <si>
    <t>Stanchions</t>
  </si>
  <si>
    <t>Glycol</t>
  </si>
  <si>
    <t>19-01-2026</t>
  </si>
  <si>
    <t>10-02-2026</t>
  </si>
  <si>
    <t>03-03-2026</t>
  </si>
  <si>
    <t>21-01-2026</t>
  </si>
  <si>
    <t>23-01-2026</t>
  </si>
  <si>
    <t>26-01-2026</t>
  </si>
  <si>
    <t>02-03-2026</t>
  </si>
  <si>
    <t>29-01-2026</t>
  </si>
  <si>
    <t>24-02-2026</t>
  </si>
  <si>
    <t>15-01-2026</t>
  </si>
  <si>
    <t>17-02-2026</t>
  </si>
  <si>
    <t>25-02-2026</t>
  </si>
  <si>
    <t>20-01-2026</t>
  </si>
  <si>
    <t>11-02-2026</t>
  </si>
  <si>
    <t>12-02-2026</t>
  </si>
  <si>
    <t>19-02-2026</t>
  </si>
  <si>
    <t>Glovis Lighthouse</t>
  </si>
  <si>
    <t>Others</t>
  </si>
  <si>
    <t>Spares</t>
  </si>
  <si>
    <t>Po 000030180276 Dummy Po raised as Vendor not enlisted in Jibe</t>
  </si>
  <si>
    <t>IT Po</t>
  </si>
  <si>
    <t>Awaiting Readiness</t>
  </si>
  <si>
    <t>Service</t>
  </si>
  <si>
    <t>Lube Oil</t>
  </si>
  <si>
    <t>Order #5713665401 shud be delivered</t>
  </si>
  <si>
    <t>Dummy Po 000030180276 created as Vendor not in Jibe</t>
  </si>
  <si>
    <t>Delivered as per POD</t>
  </si>
  <si>
    <t xml:space="preserve">RSC Lube oil - qty </t>
  </si>
  <si>
    <t xml:space="preserve">QC DC </t>
  </si>
  <si>
    <t>Manuals for all equipment- priority for BWTS, STP, OWS, EMGCY AC, EMCY GEN</t>
  </si>
  <si>
    <t>Domestic refrigerators 200 litres for rec rooms to be added to stores supplies</t>
  </si>
  <si>
    <t>Breathing air compressor</t>
  </si>
  <si>
    <t>ozone sterliser</t>
  </si>
  <si>
    <t>suez light</t>
  </si>
  <si>
    <t>Item no 11, loose equipment for emergency operation of roro equipment</t>
  </si>
  <si>
    <t>Reefer cable and plugs extensions</t>
  </si>
  <si>
    <t xml:space="preserve">Manual chain blocks </t>
  </si>
  <si>
    <t>Gas meters</t>
  </si>
  <si>
    <t>Welding machine in Workshop 440 v</t>
  </si>
  <si>
    <t>Seyi to push Su for manuals</t>
  </si>
  <si>
    <t>seyi will provide details on if need to supply</t>
  </si>
  <si>
    <t>Seyi to confirmif this is needed</t>
  </si>
  <si>
    <t>QTY REQUIRED</t>
  </si>
  <si>
    <t>Specifications needed from Seyi</t>
  </si>
  <si>
    <t>Seyi to check if yard is supplying</t>
  </si>
  <si>
    <t>SWS</t>
  </si>
  <si>
    <t>Glovis Link</t>
  </si>
  <si>
    <t>GLIN-60016/26-1</t>
  </si>
  <si>
    <t>GLIN-60019/26</t>
  </si>
  <si>
    <t>GLIN-60005/26-1</t>
  </si>
  <si>
    <t>GLIN-60013/26-1</t>
  </si>
  <si>
    <t>GLIN-60009/26-1</t>
  </si>
  <si>
    <t>GLIN-60012/26-1</t>
  </si>
  <si>
    <t>GLIN-60011/26-1</t>
  </si>
  <si>
    <t>GLIN-60004/26-1</t>
  </si>
  <si>
    <t>GLIN-60017/26-1</t>
  </si>
  <si>
    <t>GLIN-60020/26</t>
  </si>
  <si>
    <t>GLIN-60006/26-1</t>
  </si>
  <si>
    <t>GLIN-60003/26-1</t>
  </si>
  <si>
    <t>GLIN-60023/26-1</t>
  </si>
  <si>
    <t>GLIN-60007/26-1</t>
  </si>
  <si>
    <t>GLIN-60015/26-1</t>
  </si>
  <si>
    <t>GLIN-60010/26-1</t>
  </si>
  <si>
    <t>GLIN-60008/26-1</t>
  </si>
  <si>
    <t>GLIN-60002/26-1</t>
  </si>
  <si>
    <t>GLIN-60024/26-1</t>
  </si>
  <si>
    <t>GLIN-60021/26</t>
  </si>
  <si>
    <t>GLIN-60018/26-1</t>
  </si>
  <si>
    <t>GLIN-60022/26-1</t>
  </si>
  <si>
    <t>Reliability Spares - PCTC-Seaspan - Boilers QUOT26012103_R00</t>
  </si>
  <si>
    <t>FS-ITBP  -glovis link</t>
  </si>
  <si>
    <t>FS-SIHUI-link</t>
  </si>
  <si>
    <t>FS-LENOVO-Link</t>
  </si>
  <si>
    <t>Shipyard Extra (Owner supply) - 10800 CEU LNG PCTC _x0013_ Consilium SMiG Integration</t>
  </si>
  <si>
    <t>FS-VLINK-H1612</t>
  </si>
  <si>
    <t>Interface PO-H1612</t>
  </si>
  <si>
    <t>Shipyard Extra Buyers supply - Hinas SVM SEASPAN 10.8K PCTC</t>
  </si>
  <si>
    <t>FS-KVH-SWS</t>
  </si>
  <si>
    <t>FS -AST-LINK</t>
  </si>
  <si>
    <t>Predelivery - Visga 46 5715010143</t>
  </si>
  <si>
    <t>SHIPYARD EXTRA OWNER SUPPLY- Abanaki Skimmers</t>
  </si>
  <si>
    <t>PD - RSC Envirologic</t>
  </si>
  <si>
    <t>06-03-2026</t>
  </si>
  <si>
    <t>It’s a Service, they shall advise the delivery dates shortly</t>
  </si>
  <si>
    <t>Duplicate</t>
  </si>
  <si>
    <t>To advise Shipping Address</t>
  </si>
  <si>
    <t>Seyi to advsie Email Id's of Avikus</t>
  </si>
  <si>
    <t>Awaiting Delivery</t>
  </si>
  <si>
    <t>Po shared with supplier, to be approved</t>
  </si>
  <si>
    <t>Seyi to advise exact Qty</t>
  </si>
  <si>
    <t>Po to be Approved</t>
  </si>
  <si>
    <t>Po 000030180277 Dummy Po raised as Vendor not enlisted in Jibe</t>
  </si>
  <si>
    <t>PCTC Loose Fittings Procurement</t>
  </si>
  <si>
    <t>Vendor to be enlisted in database</t>
  </si>
  <si>
    <t>Dummy Po shared awaiting vendor to be enlisted</t>
  </si>
  <si>
    <t>To check with BG as unable to see this Po</t>
  </si>
  <si>
    <t>Glovis Logos</t>
  </si>
  <si>
    <t>GLOG-60010/26-1</t>
  </si>
  <si>
    <t>GLOG-60008/26-1</t>
  </si>
  <si>
    <t>GLOG-60005/26-1</t>
  </si>
  <si>
    <t>GLOG-60011/26-1</t>
  </si>
  <si>
    <t>GLOG-60017/26-1</t>
  </si>
  <si>
    <t>GLOG-60019/26-1</t>
  </si>
  <si>
    <t>GLOG-60009/26-1</t>
  </si>
  <si>
    <t>GLOG-60007/26-1</t>
  </si>
  <si>
    <t>GLOG-60014/26-1</t>
  </si>
  <si>
    <t>GLOG-60006/26-1</t>
  </si>
  <si>
    <t>GLOG-60003/26</t>
  </si>
  <si>
    <t>GLOG-60002/26-1</t>
  </si>
  <si>
    <t>GLOG-60012/26-1</t>
  </si>
  <si>
    <t>GLOG-60013/26-1</t>
  </si>
  <si>
    <t>GLOG-60018/26-1</t>
  </si>
  <si>
    <t>GLOG-60001/26-1</t>
  </si>
  <si>
    <t>GLOG-60016/26</t>
  </si>
  <si>
    <t>Shipyard Extra Buyers Supply - Hinas SVM SEASPAN 10.8K PCTC</t>
  </si>
  <si>
    <t>FS-LENOVO-Logos</t>
  </si>
  <si>
    <t>FS-AST-LOGOS</t>
  </si>
  <si>
    <t>Shipyard Extra (owner supply) 10800 CEU LNG PCTC _x0013_ Consilium SMiG Integration</t>
  </si>
  <si>
    <t>FS-ITBP  -LOGOS</t>
  </si>
  <si>
    <t>FS-AST-SAMPLE</t>
  </si>
  <si>
    <t>FS-KVH-SWS-LOGOS</t>
  </si>
  <si>
    <t>27-01-2026</t>
  </si>
  <si>
    <t>18-02-2026</t>
  </si>
  <si>
    <t>Seyi to advise Qty</t>
  </si>
  <si>
    <t>To advise Shipping Instructions</t>
  </si>
  <si>
    <t xml:space="preserve">GLIN-60001/26 </t>
  </si>
  <si>
    <t>Glovis Loyal</t>
  </si>
  <si>
    <t>GLOY-60014/26-1</t>
  </si>
  <si>
    <t>GLOY-60002/26-1</t>
  </si>
  <si>
    <t>GLOY-60016/26</t>
  </si>
  <si>
    <t>GLOY-60019/26-1</t>
  </si>
  <si>
    <t>GLOY-60009/26-1</t>
  </si>
  <si>
    <t>GLOY-60001/26-1</t>
  </si>
  <si>
    <t>GLOY-60004/26-1</t>
  </si>
  <si>
    <t>GLOY-60005/26-1</t>
  </si>
  <si>
    <t>GLOY-60006/26-1</t>
  </si>
  <si>
    <t>GLOY-60013/26-1</t>
  </si>
  <si>
    <t>GLOY-60017/26-1</t>
  </si>
  <si>
    <t>GLOY-60010/26-1</t>
  </si>
  <si>
    <t>GLOY-60007/26-1</t>
  </si>
  <si>
    <t>GLOY-60012/26-1</t>
  </si>
  <si>
    <t>GLOY-60008/26-1</t>
  </si>
  <si>
    <t>GLOY-60018/26-1</t>
  </si>
  <si>
    <t>FS-KVH-SWS-LOYAL</t>
  </si>
  <si>
    <t>FS-AST-LOYOL</t>
  </si>
  <si>
    <t>FS-ITBP  -LOYAL</t>
  </si>
  <si>
    <t>SHIPYARD EXTRA OWNER SUPLPY - 10800 CEU LNG PCTC _x0013_ Consilium SMiG Integration</t>
  </si>
  <si>
    <t>FS-LENOVO-Loyal</t>
  </si>
  <si>
    <t>13-02-2026</t>
  </si>
  <si>
    <t>Main Engine  </t>
  </si>
  <si>
    <t xml:space="preserve"> Aux. Engine</t>
  </si>
  <si>
    <t>RO-RO Equipment (Main &amp; Centre Ramp spares + inner Ramp spares)</t>
  </si>
  <si>
    <t>HP Pump Skid</t>
  </si>
  <si>
    <t>Nitrogen Generator</t>
  </si>
  <si>
    <t>Po to be created however shared to Supplier</t>
  </si>
  <si>
    <t>Po to be created however shared with Hermont</t>
  </si>
  <si>
    <t>Yard Free Supply</t>
  </si>
  <si>
    <t>Stancions</t>
  </si>
  <si>
    <t>Seyi to check qty</t>
  </si>
  <si>
    <t>New Positioning System for Transiting Neopanamax - Buyer Supply</t>
  </si>
  <si>
    <t>Oil Skimmers for engine room</t>
  </si>
  <si>
    <t>Garbage compactor in garbage room and engine room</t>
  </si>
  <si>
    <t>Cable for electrical power shore connection</t>
  </si>
  <si>
    <t>Two (2) receptacles in officer's mess room, crew's mess room for electric wall type fan</t>
  </si>
  <si>
    <t>One (1) receptacle in public space (conference room, gymnasium, galley, crew's recreation room, offcier's recreation room, ship office) for electric wall type fan.</t>
  </si>
  <si>
    <t>Electric Hoist</t>
  </si>
  <si>
    <t>Soot Release Dosing Device- Qty?</t>
  </si>
  <si>
    <t>Garbage refrigerator in dry provision store</t>
  </si>
  <si>
    <t>Captain eye</t>
  </si>
  <si>
    <t>ORCA-AI</t>
  </si>
  <si>
    <t>Two (2) explosion-proof portable thermal imaging cameras</t>
  </si>
  <si>
    <t xml:space="preserve">Smart Docking system (Buyer Supply) - </t>
  </si>
  <si>
    <t>HiNAS SVM (Surround View Monitoring)</t>
  </si>
  <si>
    <t>Sampling Cooler- Qty?</t>
  </si>
  <si>
    <t>UHF radios</t>
  </si>
  <si>
    <t>BA compressor</t>
  </si>
  <si>
    <t>QC DC Supply</t>
  </si>
  <si>
    <t xml:space="preserve">Ozone sterilizer </t>
  </si>
  <si>
    <t xml:space="preserve">Suez Light </t>
  </si>
  <si>
    <t xml:space="preserve">lube oil for Sailing quantity </t>
  </si>
  <si>
    <t>Oxygen fastening rack and strap</t>
  </si>
  <si>
    <r>
      <t>25</t>
    </r>
    <r>
      <rPr>
        <vertAlign val="superscript"/>
        <sz val="10"/>
        <color theme="1"/>
        <rFont val="Aptos"/>
        <family val="2"/>
      </rPr>
      <t>th</t>
    </r>
    <r>
      <rPr>
        <sz val="10"/>
        <color theme="1"/>
        <rFont val="Aptos"/>
        <family val="2"/>
      </rPr>
      <t xml:space="preserve"> March 2026</t>
    </r>
  </si>
  <si>
    <t xml:space="preserve"> Sahaya to confirm this is ordered</t>
  </si>
  <si>
    <r>
      <t>25</t>
    </r>
    <r>
      <rPr>
        <vertAlign val="superscript"/>
        <sz val="10"/>
        <color theme="1"/>
        <rFont val="Aptos"/>
        <family val="2"/>
      </rPr>
      <t>th</t>
    </r>
    <r>
      <rPr>
        <sz val="10"/>
        <color theme="1"/>
        <rFont val="Aptos"/>
        <family val="2"/>
      </rPr>
      <t xml:space="preserve"> April 2026</t>
    </r>
  </si>
  <si>
    <t xml:space="preserve">Order place, sahay to folow up on delivery </t>
  </si>
  <si>
    <t>Needs specification</t>
  </si>
  <si>
    <t>Seyi to confirm quantity</t>
  </si>
  <si>
    <r>
      <t>24</t>
    </r>
    <r>
      <rPr>
        <vertAlign val="superscript"/>
        <sz val="10"/>
        <color theme="1"/>
        <rFont val="Aptos"/>
        <family val="2"/>
      </rPr>
      <t>th</t>
    </r>
    <r>
      <rPr>
        <sz val="10"/>
        <color theme="1"/>
        <rFont val="Aptos"/>
        <family val="2"/>
      </rPr>
      <t xml:space="preserve"> March 2026</t>
    </r>
  </si>
  <si>
    <t>Sahaya to check FMS and place order</t>
  </si>
  <si>
    <t>we need specification</t>
  </si>
  <si>
    <t>We need quantity</t>
  </si>
  <si>
    <t>GSI/SWS please check voltage specifications</t>
  </si>
  <si>
    <t>Sahaya to issue PO at the earliest</t>
  </si>
  <si>
    <t>Waiting for ocnfirmation, minimum quantity</t>
  </si>
  <si>
    <t xml:space="preserve">seyi to confirm </t>
  </si>
  <si>
    <t>Dummy Po shared</t>
  </si>
  <si>
    <t>Po issued on Hermont</t>
  </si>
  <si>
    <t>GLAN-60031/26-1</t>
  </si>
  <si>
    <t>GLAN-60024/26-1</t>
  </si>
  <si>
    <t>GLAN-60004/26-1</t>
  </si>
  <si>
    <t>GLAN-60022/26-1</t>
  </si>
  <si>
    <t>GLAN-60017/26-1</t>
  </si>
  <si>
    <t>GLAN-60007/26-1</t>
  </si>
  <si>
    <t>GLAN-60002/26-1</t>
  </si>
  <si>
    <t>GLAN-60012/26-1</t>
  </si>
  <si>
    <t>GLAN-60026/26-1</t>
  </si>
  <si>
    <t>GLAN-60032/26-1</t>
  </si>
  <si>
    <t>GLAN-60023/26-1</t>
  </si>
  <si>
    <t>GLAN-60001/26-1</t>
  </si>
  <si>
    <t>GLAN-60010/26-1</t>
  </si>
  <si>
    <t>GLAN-60025/26-1</t>
  </si>
  <si>
    <t>GLAN-60019/26-1</t>
  </si>
  <si>
    <t>GLAN-60003/26-1</t>
  </si>
  <si>
    <t>GLAN-60011/26-1</t>
  </si>
  <si>
    <t>GLAN-60020/26-1</t>
  </si>
  <si>
    <t>GLAN-60006/26-1</t>
  </si>
  <si>
    <t>GLAN-60015/26-1</t>
  </si>
  <si>
    <t>GLAN-60030/26-1</t>
  </si>
  <si>
    <t>GLAN-60005/26-1</t>
  </si>
  <si>
    <t>GLAN-60008/26</t>
  </si>
  <si>
    <t>GLAN-60009/26-1</t>
  </si>
  <si>
    <t>GLAN-60016/26-1</t>
  </si>
  <si>
    <t>GLAN-60028/26</t>
  </si>
  <si>
    <t>GLAN-60018/26-1</t>
  </si>
  <si>
    <t>GLAN-60001/25-2</t>
  </si>
  <si>
    <t>GLAN-60021/26-1</t>
  </si>
  <si>
    <t>FS-VLINK-2411005</t>
  </si>
  <si>
    <t>Shipyard Extra Buyer Supply - Hinas SVM SEASPAN 10.8K PCTC</t>
  </si>
  <si>
    <t>Pre Delivery - Garbage Compactor</t>
  </si>
  <si>
    <t>FS-X10-LANDER</t>
  </si>
  <si>
    <t>Interface PO -24110005</t>
  </si>
  <si>
    <t>Predelivery - Additional Grades</t>
  </si>
  <si>
    <t>Predelivery Lubes - Order # 2 (5713853485)</t>
  </si>
  <si>
    <t>Pre Delivery - LNG Bunkering Equipment</t>
  </si>
  <si>
    <t>FS-SIHUI-lander</t>
  </si>
  <si>
    <t>Pre Delivery - Lubes Order# 3 (5715069528)</t>
  </si>
  <si>
    <t>Pre Delivery - Spray Pipes</t>
  </si>
  <si>
    <t>Pre Delivery - Additional Grade Copco Roto-XtendDuty</t>
  </si>
  <si>
    <t>FS-LENOVO-Lander</t>
  </si>
  <si>
    <t>FS-ITBP  -lander</t>
  </si>
  <si>
    <t>Pre Delivery - QCDC</t>
  </si>
  <si>
    <t>FS-KVH-LANDER UPDATED</t>
  </si>
  <si>
    <t>FS -AST-LANDER</t>
  </si>
  <si>
    <t>FS-Interface-Lander</t>
  </si>
  <si>
    <t>06-02-2026</t>
  </si>
  <si>
    <t>14-01-2026</t>
  </si>
  <si>
    <t>01-02-2026</t>
  </si>
  <si>
    <t>25-11-2025</t>
  </si>
  <si>
    <t>Status Awaited from Hinas</t>
  </si>
  <si>
    <t>As per POD from V-Link</t>
  </si>
  <si>
    <t>As per Delivery date Total Delivery date is pending</t>
  </si>
  <si>
    <t>As per Email</t>
  </si>
  <si>
    <t>Awaiting status from Captain Eye</t>
  </si>
  <si>
    <t>As per Delivery Date on the Quotes</t>
  </si>
  <si>
    <t>Qty to be Approved by Seyi'</t>
  </si>
  <si>
    <t>Frederic to advise the Po status</t>
  </si>
  <si>
    <t>As per the Delivery date of OC</t>
  </si>
  <si>
    <t>Reliability Spares - 10,8K CEU SWS - GVT- Korval</t>
  </si>
  <si>
    <t>Glovis Lander</t>
  </si>
  <si>
    <t>GSI</t>
  </si>
  <si>
    <t>Garbage Compactor</t>
  </si>
  <si>
    <t>Po to be Approved by VM</t>
  </si>
  <si>
    <t>To be approved by VM</t>
  </si>
  <si>
    <t>Awaiting offer from Korval</t>
  </si>
  <si>
    <t>Awaiting offer from Kangrim</t>
  </si>
  <si>
    <t>Vendor to be enlisted</t>
  </si>
  <si>
    <t>Asked to cancel</t>
  </si>
  <si>
    <t>Avikus to delay email already sent'</t>
  </si>
  <si>
    <t>Delivered on V-Link</t>
  </si>
  <si>
    <t>Service Car and Forlift</t>
  </si>
  <si>
    <t>Stores</t>
  </si>
  <si>
    <t>To be Approved</t>
  </si>
  <si>
    <t>DF Tools for Methanol Project</t>
  </si>
  <si>
    <t>Qty 2 Pcs</t>
  </si>
  <si>
    <t>Publications</t>
  </si>
  <si>
    <t>Qty 2 Pcs to be Approved</t>
  </si>
  <si>
    <t>Maintenance Chemicals</t>
  </si>
  <si>
    <t>Gases</t>
  </si>
  <si>
    <t>Refrigerant Equipment</t>
  </si>
  <si>
    <t>Crew Care</t>
  </si>
  <si>
    <t>Chemicals</t>
  </si>
  <si>
    <t>Alcometer</t>
  </si>
  <si>
    <t>Bosch GLM-50 or Laser Distance Measuring Tool</t>
  </si>
  <si>
    <t>EV Lance</t>
  </si>
  <si>
    <t>Seatrial</t>
  </si>
  <si>
    <t>To be Discussed</t>
  </si>
  <si>
    <t>Receptacles</t>
  </si>
  <si>
    <t>IT PO</t>
  </si>
  <si>
    <t>IMPA Stores Stationery</t>
  </si>
  <si>
    <t>IMPA Stores - SOPEP</t>
  </si>
  <si>
    <t>IMPA Stores - Deck</t>
  </si>
  <si>
    <t>IMPA Stores - Bridge</t>
  </si>
  <si>
    <t>IMPA Stores - Gym</t>
  </si>
  <si>
    <t>IMPA Stores - Crew</t>
  </si>
  <si>
    <t>IMPA Stores - FFE</t>
  </si>
  <si>
    <t>IMPA Stores - Company Stationery</t>
  </si>
  <si>
    <t>IMPA Stores - BA Compressor</t>
  </si>
  <si>
    <t>PO 000030180276 Dummy Po raised as Vendor not enlisted in Jibe</t>
  </si>
  <si>
    <t>Suez light</t>
  </si>
  <si>
    <t>Ozone sterliser</t>
  </si>
  <si>
    <t>LOTO Stickers</t>
  </si>
  <si>
    <t>Steam Splash Suit</t>
  </si>
  <si>
    <t>Chemical tags</t>
  </si>
  <si>
    <t>Trelleborg Safe lanes</t>
  </si>
  <si>
    <t>Seatab</t>
  </si>
  <si>
    <t>FLIR ESPro and E6 Pro</t>
  </si>
  <si>
    <t>Explosion Proof Camera</t>
  </si>
  <si>
    <t>Cryogenic PPE - Scandia</t>
  </si>
  <si>
    <t>VISWA Line Samplers</t>
  </si>
  <si>
    <t>Air driven HP Pump - For hydraulic nuts for M/E</t>
  </si>
  <si>
    <t>IMPA Stores - ACC</t>
  </si>
  <si>
    <t>IMPA Stores - Galley</t>
  </si>
  <si>
    <t>IMPA Stores - Engine</t>
  </si>
  <si>
    <t>IMPA Stores - Electric</t>
  </si>
  <si>
    <t>IMPA Stores - Instrumenation</t>
  </si>
  <si>
    <t>Thermal Stop PO</t>
  </si>
  <si>
    <t>Main Engine Spares</t>
  </si>
  <si>
    <t>Aux. Engine Spares</t>
  </si>
  <si>
    <t>GLIG-60049/26-1</t>
  </si>
  <si>
    <t>Po Issued on V-link</t>
  </si>
  <si>
    <t>GLIN-60032/26-1</t>
  </si>
  <si>
    <t>Po issued on V-Link</t>
  </si>
  <si>
    <t>GLOG-60026/26-1</t>
  </si>
  <si>
    <t xml:space="preserve"> FLIR ESPro and E6 Pro</t>
  </si>
  <si>
    <t>Po Issued to V-Link</t>
  </si>
  <si>
    <t>GLOY-60026/26-1</t>
  </si>
  <si>
    <t>GLAN-60039/26-1</t>
  </si>
  <si>
    <t>PO Issued on V-Link</t>
  </si>
  <si>
    <t>Order shipped to Yard Fedex #889699529619</t>
  </si>
  <si>
    <t>Deck Sweeper</t>
  </si>
  <si>
    <t>UHF Radio (Handheld)</t>
  </si>
  <si>
    <t>GLAN-60036/26-1</t>
  </si>
  <si>
    <t>Po issued on Xinglun</t>
  </si>
  <si>
    <t>GLAN-60034/26-1</t>
  </si>
  <si>
    <t>Po Issued on Trelleborg</t>
  </si>
  <si>
    <t>GLIG-60043/26-1</t>
  </si>
  <si>
    <t> GLIG-60052/26</t>
  </si>
  <si>
    <t> GLIG-60054/26</t>
  </si>
  <si>
    <t>Parts not enlisted</t>
  </si>
  <si>
    <t>IMPA Stores - Engine 1</t>
  </si>
  <si>
    <t>GLIG-60064/26</t>
  </si>
  <si>
    <t>GLIG-60046/26-1</t>
  </si>
  <si>
    <t>GLIG-60044/26-1</t>
  </si>
  <si>
    <t>GLIG-60036/26-1</t>
  </si>
  <si>
    <t>GLIG-60040/26-1</t>
  </si>
  <si>
    <t>GLIG-60048/26-1</t>
  </si>
  <si>
    <t>Reliability - Donghwa Spares for BOG Compressor</t>
  </si>
  <si>
    <t>GLIG-60047/26-1</t>
  </si>
  <si>
    <t>Pre Delivery - Sample Cooler</t>
  </si>
  <si>
    <t>GLIG-60042/26-1</t>
  </si>
  <si>
    <t>GLAN-60033/26-1</t>
  </si>
  <si>
    <t>GLAN-60035/26-1</t>
  </si>
  <si>
    <t>Pre Delivery - Cryogenic PPE</t>
  </si>
  <si>
    <t>GLAN-60038/26-1</t>
  </si>
  <si>
    <t>GLIN-60025/26-1</t>
  </si>
  <si>
    <t>GLIN-60026/26-1</t>
  </si>
  <si>
    <t>GLIN-60014/26-2</t>
  </si>
  <si>
    <t>Pending Supplier Confirmation</t>
  </si>
  <si>
    <t>GLIN-60027/26-1</t>
  </si>
  <si>
    <t>GLIN-60028/26-1</t>
  </si>
  <si>
    <t>GLIN-60030/26-1</t>
  </si>
  <si>
    <t>GLIN-60031/26-1</t>
  </si>
  <si>
    <t>GLOG-60020/26-1</t>
  </si>
  <si>
    <t>GLOG-60021/26-1</t>
  </si>
  <si>
    <t>GLOG-60022/26-1</t>
  </si>
  <si>
    <t>GLOG-60024/26-1</t>
  </si>
  <si>
    <t>GLOG-60025/26-1</t>
  </si>
  <si>
    <t>GLOY-60020/26-1</t>
  </si>
  <si>
    <t>GLOY-60021/26-1</t>
  </si>
  <si>
    <t>GLOY-60022/26-1</t>
  </si>
  <si>
    <t>GLOY-60024/26-1</t>
  </si>
  <si>
    <t>GLOY-60025/26-1</t>
  </si>
  <si>
    <t>GLUM-60015/26-1</t>
  </si>
  <si>
    <t>GLUM-60003/26-1</t>
  </si>
  <si>
    <t>GLUM-MVSP-60002/26-1</t>
  </si>
  <si>
    <t>GLUM-60024/26-1</t>
  </si>
  <si>
    <t>GLUM-60006/26-1</t>
  </si>
  <si>
    <t>GLUM-60019/26-1</t>
  </si>
  <si>
    <t>GLUM-60016/26-1</t>
  </si>
  <si>
    <t>GLUM-60008/26-1</t>
  </si>
  <si>
    <t>GLUM-60010/26-1</t>
  </si>
  <si>
    <t>GLUM-60023/26-1</t>
  </si>
  <si>
    <t>GLUM-60001/26-1</t>
  </si>
  <si>
    <t>GLUM-60017/26-1</t>
  </si>
  <si>
    <t>GLUM-60002/26-1</t>
  </si>
  <si>
    <t>GLUM-60022/26-1</t>
  </si>
  <si>
    <t>GLUM-60009/26-1</t>
  </si>
  <si>
    <t>GLUM-60007/26-1</t>
  </si>
  <si>
    <t>GLUM-60012/26-1</t>
  </si>
  <si>
    <t>GLUM-60020/26-1</t>
  </si>
  <si>
    <t>GLUM-60018/26-1</t>
  </si>
  <si>
    <t>GLUM-60021/26-1</t>
  </si>
  <si>
    <t>GLUM-60004/26-1</t>
  </si>
  <si>
    <t>GLUM-60005/26-1</t>
  </si>
  <si>
    <t>GLUM-60014/26</t>
  </si>
  <si>
    <t>FS-ITBP  -luminous</t>
  </si>
  <si>
    <t>FS-X10-SILVERPEAK</t>
  </si>
  <si>
    <t>Service: LNG OPERATION MANUAL Development</t>
  </si>
  <si>
    <t>Shipyard Extra Buyers Supply - Tripods and Spray Pipes</t>
  </si>
  <si>
    <t>Shipyard Extra (buyer Supply) - QCDC -GSI</t>
  </si>
  <si>
    <t>Pre Delivery - FLIR Camera</t>
  </si>
  <si>
    <t>FS-KVH-GSI</t>
  </si>
  <si>
    <t>FS-LENOVO-Luminous</t>
  </si>
  <si>
    <t>Pre Delivery - Seatab</t>
  </si>
  <si>
    <t>SHIPYARD EXTRA ONWER SUPPLY - Abanaki Skimmers</t>
  </si>
  <si>
    <t>PO Created</t>
  </si>
  <si>
    <t>GLAN-60037/26-1</t>
  </si>
  <si>
    <t>GLAN-60045/26</t>
  </si>
  <si>
    <t>GLAN-60046/26</t>
  </si>
  <si>
    <t>GLAN-60050/26</t>
  </si>
  <si>
    <t>GLAN-60054/26</t>
  </si>
  <si>
    <t>GLAN-60053/26</t>
  </si>
  <si>
    <t>GLAN-60049/26</t>
  </si>
  <si>
    <t>GLAN-60042/26</t>
  </si>
  <si>
    <t>GLAN-60044/26</t>
  </si>
  <si>
    <t>GLAN-60047/26</t>
  </si>
  <si>
    <t>GLAN-60041/26</t>
  </si>
  <si>
    <t>GLAN-60043/26</t>
  </si>
  <si>
    <t>GLAN-60051/26</t>
  </si>
  <si>
    <t>GLAN-60048/26</t>
  </si>
  <si>
    <t>GLAN-60052/26</t>
  </si>
  <si>
    <t>GLAN-60055/26</t>
  </si>
  <si>
    <t>GLIN-60033/26-1</t>
  </si>
  <si>
    <t>LNG OPERATION MANUAL Development</t>
  </si>
  <si>
    <t>GLIN-60029/26-1</t>
  </si>
  <si>
    <t>GLOG-60023/26-1</t>
  </si>
  <si>
    <t>GLOG-60027/26-1</t>
  </si>
  <si>
    <t>GLOY-60023/26-1</t>
  </si>
  <si>
    <t>GLOY-60027/26-1</t>
  </si>
  <si>
    <t>Already Delivered at Yard 220 VAC 1PH, Buyer Supplied Equipment</t>
  </si>
  <si>
    <t>GLIN-60034/26</t>
  </si>
  <si>
    <t>GLOG-60028/26</t>
  </si>
  <si>
    <t>GLOY-60028/26</t>
  </si>
  <si>
    <t>GLUM-60025/26</t>
  </si>
  <si>
    <t>Ultrasonic Cleaner</t>
  </si>
  <si>
    <t>GLIN-60035/26</t>
  </si>
  <si>
    <t>GLOG-60029/26</t>
  </si>
  <si>
    <t>GLOY-60029/26</t>
  </si>
  <si>
    <t>GLUM-60026/26</t>
  </si>
  <si>
    <t>GLIN-60036/26</t>
  </si>
  <si>
    <t>GLOG-60030/26</t>
  </si>
  <si>
    <t>GLOY-60030/26</t>
  </si>
  <si>
    <t>GLUM-60027/26</t>
  </si>
  <si>
    <t>GLIN-60037/26</t>
  </si>
  <si>
    <t>GLOG-60031/26</t>
  </si>
  <si>
    <t>GLOY-60031/26</t>
  </si>
  <si>
    <t>GLAN-60064/26</t>
  </si>
  <si>
    <t>GLUM-60028/26</t>
  </si>
  <si>
    <t>Delivered by Yard on Sws Vsl's</t>
  </si>
  <si>
    <t>Monirul, Seyi to Push Mr. Su for Manuals</t>
  </si>
  <si>
    <t>Monirul to followup with Seyi</t>
  </si>
  <si>
    <t>Monirul to discuss with Seyi</t>
  </si>
  <si>
    <t>Monirul To check with Abhishek, Seyi and Su</t>
  </si>
  <si>
    <t>Monirul to confirm with Seyi/ Su</t>
  </si>
  <si>
    <t>Monirul to check with Seyi and Su to get the Spec and order locallly</t>
  </si>
  <si>
    <t>Monirul to revieW and approve Po</t>
  </si>
  <si>
    <t>Quotes recd</t>
  </si>
  <si>
    <t>Cannot deliver at China, will be deliverde at Sailing Port</t>
  </si>
  <si>
    <t>Seatrial Stores</t>
  </si>
  <si>
    <t>Provisions and Bonds</t>
  </si>
  <si>
    <t>Medicines</t>
  </si>
  <si>
    <t>Responsible</t>
  </si>
  <si>
    <t>Shall be Delivered at Yard as advised</t>
  </si>
  <si>
    <t>GLAN-60060/26-1</t>
  </si>
  <si>
    <t>GLAN-60061/26-1</t>
  </si>
  <si>
    <t>GLAN-60062/26-1</t>
  </si>
  <si>
    <t>Weekly updated Provided</t>
  </si>
  <si>
    <t>Soot Releasing Dosing Unit</t>
  </si>
  <si>
    <t>Seyi to confirm quote from yard</t>
  </si>
  <si>
    <t>GLIG-60034/26-1 cancelled and GLIG-60034/26-2 to be approved</t>
  </si>
  <si>
    <t>Sahaya to send relevant email to Monirul to revieW and approve Po</t>
  </si>
  <si>
    <t>Seyi to confirm on the Installation cost if Any</t>
  </si>
  <si>
    <t>Sahaya to create Po in Jibe</t>
  </si>
  <si>
    <t>Final Sailing Qty of Lubes</t>
  </si>
  <si>
    <t>Delivery at Yard</t>
  </si>
  <si>
    <t>Reliability Nitrogen Generator</t>
  </si>
  <si>
    <t>Reliability HP Pump Skid</t>
  </si>
  <si>
    <t>Reliability RO-RO Equipment (Main &amp; Centre Ramp spares + inner Ramp spares)</t>
  </si>
  <si>
    <t>Total Lube Oil for BT for Glovis Lighthouse</t>
  </si>
  <si>
    <t>RSC Lube oil - qty / Total for Glovis Lighthouse</t>
  </si>
  <si>
    <t>Sahaya to create Po for BT Oil on Total Qty 1 Drum</t>
  </si>
  <si>
    <t>GLIG-60081/26</t>
  </si>
  <si>
    <t>FS-ITBP tax invoice</t>
  </si>
  <si>
    <t>GLIG-60072/26-1</t>
  </si>
  <si>
    <t>GLIG-60071/26-1</t>
  </si>
  <si>
    <t>GLIG-60074/26-1</t>
  </si>
  <si>
    <t>GLIG-60077/26-1</t>
  </si>
  <si>
    <t>GLIG-60045/26-1</t>
  </si>
  <si>
    <t>fs-x10 sample test</t>
  </si>
  <si>
    <t>GLIG-60082/26</t>
  </si>
  <si>
    <t>GLIG-60067/26-1</t>
  </si>
  <si>
    <t>GLIG-60075/26-1</t>
  </si>
  <si>
    <t>Pre Delivery - Engineering Products &amp; Kits (DREW)</t>
  </si>
  <si>
    <t>GLIG-60070/26-1</t>
  </si>
  <si>
    <t>GLIG-60073/26-1</t>
  </si>
  <si>
    <t>Pre-Delivery - OPA 90</t>
  </si>
  <si>
    <t>GLIG-60068/26-1</t>
  </si>
  <si>
    <t>Pre Delivery - Treatment Chemical</t>
  </si>
  <si>
    <t>GLIG-MVSP-60003/26-1</t>
  </si>
  <si>
    <t>FS-Interface MTA adapter</t>
  </si>
  <si>
    <t>Pre Delivery - Welding Equipment</t>
  </si>
  <si>
    <t>Naoh</t>
  </si>
  <si>
    <t>GLAN-60069/26</t>
  </si>
  <si>
    <t>Onhold as advised by Abhishek</t>
  </si>
  <si>
    <t>Abhishek to review and advise further</t>
  </si>
  <si>
    <t>Offer from GMS shared with Kshitij (Lead time 1 Month) presently on hold</t>
  </si>
  <si>
    <t>V-Link Delivery at yard</t>
  </si>
  <si>
    <t>PPE - RMS</t>
  </si>
  <si>
    <t>Quote awaited from RMS</t>
  </si>
  <si>
    <t>SWS - Shanghai Waigaoqiao Shipbuilding Co., Ltd.</t>
  </si>
  <si>
    <t>Buyer Supply - New Positioning System for Transiting Panama ( inc. Anti Jamming) (SAAB R6 NAV NEO)</t>
  </si>
  <si>
    <t>GLIN-60042/26</t>
  </si>
  <si>
    <t>GLOG-60035/26</t>
  </si>
  <si>
    <t>GLOY-60035/26</t>
  </si>
  <si>
    <t>GLAN-60074/26</t>
  </si>
  <si>
    <t>GLUM-60033/26</t>
  </si>
  <si>
    <t>Gas Meter</t>
  </si>
  <si>
    <t>GLIG-60092/26-1</t>
  </si>
  <si>
    <t>Po issued</t>
  </si>
  <si>
    <t>Main Engine - Additional Spares</t>
  </si>
  <si>
    <r>
      <t xml:space="preserve">Latest info from Haixing for </t>
    </r>
    <r>
      <rPr>
        <sz val="10"/>
        <color rgb="FF000000"/>
        <rFont val="Aptos"/>
        <family val="2"/>
      </rPr>
      <t xml:space="preserve">Suez Canal light for GSI is that it will be supplied free of cost to buyer. </t>
    </r>
  </si>
  <si>
    <t>Email recd from Seyi 10-Mar-26</t>
  </si>
  <si>
    <t>Temperature Calibrators</t>
  </si>
  <si>
    <t>Pressure Calibrators</t>
  </si>
  <si>
    <t>GLIG-60094/26-1</t>
  </si>
  <si>
    <t>GLIG-60088/26-1</t>
  </si>
  <si>
    <t>Poseidon working on a earlier date</t>
  </si>
  <si>
    <t>GLIG-60093/26-1</t>
  </si>
  <si>
    <t>Oily Water Separator</t>
  </si>
  <si>
    <t>BWTS Spares</t>
  </si>
  <si>
    <t>Sewage Discharge P/P</t>
  </si>
  <si>
    <t>Sewage Traetment Plant</t>
  </si>
  <si>
    <t>Quote reqd for Marpol Spared</t>
  </si>
  <si>
    <t>Alfa Laval</t>
  </si>
  <si>
    <t>CSSC Nanjing</t>
  </si>
  <si>
    <t>Immersion Suit</t>
  </si>
  <si>
    <t>Yard Supply</t>
  </si>
  <si>
    <t>No action</t>
  </si>
  <si>
    <t>Fire Mans Outfit</t>
  </si>
  <si>
    <t>Iron Test Kit from CMT</t>
  </si>
  <si>
    <t>Sahaya to get quotes</t>
  </si>
  <si>
    <t>Oil Test Kit</t>
  </si>
  <si>
    <t>Total Iron Test Kit CMT</t>
  </si>
  <si>
    <t>CMT</t>
  </si>
  <si>
    <t>GLIG-60100/26-1</t>
  </si>
  <si>
    <t>Po issued for 6 Vsl's</t>
  </si>
  <si>
    <t>GLIG-60099/26-1</t>
  </si>
  <si>
    <t>GLIG-60096/26-1</t>
  </si>
  <si>
    <t>Po Issued on Total 2 Pcs Kits</t>
  </si>
  <si>
    <t>GSI: Guangzhou United International Shipping Agency Co., Ltd</t>
  </si>
  <si>
    <t>GLIG-60085/26-1</t>
  </si>
  <si>
    <t>Po issued on 6 Vsl's</t>
  </si>
  <si>
    <t>GLIG-60101/26</t>
  </si>
  <si>
    <t>Monirul to Approve Po</t>
  </si>
  <si>
    <t>Po issued on West Nautical</t>
  </si>
  <si>
    <t>Supplier not seen in Jibe</t>
  </si>
  <si>
    <t>Shipped to RMS</t>
  </si>
  <si>
    <t>Po raised for 6 Vsl's</t>
  </si>
  <si>
    <t>Po raised on 6 Vsl's</t>
  </si>
  <si>
    <t>Po to be raised on Dan Marine</t>
  </si>
  <si>
    <t>Awaiting Chinese offer from Dan Marine</t>
  </si>
  <si>
    <t>Po to be issued on Compass</t>
  </si>
  <si>
    <t>Po's raised on 6Vsl's</t>
  </si>
  <si>
    <t>Quotes recd by OPS</t>
  </si>
  <si>
    <t>Kshitij to fwd to enlist in Database</t>
  </si>
  <si>
    <t>Checking with Kshitij if Quoted reqd</t>
  </si>
  <si>
    <t>GLIG-60060/26-1</t>
  </si>
  <si>
    <t>Po issued on Fuji Marine</t>
  </si>
  <si>
    <t>Supplier Name</t>
  </si>
  <si>
    <t>Po Value</t>
  </si>
  <si>
    <t>GLIG-60105/26-1</t>
  </si>
  <si>
    <t>GLIG-60103/26-1</t>
  </si>
  <si>
    <t>GLIG-60102/26-1</t>
  </si>
  <si>
    <t>GLIG-60098/26-1</t>
  </si>
  <si>
    <t>GLIG-60097/26-1</t>
  </si>
  <si>
    <t>GLIG-60084/26-1</t>
  </si>
  <si>
    <t>GLIG-60078/26-1</t>
  </si>
  <si>
    <t>GLIG-60076/26-1</t>
  </si>
  <si>
    <t>Drew Delivery at Yard</t>
  </si>
  <si>
    <t>Dan Marine at Yard</t>
  </si>
  <si>
    <t>Po ready asked for Shipping Details</t>
  </si>
  <si>
    <t>Shipped at Yard</t>
  </si>
  <si>
    <t>Checking with supplier if this is commissioed</t>
  </si>
  <si>
    <t>OC #5713475236</t>
  </si>
  <si>
    <t>GLIG-60106/26-1</t>
  </si>
  <si>
    <t>Rubber Matting</t>
  </si>
  <si>
    <t>Nitrogen Hose</t>
  </si>
  <si>
    <t>GLIG-60080/26-1</t>
  </si>
  <si>
    <t>Po issued on Wartsila</t>
  </si>
  <si>
    <t>GLIG-60053/26-1</t>
  </si>
  <si>
    <t>GLIG-60057/26-1</t>
  </si>
  <si>
    <t>Po issued on Longwind</t>
  </si>
  <si>
    <t>GLIG-60058/26-1</t>
  </si>
  <si>
    <t>Medox and Equipments</t>
  </si>
  <si>
    <t>Vendor to be added in Jibe</t>
  </si>
  <si>
    <t>GLIG-60110/26</t>
  </si>
  <si>
    <t>Raised on Glovis Lighthouse</t>
  </si>
  <si>
    <t>Not Reqd from Chandlers, Yard shall supply even if additional</t>
  </si>
  <si>
    <t>IT Blueprint Solutions Consulting Inc</t>
  </si>
  <si>
    <t>USD</t>
  </si>
  <si>
    <t>CAD</t>
  </si>
  <si>
    <t>Interface Computer System Co. Ltd.</t>
  </si>
  <si>
    <t>HKD</t>
  </si>
  <si>
    <t>KVH Industries Inc</t>
  </si>
  <si>
    <t>SIHUI MARINE CO LTD</t>
  </si>
  <si>
    <t>X10 Networks Inc.</t>
  </si>
  <si>
    <t>Vessel Link Marine Supply &amp; Service Ltd</t>
  </si>
  <si>
    <t>Applied Satellite Technology Systems US LLC (AST Americas)</t>
  </si>
  <si>
    <t>Drew Marine USA, Inc</t>
  </si>
  <si>
    <t>Dan Marine Group Ltd.</t>
  </si>
  <si>
    <t>DONGHWA ENTEC CO. ,LTD</t>
  </si>
  <si>
    <t>Hermont Marine Inc</t>
  </si>
  <si>
    <t>Jonghap Maritime Engineering Inc.</t>
  </si>
  <si>
    <t>OneOcean AS</t>
  </si>
  <si>
    <t>Scandia Gear Asia Pte Ltd</t>
  </si>
  <si>
    <t>Consilium Marine and Safety Canada</t>
  </si>
  <si>
    <t>Wartsila Canada Inc.</t>
  </si>
  <si>
    <t>EUR</t>
  </si>
  <si>
    <t>Kangrim Industries Company Limited</t>
  </si>
  <si>
    <t>TotalEnergies Lubrifiants</t>
  </si>
  <si>
    <t>Eltronic FuelTech A/S</t>
  </si>
  <si>
    <t>Avikus Co., Ltd.</t>
  </si>
  <si>
    <t>Captain's Eye</t>
  </si>
  <si>
    <t>Shiva Enterprises</t>
  </si>
  <si>
    <t>INR</t>
  </si>
  <si>
    <t>Viswam Limited</t>
  </si>
  <si>
    <t>Air Products AS</t>
  </si>
  <si>
    <t>POSEIDON MARINE SUPPLIES LTD</t>
  </si>
  <si>
    <t>Yinxiang Industrial HK Co Limited</t>
  </si>
  <si>
    <t>MOL Techno Trade Ltd</t>
  </si>
  <si>
    <t>JPY</t>
  </si>
  <si>
    <t>VMT Co., Ltd</t>
  </si>
  <si>
    <t>GLIG-60115/26</t>
  </si>
  <si>
    <t>Gas Cylinders</t>
  </si>
  <si>
    <t>Service Car</t>
  </si>
  <si>
    <t>Forlift</t>
  </si>
  <si>
    <t>GLIG-60113/26</t>
  </si>
  <si>
    <t>Po raised on V-link for 6 Vsls</t>
  </si>
  <si>
    <t>Captain Liaising with HMS</t>
  </si>
  <si>
    <t>Not reqd</t>
  </si>
  <si>
    <t>LIST-GLIG-60120/26 </t>
  </si>
  <si>
    <t>Parts to be enlisted in Jibe</t>
  </si>
  <si>
    <t>Po Currency</t>
  </si>
  <si>
    <t>Fuji Marine Logistics Shunyang(Shanghai) Co., LIMITED</t>
  </si>
  <si>
    <t>HONGKONG LONGWIND MARINE SERVICE CO LIMITED</t>
  </si>
  <si>
    <t>Loto Master Inc</t>
  </si>
  <si>
    <t>GLIG-60050/26-1</t>
  </si>
  <si>
    <t>GLIG-60056/26-1</t>
  </si>
  <si>
    <t>GLIG-60059/26-1</t>
  </si>
  <si>
    <t>GLIG-60063/26-1</t>
  </si>
  <si>
    <t>GLIG-60066/26-1</t>
  </si>
  <si>
    <t>XINGLUN ROPE CABLE CO.,LTD</t>
  </si>
  <si>
    <t>GLIG-60079/26-1</t>
  </si>
  <si>
    <t>MAN B and W Diesel-Copenhagen Denmark</t>
  </si>
  <si>
    <t>GLIG-60087/26-1</t>
  </si>
  <si>
    <t>West Nautical Pte Ltd</t>
  </si>
  <si>
    <t>GLIG-60091/26-1</t>
  </si>
  <si>
    <t>GLIG-60104/26-1</t>
  </si>
  <si>
    <t>RMS Marine Service Company Ltd.</t>
  </si>
  <si>
    <t>GLIG-60107/26-1</t>
  </si>
  <si>
    <t>GLIG-60108/26-1</t>
  </si>
  <si>
    <t>GLIG-MVSP-60007/26-1</t>
  </si>
  <si>
    <t>GLIG-60114/26-1</t>
  </si>
  <si>
    <t>GLIG-60055/26-1</t>
  </si>
  <si>
    <t>Po Issued</t>
  </si>
  <si>
    <t>GLIG-60061/26-1</t>
  </si>
  <si>
    <t>GLIG-60062/26-1</t>
  </si>
  <si>
    <t>GLIG-60112/26-1</t>
  </si>
  <si>
    <t xml:space="preserve">Po Issued </t>
  </si>
  <si>
    <t>Contract Status</t>
  </si>
  <si>
    <t>PCTC</t>
  </si>
  <si>
    <t>GLIG-60109/26-1</t>
  </si>
  <si>
    <t>GLIG-60051/26-1</t>
  </si>
  <si>
    <t>GLIG-60111/26-1</t>
  </si>
  <si>
    <t>Contracted</t>
  </si>
  <si>
    <t xml:space="preserve">Not Contracted </t>
  </si>
  <si>
    <t xml:space="preserve">Invalidated </t>
  </si>
  <si>
    <t>Under Review</t>
  </si>
  <si>
    <t>Project</t>
  </si>
  <si>
    <t>Glovis Luminous</t>
  </si>
  <si>
    <t>Vessel Category</t>
  </si>
  <si>
    <t>Glovis LightHouse</t>
  </si>
  <si>
    <t xml:space="preserve">#N/A </t>
  </si>
  <si>
    <t xml:space="preserve"> #N/A </t>
  </si>
  <si>
    <t>Aux. Engine</t>
  </si>
  <si>
    <t>3/17/2026</t>
  </si>
  <si>
    <t>Account Code</t>
  </si>
  <si>
    <t>Row Labels</t>
  </si>
  <si>
    <t>Grand Total</t>
  </si>
  <si>
    <t>#N/A</t>
  </si>
  <si>
    <t>Projects</t>
  </si>
  <si>
    <t>PO Name [Standardized]</t>
  </si>
  <si>
    <t>Delivery Stage</t>
  </si>
  <si>
    <t>Lubricants</t>
  </si>
  <si>
    <t>IT Equipment - ITBP</t>
  </si>
  <si>
    <t>IT Equipment - X10 System</t>
  </si>
  <si>
    <t>LNG Operation Manual</t>
  </si>
  <si>
    <t>Tripods &amp; Spray Pipes</t>
  </si>
  <si>
    <t>QCDC</t>
  </si>
  <si>
    <t>Gas Detection System</t>
  </si>
  <si>
    <t>Navigation - HiNAS SVM</t>
  </si>
  <si>
    <t>IT Equipment - ITBP Additional Items</t>
  </si>
  <si>
    <t>Thermal Camera (FLIR)</t>
  </si>
  <si>
    <t>Navigation - Captains Eye</t>
  </si>
  <si>
    <t>Fire Detection System</t>
  </si>
  <si>
    <t>Communications - VSAT (KVH)</t>
  </si>
  <si>
    <t>Sample Cooler</t>
  </si>
  <si>
    <t>IT Equipment - ITBP Cables</t>
  </si>
  <si>
    <t>IT Equipment - Computers (Lenovo)</t>
  </si>
  <si>
    <t>IT Equipment - ITBP Lab Kit</t>
  </si>
  <si>
    <t>Cryogenic PPE</t>
  </si>
  <si>
    <t>LNG Bunkering Equipment</t>
  </si>
  <si>
    <t>Oil Skimmers - Abanaki</t>
  </si>
  <si>
    <t>Boiler Spares</t>
  </si>
  <si>
    <t>OPA 90 Kit</t>
  </si>
  <si>
    <t>High Pressure Washer</t>
  </si>
  <si>
    <t>Gas Meters</t>
  </si>
  <si>
    <t>RO-RO Equipment - Loose Fittings</t>
  </si>
  <si>
    <t>IT Equipment - Interface / Integration</t>
  </si>
  <si>
    <t>Engine Spares - Main Engine</t>
  </si>
  <si>
    <t>Engine Spares - Auxiliary Engine</t>
  </si>
  <si>
    <t>Sewage Treatment Plant</t>
  </si>
  <si>
    <t>Sewage Discharge Pump</t>
  </si>
  <si>
    <t>Mooring Ropes</t>
  </si>
  <si>
    <t>Citadel VHF/GPS/UHF System</t>
  </si>
  <si>
    <t>Welding Equipment</t>
  </si>
  <si>
    <t>Communications - VLINK</t>
  </si>
  <si>
    <t>Engineering Products &amp; Chemicals</t>
  </si>
  <si>
    <t>Dual Fuel Tools</t>
  </si>
  <si>
    <t>IT Equipment - Sihui Marine</t>
  </si>
  <si>
    <t>Safety Integration - SMiG</t>
  </si>
  <si>
    <t>Training - Wartsila</t>
  </si>
  <si>
    <t>Fleet Systems - Services</t>
  </si>
  <si>
    <t>Communications - Starlink Accessories</t>
  </si>
  <si>
    <t>IT Equipment - ITBP Licenses</t>
  </si>
  <si>
    <t>Fleet Systems - General</t>
  </si>
  <si>
    <t>IT Equipment - ITBP Tax Invoice</t>
  </si>
  <si>
    <t>Treatment Chemicals</t>
  </si>
  <si>
    <t>Publications &amp; Manuals</t>
  </si>
  <si>
    <t>BOG Compressor Spares</t>
  </si>
  <si>
    <t>Industrial Gases</t>
  </si>
  <si>
    <t>IMPA Stores - Accommodation</t>
  </si>
  <si>
    <t>HP Pump (Hydraulic Nuts)</t>
  </si>
  <si>
    <t>RO-RO Equipment - Ramp Spares</t>
  </si>
  <si>
    <t>Reefer Cables &amp; Plugs</t>
  </si>
  <si>
    <t>Thermal Stop</t>
  </si>
  <si>
    <t>Safe Lanes (Trelleborg)</t>
  </si>
  <si>
    <t>Crew Welfare</t>
  </si>
  <si>
    <t>IMPA Stores - Stationery</t>
  </si>
  <si>
    <t>GVT Electronics</t>
  </si>
  <si>
    <t>Chemical Tags</t>
  </si>
  <si>
    <t>IMPA Stores - Firefighting Equipment</t>
  </si>
  <si>
    <t>IMPA Stores - Electrical</t>
  </si>
  <si>
    <t>IMPA Stores - General</t>
  </si>
  <si>
    <t>Crew Welfare - Refrigerators</t>
  </si>
  <si>
    <t>Ozone Steriliser</t>
  </si>
  <si>
    <t>Suez Light</t>
  </si>
  <si>
    <t>Chain Blocks</t>
  </si>
  <si>
    <t>Forklift</t>
  </si>
  <si>
    <t>Laser Distance Measurer</t>
  </si>
  <si>
    <t>Provisions &amp; Bonded Stores</t>
  </si>
  <si>
    <t>Medical Equipment (Medox)</t>
  </si>
  <si>
    <t>Soot Treatment</t>
  </si>
  <si>
    <t>NaOH (Sodium Hydroxide)</t>
  </si>
  <si>
    <t>Communications - VLINK Accessories</t>
  </si>
  <si>
    <t>PPE</t>
  </si>
  <si>
    <t>Navigation - Positioning System</t>
  </si>
  <si>
    <t>Immersion Suits</t>
  </si>
  <si>
    <t>Firemans Outfit</t>
  </si>
  <si>
    <t>Iron Test Kit</t>
  </si>
  <si>
    <t>IT Equipment - AST</t>
  </si>
  <si>
    <t>Temperature &amp; Pressure Calibrators</t>
  </si>
  <si>
    <t>Chemicals - General</t>
  </si>
  <si>
    <t>Communications - VLINK Cable</t>
  </si>
  <si>
    <t>Breathing Air Compressor</t>
  </si>
  <si>
    <t>Service Car &amp; Forklift</t>
  </si>
  <si>
    <t>Dual Fuel Tools - Methanol</t>
  </si>
  <si>
    <t>??</t>
  </si>
  <si>
    <t>`</t>
  </si>
  <si>
    <t>Sea Trial</t>
  </si>
  <si>
    <t xml:space="preserve">IT Equipment </t>
  </si>
  <si>
    <t>PO Values</t>
  </si>
  <si>
    <t xml:space="preserve">OOCL Chancay </t>
  </si>
  <si>
    <t>OCHA-MVSP-60007/26-1</t>
  </si>
  <si>
    <t>FS-FortiPAM</t>
  </si>
  <si>
    <t>OCHA-60009/26-1</t>
  </si>
  <si>
    <t>Pre Delivery - Abanaki skimmers supply</t>
  </si>
  <si>
    <t>OCHA-60016/26-1</t>
  </si>
  <si>
    <t>OCHA-MVSP-60002/26-1</t>
  </si>
  <si>
    <t>OCHA-60029/26-1</t>
  </si>
  <si>
    <t>Buyer Supply - J-Marine NeCST 55" Route Planner</t>
  </si>
  <si>
    <t>OCHA-MVSP-60003/26-1</t>
  </si>
  <si>
    <t>OCHA-60021/26-1</t>
  </si>
  <si>
    <t>OCHA-60023/26-1</t>
  </si>
  <si>
    <t>FS-AST -UPDATED PO</t>
  </si>
  <si>
    <t>OCHA-60013/26-1</t>
  </si>
  <si>
    <t>OCHA-60012/26-1</t>
  </si>
  <si>
    <t>Pre Delivery Lubes - Order No. 5715387651</t>
  </si>
  <si>
    <t>OCHA-60025/26-1</t>
  </si>
  <si>
    <t>FS-KVH</t>
  </si>
  <si>
    <t>OCHA-60002/26-1</t>
  </si>
  <si>
    <t>FS-VLINK-H1943A</t>
  </si>
  <si>
    <t>OCHA-60004/26-1</t>
  </si>
  <si>
    <t>FS-ITBP  -CHANCAY</t>
  </si>
  <si>
    <t>OCHA-60015/26-1</t>
  </si>
  <si>
    <t>Pre Delivery Lubes - Order No. 5715441952</t>
  </si>
  <si>
    <t>OCHA-60014/26-1</t>
  </si>
  <si>
    <t>OCHA-60020/26-1</t>
  </si>
  <si>
    <t>OCHA-60010/26-1</t>
  </si>
  <si>
    <t>FS-LENOVO-Chancay</t>
  </si>
  <si>
    <t>OCHA-60002/25-1</t>
  </si>
  <si>
    <t>PD - SIT Equipment</t>
  </si>
  <si>
    <t>OCHA-60031/26-1</t>
  </si>
  <si>
    <t>(OOCL CHANCAY) Order # 4 - 5601988545</t>
  </si>
  <si>
    <t>OCHA-60001/26-1</t>
  </si>
  <si>
    <t>Interface PO-H1943A</t>
  </si>
  <si>
    <t>OCHA-60017/26-1</t>
  </si>
  <si>
    <t>OCHA-60024/26-1</t>
  </si>
  <si>
    <t>FS-Vlink</t>
  </si>
  <si>
    <t>OCHA-60011/26-1</t>
  </si>
  <si>
    <t>OCHA-60003/26-1</t>
  </si>
  <si>
    <t>OCHA-60028/26</t>
  </si>
  <si>
    <t>OCHA-60006/26</t>
  </si>
  <si>
    <t>FS-SIHUI-Chancay</t>
  </si>
  <si>
    <t>OCHA-60018/26</t>
  </si>
  <si>
    <t>Pre Delivery (OOCL CHANCAY) Order # A 5715663906</t>
  </si>
  <si>
    <t>OCHA-60008/26</t>
  </si>
  <si>
    <t>Pre-Delivery - Navis</t>
  </si>
  <si>
    <t>Reliability Spares - Main Engine</t>
  </si>
  <si>
    <t>Reliability Spares - Aux Engine</t>
  </si>
  <si>
    <t>Reliability Spares - Boilers</t>
  </si>
  <si>
    <t>OCHA-60032/26</t>
  </si>
  <si>
    <t>OCHA-60033/26</t>
  </si>
  <si>
    <t>OCHA-60034/26</t>
  </si>
  <si>
    <t>OCHA-60035/26</t>
  </si>
  <si>
    <t>OCHA-60036/26</t>
  </si>
  <si>
    <t>AIS MOB</t>
  </si>
  <si>
    <t>Gas Detector</t>
  </si>
  <si>
    <t>Reefer Container Socket System</t>
  </si>
  <si>
    <t>Inline Foam Eductor</t>
  </si>
  <si>
    <t>Fire Suppression Unit</t>
  </si>
  <si>
    <t>Seals</t>
  </si>
  <si>
    <t xml:space="preserve">Cold Fire </t>
  </si>
  <si>
    <t>Goggle for Cryogenic PPE</t>
  </si>
  <si>
    <t>Stationery</t>
  </si>
  <si>
    <t>Water Bottles</t>
  </si>
  <si>
    <t>Fuel Additiove</t>
  </si>
  <si>
    <t>Inspection Gauge for Container Socket</t>
  </si>
  <si>
    <t>PD - Sewage Treatment Plant Fittings (Accom)</t>
  </si>
  <si>
    <t>Universal Calibrator</t>
  </si>
  <si>
    <t>OCHA-60037/26</t>
  </si>
  <si>
    <t>Lost Time Ijury</t>
  </si>
  <si>
    <t>Urea</t>
  </si>
  <si>
    <t>Hydropen</t>
  </si>
  <si>
    <t>Lub Oil Test Kit (VISWA)</t>
  </si>
  <si>
    <t>Stores- Instrumentation</t>
  </si>
  <si>
    <t>VISWA Line Sampler</t>
  </si>
  <si>
    <t>Walkie Talkie</t>
  </si>
  <si>
    <t>Lighting Installations</t>
  </si>
  <si>
    <t>ISPS Light</t>
  </si>
  <si>
    <t xml:space="preserve"> New Positioning System for Transiting Neopanamax  Safepilot P3 navigation System</t>
  </si>
  <si>
    <t>One (1) garbage compactor</t>
  </si>
  <si>
    <t xml:space="preserve">Lubricating Oil and Grease  consumable </t>
  </si>
  <si>
    <t xml:space="preserve"> Loose fittings for container securing </t>
  </si>
  <si>
    <t>Fully automatic twist locks shall be stowed in stowage bins (Buyer supply)</t>
  </si>
  <si>
    <t>Soot Release Dosing Device</t>
  </si>
  <si>
    <t>Reefer container Monitoring System</t>
  </si>
  <si>
    <t xml:space="preserve">Reefer Cables  and plug extensions 
 Extension cores with plug for reefer container between reefer container and socket. </t>
  </si>
  <si>
    <t xml:space="preserve"> Loose equipment for emergency operation such as chain block and shackle.</t>
  </si>
  <si>
    <t xml:space="preserve">Charts in general and all nautical instruments and books </t>
  </si>
  <si>
    <t>Flags</t>
  </si>
  <si>
    <t xml:space="preserve">All office machine </t>
  </si>
  <si>
    <t>Hobby, sport and entertainment equipment (in excess of those specified in the Specification).</t>
  </si>
  <si>
    <t>All medicine and medical equipment except those for lifeboat.</t>
  </si>
  <si>
    <t>All cook’s and steward’s utensils (crockery, cutlery, silverware, earthenware, glassware, pots, pans, etc.)</t>
  </si>
  <si>
    <t xml:space="preserve"> Linen including blanket, carpets, bed sheets, towels and table cloth, etc.</t>
  </si>
  <si>
    <t>Bedding clothes (blankets, sheets, covers, etc.) except mattresses.</t>
  </si>
  <si>
    <t>Painting and pictures including frames and other decorations.</t>
  </si>
  <si>
    <t>Brooms, brushes, vacuum cleaners, waste baskets, etc. for accommodation and all portable hoses and clean devices not mentioned in the specification.</t>
  </si>
  <si>
    <t>Consumable stores including sanitary, all chandlery (soap, lamp oil, serviettes, table cloth etc.).</t>
  </si>
  <si>
    <t xml:space="preserve">TV sets, Hi-Fi stereo sets and DVD etc. recreation equipment shall be supplied by the Buyer.( 220VAC) </t>
  </si>
  <si>
    <t>Three (3) sets of Muster List (Buyer’s supply)</t>
  </si>
  <si>
    <t xml:space="preserve">Hospital and dispensary O2 bottle rack with fastening belt </t>
  </si>
  <si>
    <t xml:space="preserve">Gymnasium equipment ( also to indicate power supply) ( 220VAC) </t>
  </si>
  <si>
    <t xml:space="preserve">FLAGS. SIGNAL ETC. </t>
  </si>
  <si>
    <t>Boatswain’s and carpenter’s tools and inventory other than those specified in the Specification.</t>
  </si>
  <si>
    <t xml:space="preserve">Boiler feed water test kit and chemical compounds </t>
  </si>
  <si>
    <t>Test Kit for Fuel Oil, Lube Oil and Hydraulic Oil</t>
  </si>
  <si>
    <t>Test kit for shaft condition monitor</t>
  </si>
  <si>
    <t xml:space="preserve">Mooring ropes including towing lines and fire wires addtional to spec </t>
  </si>
  <si>
    <t>Each one (1) test equipment for temperature and pressure to be provided by buyer.</t>
  </si>
  <si>
    <t>One (1) portable lantern for each person (Buyer’s supply).</t>
  </si>
  <si>
    <t>Large binoculars</t>
  </si>
  <si>
    <t>Food rations, 10,000kJ for each person (Buyer’s supply).</t>
  </si>
  <si>
    <t>Fresh water, 3L for each person (Buyer’s supply).</t>
  </si>
  <si>
    <t>First-aid kit (Buyer’s supply).</t>
  </si>
  <si>
    <t xml:space="preserve">Portable toilet (Buyer’s supply) for Citadel </t>
  </si>
  <si>
    <t xml:space="preserve">Portable atmosphere testing instrument for measuring concentration of oxygen, flammable gases or vapors, hydrogen sulphide and carbon monoxide </t>
  </si>
  <si>
    <t>One (1) set of UHF walkie-talkie transceiver system</t>
  </si>
  <si>
    <t xml:space="preserve">PORTABLE UHF RADIO DEVICE (intrincaly safe) for crew operation  WITH chargers  ( 220VAC) addtional to rule </t>
  </si>
  <si>
    <t xml:space="preserve">Breathing air compressor in Engine casing fire control station ( 220VAC) </t>
  </si>
  <si>
    <t xml:space="preserve">Drew filters for drinking water coolers  (Sampling Cooler)( 220VAC) </t>
  </si>
  <si>
    <t>Pre Delivery - (OOCL CHANCAY) Order # 2</t>
  </si>
  <si>
    <t>13601 TEU - Lashing RFP -  SEC</t>
  </si>
  <si>
    <t>Shipyard Extra Buyer Supply - HiNAS SVM 10800 A-Q-2025-09-02_R1</t>
  </si>
  <si>
    <t>Pre-Delivery - OPA 91</t>
  </si>
  <si>
    <t>15001 - SHI - LNG - Wires</t>
  </si>
  <si>
    <t>GoPro Hero 10</t>
  </si>
  <si>
    <t>Gas Measuring Equipment - RKI GX-8001</t>
  </si>
  <si>
    <t xml:space="preserve">Contracted </t>
  </si>
  <si>
    <t xml:space="preserve">Checking </t>
  </si>
  <si>
    <t>Not contracted</t>
  </si>
  <si>
    <t>(blank)</t>
  </si>
  <si>
    <r>
      <rPr>
        <b/>
        <sz val="11"/>
        <color theme="1"/>
        <rFont val="Calibri"/>
        <family val="2"/>
      </rPr>
      <t>Goal: To identify suppliers for potential bulk discounts opportunities</t>
    </r>
    <r>
      <rPr>
        <sz val="11"/>
        <color theme="1"/>
        <rFont val="Calibri"/>
        <family val="2"/>
        <charset val="1"/>
      </rPr>
      <t xml:space="preserve">
1. Breakdown: Vessel Category &gt; Category &gt; Line items &gt; Suppliers 
2. Identify common items with key suppliers across vessel categories 
3. Consolidate spend items with suppliers and highlight potential areas to seek further discounts  </t>
    </r>
  </si>
  <si>
    <t>(Multiple Items)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</si>
</sst>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6" formatCode="&quot;$&quot;#,##0;[Red]\-&quot;$&quot;#,##0"/>
    <numFmt numFmtId="42" formatCode="_-&quot;$&quot;* #,##0_-;\-&quot;$&quot;* #,##0_-;_-&quot;$&quot;* &quot;-&quot;_-;_-@_-"/>
    <numFmt numFmtId="44" formatCode="_-&quot;$&quot;* #,##0.00_-;\-&quot;$&quot;* #,##0.00_-;_-&quot;$&quot;* &quot;-&quot;??_-;_-@_-"/>
    <numFmt numFmtId="164" formatCode="dd\-mmm\-yyyy"/>
    <numFmt numFmtId="165" formatCode="[$-14009]dd\ mmmm\ yyyy;@"/>
    <numFmt numFmtId="166" formatCode="_-&quot;$&quot;* #,##0_-;\-&quot;$&quot;* #,##0_-;_-&quot;$&quot;* &quot;-&quot;??_-;_-@_-"/>
  </numFmts>
  <fonts count="37" x14ac:knownFonts="1">
    <font>
      <sz val="11"/>
      <color theme="1"/>
      <name val="Calibri"/>
      <family val="2"/>
      <charset val="1"/>
    </font>
    <font>
      <b/>
      <sz val="18"/>
      <color rgb="FFFFFFFF"/>
      <name val="Arial"/>
      <family val="2"/>
    </font>
    <font>
      <i/>
      <sz val="10"/>
      <color rgb="FF888888"/>
      <name val="Arial"/>
      <family val="2"/>
    </font>
    <font>
      <b/>
      <sz val="10"/>
      <color rgb="FFFFFFFF"/>
      <name val="Arial"/>
      <family val="2"/>
    </font>
    <font>
      <b/>
      <sz val="10"/>
      <color rgb="FF404040"/>
      <name val="Arial"/>
      <family val="2"/>
    </font>
    <font>
      <b/>
      <sz val="10"/>
      <color rgb="FF1F4E79"/>
      <name val="Arial"/>
      <family val="2"/>
    </font>
    <font>
      <sz val="10"/>
      <color rgb="FF404040"/>
      <name val="Arial"/>
      <family val="2"/>
    </font>
    <font>
      <b/>
      <sz val="11"/>
      <color rgb="FFFFFFFF"/>
      <name val="Arial"/>
      <family val="2"/>
    </font>
    <font>
      <b/>
      <sz val="15"/>
      <color rgb="FFFFFFFF"/>
      <name val="Arial"/>
      <family val="2"/>
    </font>
    <font>
      <i/>
      <sz val="8"/>
      <color rgb="FFAAAAAA"/>
      <name val="Arial"/>
      <family val="2"/>
    </font>
    <font>
      <b/>
      <sz val="8"/>
      <color rgb="FF404040"/>
      <name val="Arial"/>
      <family val="2"/>
    </font>
    <font>
      <b/>
      <sz val="8"/>
      <color rgb="FFFFFFFF"/>
      <name val="Arial"/>
      <family val="2"/>
    </font>
    <font>
      <b/>
      <sz val="11"/>
      <color rgb="FF404040"/>
      <name val="Arial"/>
      <family val="2"/>
    </font>
    <font>
      <i/>
      <sz val="9"/>
      <color rgb="FF555555"/>
      <name val="Arial"/>
      <family val="2"/>
    </font>
    <font>
      <sz val="9"/>
      <color rgb="FFAAAAAA"/>
      <name val="Arial"/>
      <family val="2"/>
    </font>
    <font>
      <sz val="12"/>
      <color theme="1"/>
      <name val="Calibri"/>
      <family val="2"/>
      <scheme val="minor"/>
    </font>
    <font>
      <sz val="10"/>
      <color rgb="FFFF0000"/>
      <name val="Aptos"/>
      <family val="2"/>
    </font>
    <font>
      <sz val="10"/>
      <color theme="1"/>
      <name val="Aptos"/>
      <family val="2"/>
    </font>
    <font>
      <vertAlign val="superscript"/>
      <sz val="10"/>
      <color theme="1"/>
      <name val="Aptos"/>
      <family val="2"/>
    </font>
    <font>
      <sz val="10"/>
      <color rgb="FF4EA72E"/>
      <name val="Aptos"/>
      <family val="2"/>
    </font>
    <font>
      <sz val="10"/>
      <color rgb="FF00B0F0"/>
      <name val="Aptos"/>
      <family val="2"/>
    </font>
    <font>
      <sz val="10"/>
      <color rgb="FF00B050"/>
      <name val="Aptos"/>
      <family val="2"/>
    </font>
    <font>
      <sz val="10"/>
      <color theme="9" tint="-0.249977111117893"/>
      <name val="Aptos"/>
      <family val="2"/>
    </font>
    <font>
      <sz val="8"/>
      <name val="Calibri"/>
      <family val="2"/>
      <charset val="1"/>
    </font>
    <font>
      <sz val="10"/>
      <color rgb="FF000000"/>
      <name val="Aptos"/>
      <family val="2"/>
    </font>
    <font>
      <sz val="9"/>
      <name val="Times New Roman"/>
      <family val="1"/>
    </font>
    <font>
      <b/>
      <sz val="9"/>
      <name val="Times New Roman"/>
      <family val="1"/>
    </font>
    <font>
      <sz val="7"/>
      <color rgb="FF171C3A"/>
      <name val="Roboto"/>
    </font>
    <font>
      <sz val="11"/>
      <color theme="1"/>
      <name val="Calibri"/>
      <family val="2"/>
      <charset val="1"/>
    </font>
    <font>
      <sz val="14"/>
      <color theme="1"/>
      <name val="Calibri"/>
      <family val="2"/>
      <charset val="1"/>
    </font>
    <font>
      <b/>
      <sz val="14"/>
      <color theme="1"/>
      <name val="Calibri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23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0F4F8"/>
        <bgColor rgb="FFF0F6FC"/>
      </patternFill>
    </fill>
    <fill>
      <patternFill patternType="solid">
        <fgColor rgb="FFBFBFBF"/>
        <bgColor rgb="FFAAAAAA"/>
      </patternFill>
    </fill>
    <fill>
      <patternFill patternType="solid">
        <fgColor rgb="FFFFD966"/>
        <bgColor rgb="FFFFE0B2"/>
      </patternFill>
    </fill>
    <fill>
      <patternFill patternType="solid">
        <fgColor rgb="FFF4B942"/>
        <bgColor rgb="FFFFD966"/>
      </patternFill>
    </fill>
    <fill>
      <patternFill patternType="solid">
        <fgColor rgb="FF9DC3E6"/>
        <bgColor rgb="FFBFBFBF"/>
      </patternFill>
    </fill>
    <fill>
      <patternFill patternType="solid">
        <fgColor rgb="FF70AD47"/>
        <bgColor rgb="FF888888"/>
      </patternFill>
    </fill>
    <fill>
      <patternFill patternType="solid">
        <fgColor rgb="FF375623"/>
        <bgColor rgb="FF404040"/>
      </patternFill>
    </fill>
    <fill>
      <patternFill patternType="solid">
        <fgColor rgb="FF2E75B6"/>
        <bgColor rgb="FF0066CC"/>
      </patternFill>
    </fill>
    <fill>
      <patternFill patternType="solid">
        <fgColor rgb="FFFFFFFF"/>
        <bgColor rgb="FFF0F6FC"/>
      </patternFill>
    </fill>
    <fill>
      <patternFill patternType="solid">
        <fgColor rgb="FFD6E4F0"/>
        <bgColor rgb="FFEBF3FB"/>
      </patternFill>
    </fill>
    <fill>
      <patternFill patternType="solid">
        <fgColor rgb="FFFFF2CC"/>
        <bgColor rgb="FFFFE0B2"/>
      </patternFill>
    </fill>
    <fill>
      <patternFill patternType="solid">
        <fgColor rgb="FFFFE0B2"/>
        <bgColor rgb="FFFFF2CC"/>
      </patternFill>
    </fill>
    <fill>
      <patternFill patternType="solid">
        <fgColor rgb="FFEBF3FB"/>
        <bgColor rgb="FFF0F4F8"/>
      </patternFill>
    </fill>
    <fill>
      <patternFill patternType="solid">
        <fgColor rgb="FFF0F6FC"/>
        <bgColor rgb="FFF0F4F8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BFBFBF"/>
      </left>
      <right/>
      <top style="thin">
        <color rgb="FFBFBFBF"/>
      </top>
      <bottom/>
      <diagonal/>
    </border>
    <border>
      <left/>
      <right/>
      <top/>
      <bottom style="medium">
        <color indexed="64"/>
      </bottom>
      <diagonal/>
    </border>
  </borders>
  <cellStyleXfs count="3">
    <xf numFmtId="0" fontId="0" fillId="0" borderId="0"/>
    <xf numFmtId="0" fontId="15" fillId="0" borderId="0"/>
    <xf numFmtId="44" fontId="28" fillId="0" borderId="0" applyFont="0" applyFill="0" applyBorder="0" applyAlignment="0" applyProtection="0"/>
  </cellStyleXfs>
  <cellXfs count="142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5" fillId="11" borderId="1" xfId="0" applyFont="1" applyFill="1" applyBorder="1" applyAlignment="1">
      <alignment horizontal="left" vertical="center" indent="1"/>
    </xf>
    <xf numFmtId="0" fontId="6" fillId="11" borderId="1" xfId="0" applyFont="1" applyFill="1" applyBorder="1" applyAlignment="1">
      <alignment horizontal="left" vertical="center" indent="1"/>
    </xf>
    <xf numFmtId="0" fontId="6" fillId="11" borderId="1" xfId="0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center" vertical="center"/>
    </xf>
    <xf numFmtId="9" fontId="4" fillId="11" borderId="1" xfId="0" applyNumberFormat="1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left" vertical="center" indent="1"/>
    </xf>
    <xf numFmtId="0" fontId="6" fillId="12" borderId="1" xfId="0" applyFont="1" applyFill="1" applyBorder="1" applyAlignment="1">
      <alignment horizontal="left" vertical="center" indent="1"/>
    </xf>
    <xf numFmtId="0" fontId="6" fillId="12" borderId="1" xfId="0" applyFont="1" applyFill="1" applyBorder="1" applyAlignment="1">
      <alignment horizontal="center" vertical="center"/>
    </xf>
    <xf numFmtId="0" fontId="4" fillId="12" borderId="1" xfId="0" applyFont="1" applyFill="1" applyBorder="1" applyAlignment="1">
      <alignment horizontal="center" vertical="center"/>
    </xf>
    <xf numFmtId="9" fontId="4" fillId="1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left" vertical="center" indent="1"/>
    </xf>
    <xf numFmtId="0" fontId="7" fillId="2" borderId="1" xfId="0" applyFont="1" applyFill="1" applyBorder="1" applyAlignment="1">
      <alignment horizontal="center" vertical="center"/>
    </xf>
    <xf numFmtId="9" fontId="7" fillId="2" borderId="1" xfId="0" applyNumberFormat="1" applyFont="1" applyFill="1" applyBorder="1" applyAlignment="1">
      <alignment horizontal="center" vertical="center"/>
    </xf>
    <xf numFmtId="164" fontId="4" fillId="14" borderId="1" xfId="0" applyNumberFormat="1" applyFont="1" applyFill="1" applyBorder="1" applyAlignment="1">
      <alignment horizontal="left" vertical="center" indent="1"/>
    </xf>
    <xf numFmtId="0" fontId="10" fillId="4" borderId="1" xfId="0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1" fillId="8" borderId="1" xfId="0" applyFont="1" applyFill="1" applyBorder="1" applyAlignment="1">
      <alignment horizontal="center" vertical="center" wrapText="1"/>
    </xf>
    <xf numFmtId="0" fontId="11" fillId="9" borderId="1" xfId="0" applyFont="1" applyFill="1" applyBorder="1" applyAlignment="1">
      <alignment horizontal="center" vertical="center" wrapText="1"/>
    </xf>
    <xf numFmtId="0" fontId="12" fillId="12" borderId="1" xfId="0" applyFont="1" applyFill="1" applyBorder="1" applyAlignment="1">
      <alignment horizontal="center" vertical="center"/>
    </xf>
    <xf numFmtId="9" fontId="12" fillId="12" borderId="1" xfId="0" applyNumberFormat="1" applyFont="1" applyFill="1" applyBorder="1" applyAlignment="1">
      <alignment horizontal="center" vertical="center"/>
    </xf>
    <xf numFmtId="0" fontId="14" fillId="12" borderId="1" xfId="0" applyFont="1" applyFill="1" applyBorder="1" applyAlignment="1">
      <alignment horizontal="center" vertical="center"/>
    </xf>
    <xf numFmtId="164" fontId="6" fillId="11" borderId="1" xfId="0" applyNumberFormat="1" applyFont="1" applyFill="1" applyBorder="1" applyAlignment="1">
      <alignment horizontal="center" vertical="center"/>
    </xf>
    <xf numFmtId="0" fontId="6" fillId="16" borderId="1" xfId="0" applyFont="1" applyFill="1" applyBorder="1" applyAlignment="1">
      <alignment horizontal="left" vertical="center" indent="1"/>
    </xf>
    <xf numFmtId="0" fontId="6" fillId="16" borderId="1" xfId="0" applyFont="1" applyFill="1" applyBorder="1" applyAlignment="1">
      <alignment horizontal="center" vertical="center"/>
    </xf>
    <xf numFmtId="164" fontId="6" fillId="16" borderId="1" xfId="0" applyNumberFormat="1" applyFont="1" applyFill="1" applyBorder="1" applyAlignment="1">
      <alignment horizontal="center" vertical="center"/>
    </xf>
    <xf numFmtId="0" fontId="16" fillId="0" borderId="3" xfId="1" applyFont="1" applyBorder="1" applyAlignment="1">
      <alignment horizontal="left" vertical="top" wrapText="1"/>
    </xf>
    <xf numFmtId="0" fontId="17" fillId="0" borderId="4" xfId="1" applyFont="1" applyBorder="1" applyAlignment="1">
      <alignment vertical="center" wrapText="1"/>
    </xf>
    <xf numFmtId="0" fontId="15" fillId="0" borderId="3" xfId="1" applyBorder="1"/>
    <xf numFmtId="0" fontId="17" fillId="0" borderId="3" xfId="1" applyFont="1" applyBorder="1" applyAlignment="1">
      <alignment horizontal="left" vertical="top" wrapText="1"/>
    </xf>
    <xf numFmtId="0" fontId="17" fillId="0" borderId="3" xfId="1" applyFont="1" applyBorder="1" applyAlignment="1">
      <alignment vertical="center" wrapText="1"/>
    </xf>
    <xf numFmtId="0" fontId="19" fillId="0" borderId="3" xfId="1" applyFont="1" applyBorder="1" applyAlignment="1">
      <alignment horizontal="left" vertical="top" wrapText="1"/>
    </xf>
    <xf numFmtId="0" fontId="20" fillId="0" borderId="3" xfId="1" applyFont="1" applyBorder="1" applyAlignment="1">
      <alignment horizontal="left" vertical="top" wrapText="1"/>
    </xf>
    <xf numFmtId="0" fontId="21" fillId="0" borderId="3" xfId="1" applyFont="1" applyBorder="1" applyAlignment="1">
      <alignment horizontal="left" vertical="top" wrapText="1"/>
    </xf>
    <xf numFmtId="0" fontId="22" fillId="0" borderId="3" xfId="1" applyFont="1" applyBorder="1" applyAlignment="1">
      <alignment horizontal="left" vertical="top" wrapText="1"/>
    </xf>
    <xf numFmtId="0" fontId="15" fillId="0" borderId="0" xfId="1"/>
    <xf numFmtId="0" fontId="14" fillId="12" borderId="3" xfId="0" applyFont="1" applyFill="1" applyBorder="1" applyAlignment="1">
      <alignment horizontal="center" vertical="center"/>
    </xf>
    <xf numFmtId="0" fontId="6" fillId="11" borderId="3" xfId="0" applyFont="1" applyFill="1" applyBorder="1" applyAlignment="1">
      <alignment horizontal="left" vertical="center" indent="1"/>
    </xf>
    <xf numFmtId="0" fontId="6" fillId="11" borderId="3" xfId="0" applyFont="1" applyFill="1" applyBorder="1" applyAlignment="1">
      <alignment horizontal="center" vertical="center"/>
    </xf>
    <xf numFmtId="164" fontId="6" fillId="11" borderId="3" xfId="0" applyNumberFormat="1" applyFont="1" applyFill="1" applyBorder="1" applyAlignment="1">
      <alignment horizontal="center" vertical="center"/>
    </xf>
    <xf numFmtId="0" fontId="6" fillId="16" borderId="3" xfId="0" applyFont="1" applyFill="1" applyBorder="1" applyAlignment="1">
      <alignment horizontal="left" vertical="center" indent="1"/>
    </xf>
    <xf numFmtId="0" fontId="6" fillId="16" borderId="3" xfId="0" applyFont="1" applyFill="1" applyBorder="1" applyAlignment="1">
      <alignment horizontal="center" vertical="center"/>
    </xf>
    <xf numFmtId="164" fontId="6" fillId="16" borderId="3" xfId="0" applyNumberFormat="1" applyFont="1" applyFill="1" applyBorder="1" applyAlignment="1">
      <alignment horizontal="center" vertical="center"/>
    </xf>
    <xf numFmtId="164" fontId="4" fillId="14" borderId="0" xfId="0" applyNumberFormat="1" applyFont="1" applyFill="1" applyAlignment="1">
      <alignment horizontal="left" vertical="center" indent="1"/>
    </xf>
    <xf numFmtId="0" fontId="20" fillId="0" borderId="0" xfId="1" applyFont="1" applyAlignment="1">
      <alignment horizontal="left" vertical="top" wrapText="1"/>
    </xf>
    <xf numFmtId="0" fontId="19" fillId="0" borderId="0" xfId="1" applyFont="1" applyAlignment="1">
      <alignment horizontal="left" vertical="top" wrapText="1"/>
    </xf>
    <xf numFmtId="0" fontId="16" fillId="0" borderId="0" xfId="1" applyFont="1" applyAlignment="1">
      <alignment horizontal="left" vertical="top" wrapText="1"/>
    </xf>
    <xf numFmtId="0" fontId="21" fillId="0" borderId="0" xfId="1" applyFont="1" applyAlignment="1">
      <alignment horizontal="left" vertical="top" wrapText="1"/>
    </xf>
    <xf numFmtId="0" fontId="22" fillId="0" borderId="0" xfId="1" applyFont="1" applyAlignment="1">
      <alignment horizontal="left" vertical="top" wrapText="1"/>
    </xf>
    <xf numFmtId="0" fontId="17" fillId="0" borderId="0" xfId="1" applyFont="1" applyAlignment="1">
      <alignment horizontal="left" vertical="top" wrapText="1"/>
    </xf>
    <xf numFmtId="0" fontId="17" fillId="0" borderId="0" xfId="1" applyFont="1" applyAlignment="1">
      <alignment vertical="center" wrapText="1"/>
    </xf>
    <xf numFmtId="0" fontId="6" fillId="16" borderId="3" xfId="0" applyFont="1" applyFill="1" applyBorder="1" applyAlignment="1">
      <alignment horizontal="left" vertical="center"/>
    </xf>
    <xf numFmtId="14" fontId="0" fillId="0" borderId="0" xfId="0" applyNumberFormat="1"/>
    <xf numFmtId="0" fontId="17" fillId="0" borderId="0" xfId="0" applyFont="1" applyAlignment="1">
      <alignment vertical="center"/>
    </xf>
    <xf numFmtId="0" fontId="25" fillId="0" borderId="3" xfId="0" applyFont="1" applyBorder="1" applyAlignment="1">
      <alignment horizontal="left"/>
    </xf>
    <xf numFmtId="15" fontId="25" fillId="0" borderId="3" xfId="0" applyNumberFormat="1" applyFont="1" applyBorder="1" applyAlignment="1">
      <alignment horizontal="left"/>
    </xf>
    <xf numFmtId="0" fontId="0" fillId="0" borderId="0" xfId="0" applyAlignment="1">
      <alignment horizontal="left"/>
    </xf>
    <xf numFmtId="164" fontId="4" fillId="14" borderId="1" xfId="0" applyNumberFormat="1" applyFont="1" applyFill="1" applyBorder="1" applyAlignment="1">
      <alignment horizontal="left"/>
    </xf>
    <xf numFmtId="165" fontId="0" fillId="0" borderId="0" xfId="0" applyNumberFormat="1" applyAlignment="1">
      <alignment horizontal="left"/>
    </xf>
    <xf numFmtId="0" fontId="10" fillId="4" borderId="1" xfId="0" applyFont="1" applyFill="1" applyBorder="1" applyAlignment="1">
      <alignment horizontal="left" wrapText="1"/>
    </xf>
    <xf numFmtId="0" fontId="10" fillId="5" borderId="1" xfId="0" applyFont="1" applyFill="1" applyBorder="1" applyAlignment="1">
      <alignment horizontal="left" wrapText="1"/>
    </xf>
    <xf numFmtId="0" fontId="10" fillId="6" borderId="1" xfId="0" applyFont="1" applyFill="1" applyBorder="1" applyAlignment="1">
      <alignment horizontal="left" wrapText="1"/>
    </xf>
    <xf numFmtId="0" fontId="11" fillId="7" borderId="1" xfId="0" applyFont="1" applyFill="1" applyBorder="1" applyAlignment="1">
      <alignment horizontal="left" wrapText="1"/>
    </xf>
    <xf numFmtId="0" fontId="11" fillId="8" borderId="1" xfId="0" applyFont="1" applyFill="1" applyBorder="1" applyAlignment="1">
      <alignment horizontal="left" wrapText="1"/>
    </xf>
    <xf numFmtId="165" fontId="11" fillId="9" borderId="1" xfId="0" applyNumberFormat="1" applyFont="1" applyFill="1" applyBorder="1" applyAlignment="1">
      <alignment horizontal="left" wrapText="1"/>
    </xf>
    <xf numFmtId="0" fontId="3" fillId="2" borderId="1" xfId="0" applyFont="1" applyFill="1" applyBorder="1" applyAlignment="1">
      <alignment horizontal="left" wrapText="1"/>
    </xf>
    <xf numFmtId="0" fontId="3" fillId="10" borderId="1" xfId="0" applyFont="1" applyFill="1" applyBorder="1" applyAlignment="1">
      <alignment horizontal="left" wrapText="1"/>
    </xf>
    <xf numFmtId="0" fontId="3" fillId="9" borderId="1" xfId="0" applyFont="1" applyFill="1" applyBorder="1" applyAlignment="1">
      <alignment horizontal="left" wrapText="1"/>
    </xf>
    <xf numFmtId="0" fontId="12" fillId="12" borderId="1" xfId="0" applyFont="1" applyFill="1" applyBorder="1" applyAlignment="1">
      <alignment horizontal="left"/>
    </xf>
    <xf numFmtId="9" fontId="12" fillId="12" borderId="1" xfId="0" applyNumberFormat="1" applyFont="1" applyFill="1" applyBorder="1" applyAlignment="1">
      <alignment horizontal="left"/>
    </xf>
    <xf numFmtId="0" fontId="3" fillId="2" borderId="3" xfId="0" applyFont="1" applyFill="1" applyBorder="1" applyAlignment="1">
      <alignment horizontal="left" wrapText="1"/>
    </xf>
    <xf numFmtId="165" fontId="3" fillId="2" borderId="3" xfId="0" applyNumberFormat="1" applyFont="1" applyFill="1" applyBorder="1" applyAlignment="1">
      <alignment horizontal="left" wrapText="1"/>
    </xf>
    <xf numFmtId="165" fontId="25" fillId="0" borderId="3" xfId="0" applyNumberFormat="1" applyFont="1" applyBorder="1" applyAlignment="1">
      <alignment horizontal="left"/>
    </xf>
    <xf numFmtId="164" fontId="25" fillId="0" borderId="3" xfId="0" applyNumberFormat="1" applyFont="1" applyBorder="1" applyAlignment="1">
      <alignment horizontal="left"/>
    </xf>
    <xf numFmtId="0" fontId="0" fillId="0" borderId="3" xfId="0" applyBorder="1" applyAlignment="1">
      <alignment horizontal="left"/>
    </xf>
    <xf numFmtId="0" fontId="26" fillId="0" borderId="3" xfId="0" applyFont="1" applyBorder="1" applyAlignment="1">
      <alignment horizontal="left"/>
    </xf>
    <xf numFmtId="165" fontId="0" fillId="0" borderId="3" xfId="0" applyNumberFormat="1" applyBorder="1" applyAlignment="1">
      <alignment horizontal="left"/>
    </xf>
    <xf numFmtId="0" fontId="0" fillId="0" borderId="3" xfId="0" applyBorder="1"/>
    <xf numFmtId="0" fontId="14" fillId="12" borderId="3" xfId="0" applyFont="1" applyFill="1" applyBorder="1" applyAlignment="1">
      <alignment horizontal="left"/>
    </xf>
    <xf numFmtId="0" fontId="27" fillId="0" borderId="3" xfId="0" applyFont="1" applyBorder="1"/>
    <xf numFmtId="166" fontId="0" fillId="0" borderId="0" xfId="2" applyNumberFormat="1" applyFont="1" applyAlignment="1">
      <alignment horizontal="left"/>
    </xf>
    <xf numFmtId="166" fontId="3" fillId="2" borderId="3" xfId="2" applyNumberFormat="1" applyFont="1" applyFill="1" applyBorder="1" applyAlignment="1">
      <alignment horizontal="left" wrapText="1"/>
    </xf>
    <xf numFmtId="166" fontId="0" fillId="0" borderId="3" xfId="2" applyNumberFormat="1" applyFont="1" applyBorder="1" applyAlignment="1">
      <alignment horizontal="left"/>
    </xf>
    <xf numFmtId="0" fontId="29" fillId="0" borderId="0" xfId="0" applyFont="1" applyAlignment="1">
      <alignment horizontal="center" vertical="center" wrapText="1"/>
    </xf>
    <xf numFmtId="0" fontId="30" fillId="0" borderId="0" xfId="0" applyFont="1" applyAlignment="1">
      <alignment horizontal="center" vertical="center" wrapText="1"/>
    </xf>
    <xf numFmtId="0" fontId="29" fillId="0" borderId="0" xfId="0" applyFont="1" applyAlignment="1">
      <alignment horizontal="center" vertical="center"/>
    </xf>
    <xf numFmtId="0" fontId="30" fillId="17" borderId="0" xfId="0" applyFont="1" applyFill="1" applyAlignment="1">
      <alignment horizontal="center" vertical="center" wrapText="1"/>
    </xf>
    <xf numFmtId="15" fontId="29" fillId="0" borderId="0" xfId="0" applyNumberFormat="1" applyFont="1" applyAlignment="1">
      <alignment horizontal="center" vertical="center" wrapText="1"/>
    </xf>
    <xf numFmtId="0" fontId="29" fillId="0" borderId="6" xfId="0" applyFont="1" applyBorder="1" applyAlignment="1">
      <alignment horizontal="center" vertical="center"/>
    </xf>
    <xf numFmtId="0" fontId="29" fillId="0" borderId="6" xfId="0" applyFont="1" applyBorder="1" applyAlignment="1">
      <alignment horizontal="center" vertical="center" wrapText="1"/>
    </xf>
    <xf numFmtId="0" fontId="0" fillId="0" borderId="6" xfId="0" applyBorder="1"/>
    <xf numFmtId="0" fontId="30" fillId="17" borderId="0" xfId="0" applyFont="1" applyFill="1" applyAlignment="1">
      <alignment horizontal="center" vertical="center"/>
    </xf>
    <xf numFmtId="0" fontId="29" fillId="0" borderId="0" xfId="0" applyFont="1" applyAlignment="1">
      <alignment vertical="center"/>
    </xf>
    <xf numFmtId="0" fontId="30" fillId="18" borderId="0" xfId="0" applyFont="1" applyFill="1" applyAlignment="1">
      <alignment horizontal="center" vertical="center" wrapText="1"/>
    </xf>
    <xf numFmtId="0" fontId="30" fillId="18" borderId="0" xfId="0" applyFont="1" applyFill="1" applyAlignment="1">
      <alignment horizontal="center" vertical="center"/>
    </xf>
    <xf numFmtId="14" fontId="29" fillId="0" borderId="0" xfId="0" applyNumberFormat="1" applyFont="1" applyAlignment="1">
      <alignment horizontal="center" vertical="center" wrapText="1"/>
    </xf>
    <xf numFmtId="6" fontId="29" fillId="0" borderId="0" xfId="0" applyNumberFormat="1" applyFont="1" applyAlignment="1">
      <alignment horizontal="center" vertical="center" wrapText="1"/>
    </xf>
    <xf numFmtId="0" fontId="29" fillId="19" borderId="0" xfId="0" applyFont="1" applyFill="1" applyAlignment="1">
      <alignment horizontal="center" vertical="center"/>
    </xf>
    <xf numFmtId="0" fontId="29" fillId="19" borderId="0" xfId="0" applyFont="1" applyFill="1" applyAlignment="1">
      <alignment horizontal="center" vertical="center" wrapText="1"/>
    </xf>
    <xf numFmtId="0" fontId="29" fillId="19" borderId="6" xfId="0" applyFont="1" applyFill="1" applyBorder="1" applyAlignment="1">
      <alignment horizontal="center" vertical="center"/>
    </xf>
    <xf numFmtId="0" fontId="29" fillId="19" borderId="6" xfId="0" applyFont="1" applyFill="1" applyBorder="1" applyAlignment="1">
      <alignment horizontal="center" vertical="center" wrapText="1"/>
    </xf>
    <xf numFmtId="0" fontId="0" fillId="19" borderId="6" xfId="0" applyFill="1" applyBorder="1"/>
    <xf numFmtId="0" fontId="0" fillId="0" borderId="0" xfId="0" pivotButton="1"/>
    <xf numFmtId="0" fontId="0" fillId="0" borderId="0" xfId="0" applyAlignment="1">
      <alignment horizontal="left" indent="1"/>
    </xf>
    <xf numFmtId="42" fontId="0" fillId="0" borderId="0" xfId="0" applyNumberFormat="1"/>
    <xf numFmtId="0" fontId="0" fillId="0" borderId="0" xfId="0" applyAlignment="1">
      <alignment horizontal="left" indent="2"/>
    </xf>
    <xf numFmtId="0" fontId="0" fillId="0" borderId="6" xfId="0" applyBorder="1" applyAlignment="1">
      <alignment horizontal="left" indent="1"/>
    </xf>
    <xf numFmtId="42" fontId="0" fillId="0" borderId="6" xfId="0" applyNumberFormat="1" applyBorder="1"/>
    <xf numFmtId="0" fontId="1" fillId="2" borderId="0" xfId="0" applyFont="1" applyFill="1" applyAlignment="1">
      <alignment horizontal="left" vertical="center" indent="1"/>
    </xf>
    <xf numFmtId="0" fontId="2" fillId="3" borderId="0" xfId="0" applyFont="1" applyFill="1" applyAlignment="1">
      <alignment horizontal="left" vertical="center" indent="1"/>
    </xf>
    <xf numFmtId="0" fontId="17" fillId="0" borderId="3" xfId="1" applyFont="1" applyBorder="1" applyAlignment="1">
      <alignment horizontal="left" vertical="top" wrapText="1"/>
    </xf>
    <xf numFmtId="0" fontId="17" fillId="0" borderId="3" xfId="1" applyFont="1" applyBorder="1" applyAlignment="1">
      <alignment vertical="center" wrapText="1"/>
    </xf>
    <xf numFmtId="0" fontId="5" fillId="12" borderId="2" xfId="0" applyFont="1" applyFill="1" applyBorder="1" applyAlignment="1">
      <alignment horizontal="right" vertical="center"/>
    </xf>
    <xf numFmtId="0" fontId="9" fillId="0" borderId="0" xfId="0" applyFont="1" applyAlignment="1">
      <alignment horizontal="left" vertical="center" indent="1"/>
    </xf>
    <xf numFmtId="0" fontId="13" fillId="15" borderId="2" xfId="0" applyFont="1" applyFill="1" applyBorder="1" applyAlignment="1">
      <alignment horizontal="left" vertical="center" indent="1"/>
    </xf>
    <xf numFmtId="0" fontId="8" fillId="2" borderId="0" xfId="0" applyFont="1" applyFill="1" applyAlignment="1">
      <alignment horizontal="left" vertical="center" indent="1"/>
    </xf>
    <xf numFmtId="0" fontId="6" fillId="13" borderId="2" xfId="0" applyFont="1" applyFill="1" applyBorder="1" applyAlignment="1">
      <alignment horizontal="left" vertical="center" indent="1"/>
    </xf>
    <xf numFmtId="0" fontId="5" fillId="12" borderId="2" xfId="0" applyFont="1" applyFill="1" applyBorder="1" applyAlignment="1">
      <alignment horizontal="left"/>
    </xf>
    <xf numFmtId="0" fontId="9" fillId="0" borderId="0" xfId="0" applyFont="1" applyAlignment="1">
      <alignment horizontal="left"/>
    </xf>
    <xf numFmtId="0" fontId="13" fillId="15" borderId="5" xfId="0" applyFont="1" applyFill="1" applyBorder="1" applyAlignment="1">
      <alignment horizontal="left"/>
    </xf>
    <xf numFmtId="0" fontId="8" fillId="2" borderId="0" xfId="0" applyFont="1" applyFill="1" applyAlignment="1">
      <alignment horizontal="left"/>
    </xf>
    <xf numFmtId="0" fontId="6" fillId="13" borderId="2" xfId="0" applyFont="1" applyFill="1" applyBorder="1" applyAlignment="1">
      <alignment horizontal="left"/>
    </xf>
    <xf numFmtId="0" fontId="0" fillId="21" borderId="0" xfId="0" applyFill="1" applyAlignment="1">
      <alignment horizontal="left"/>
    </xf>
    <xf numFmtId="42" fontId="0" fillId="21" borderId="0" xfId="0" applyNumberFormat="1" applyFill="1"/>
    <xf numFmtId="0" fontId="0" fillId="0" borderId="0" xfId="0" applyAlignment="1">
      <alignment vertical="top" wrapText="1"/>
    </xf>
    <xf numFmtId="0" fontId="33" fillId="0" borderId="0" xfId="0" applyFont="1"/>
    <xf numFmtId="0" fontId="34" fillId="20" borderId="0" xfId="0" applyFont="1" applyFill="1" applyAlignment="1">
      <alignment horizontal="center"/>
    </xf>
    <xf numFmtId="0" fontId="33" fillId="0" borderId="0" xfId="0" applyFont="1" applyAlignment="1">
      <alignment horizontal="center"/>
    </xf>
    <xf numFmtId="0" fontId="33" fillId="0" borderId="6" xfId="0" applyFont="1" applyBorder="1" applyAlignment="1">
      <alignment horizontal="center"/>
    </xf>
    <xf numFmtId="0" fontId="36" fillId="22" borderId="0" xfId="0" applyFont="1" applyFill="1" applyAlignment="1">
      <alignment horizontal="left" vertical="top" wrapText="1"/>
    </xf>
    <xf numFmtId="0" fontId="36" fillId="0" borderId="0" xfId="0" applyFont="1" applyFill="1" applyAlignment="1">
      <alignment horizontal="left" vertical="top" wrapText="1"/>
    </xf>
    <xf numFmtId="0" fontId="0" fillId="0" borderId="0" xfId="0" applyFill="1"/>
  </cellXfs>
  <cellStyles count="3">
    <cellStyle name="Currency" xfId="2" builtinId="4"/>
    <cellStyle name="Normal" xfId="0" builtinId="0"/>
    <cellStyle name="Normal 2" xfId="1" xr:uid="{190CEC0B-90B6-466D-9B01-92DB0B7D2477}"/>
  </cellStyles>
  <dxfs count="36"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fill>
        <patternFill patternType="solid">
          <bgColor theme="3" tint="0.39997558519241921"/>
        </patternFill>
      </fill>
    </dxf>
    <dxf>
      <fill>
        <patternFill patternType="solid">
          <bgColor theme="3" tint="0.39997558519241921"/>
        </patternFill>
      </fill>
    </dxf>
    <dxf>
      <fill>
        <patternFill>
          <bgColor theme="8" tint="0.59999389629810485"/>
        </patternFill>
      </fill>
    </dxf>
    <dxf>
      <fill>
        <patternFill>
          <bgColor theme="8" tint="0.59999389629810485"/>
        </patternFill>
      </fill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fill>
        <patternFill patternType="solid">
          <bgColor theme="3" tint="0.39997558519241921"/>
        </patternFill>
      </fill>
    </dxf>
    <dxf>
      <fill>
        <patternFill patternType="solid">
          <bgColor theme="3" tint="0.39997558519241921"/>
        </patternFill>
      </fill>
    </dxf>
    <dxf>
      <fill>
        <patternFill>
          <bgColor theme="8" tint="0.59999389629810485"/>
        </patternFill>
      </fill>
    </dxf>
    <dxf>
      <fill>
        <patternFill>
          <bgColor theme="8" tint="0.59999389629810485"/>
        </patternFill>
      </fill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fill>
        <patternFill patternType="solid">
          <bgColor theme="3" tint="0.39997558519241921"/>
        </patternFill>
      </fill>
    </dxf>
    <dxf>
      <fill>
        <patternFill patternType="solid">
          <bgColor theme="3" tint="0.39997558519241921"/>
        </patternFill>
      </fill>
    </dxf>
    <dxf>
      <fill>
        <patternFill>
          <bgColor theme="8" tint="0.59999389629810485"/>
        </patternFill>
      </fill>
    </dxf>
    <dxf>
      <fill>
        <patternFill>
          <bgColor theme="8" tint="0.59999389629810485"/>
        </patternFill>
      </fill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fill>
        <patternFill patternType="solid">
          <bgColor theme="3" tint="0.39997558519241921"/>
        </patternFill>
      </fill>
    </dxf>
    <dxf>
      <fill>
        <patternFill patternType="solid">
          <bgColor theme="3" tint="0.39997558519241921"/>
        </patternFill>
      </fill>
    </dxf>
    <dxf>
      <fill>
        <patternFill>
          <bgColor theme="8" tint="0.59999389629810485"/>
        </patternFill>
      </fill>
    </dxf>
    <dxf>
      <fill>
        <patternFill>
          <bgColor theme="8" tint="0.59999389629810485"/>
        </patternFill>
      </fill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fill>
        <patternFill patternType="solid">
          <bgColor theme="3" tint="0.39997558519241921"/>
        </patternFill>
      </fill>
    </dxf>
    <dxf>
      <fill>
        <patternFill patternType="solid">
          <bgColor theme="3" tint="0.39997558519241921"/>
        </patternFill>
      </fill>
    </dxf>
    <dxf>
      <fill>
        <patternFill>
          <bgColor theme="8" tint="0.59999389629810485"/>
        </patternFill>
      </fill>
    </dxf>
    <dxf>
      <fill>
        <patternFill>
          <bgColor theme="8" tint="0.59999389629810485"/>
        </patternFill>
      </fill>
    </dxf>
    <dxf>
      <fill>
        <patternFill>
          <bgColor theme="8" tint="0.59999389629810485"/>
        </patternFill>
      </fill>
    </dxf>
    <dxf>
      <fill>
        <patternFill>
          <bgColor theme="8" tint="0.59999389629810485"/>
        </patternFill>
      </fill>
    </dxf>
    <dxf>
      <fill>
        <patternFill patternType="solid">
          <bgColor theme="3" tint="0.39997558519241921"/>
        </patternFill>
      </fill>
    </dxf>
    <dxf>
      <fill>
        <patternFill patternType="solid">
          <bgColor theme="3" tint="0.39997558519241921"/>
        </patternFill>
      </fill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88888"/>
      <rgbColor rgb="FF9999FF"/>
      <rgbColor rgb="FF993366"/>
      <rgbColor rgb="FFFFF2CC"/>
      <rgbColor rgb="FFEBF3FB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0F6FC"/>
      <rgbColor rgb="FFF0F4F8"/>
      <rgbColor rgb="FFFFD966"/>
      <rgbColor rgb="FF9DC3E6"/>
      <rgbColor rgb="FFFF99CC"/>
      <rgbColor rgb="FFCC99FF"/>
      <rgbColor rgb="FFFFE0B2"/>
      <rgbColor rgb="FF2E75B6"/>
      <rgbColor rgb="FF33CCCC"/>
      <rgbColor rgb="FF99CC00"/>
      <rgbColor rgb="FFF4B942"/>
      <rgbColor rgb="FFFF9900"/>
      <rgbColor rgb="FFFF6600"/>
      <rgbColor rgb="FF555555"/>
      <rgbColor rgb="FFAAAAAA"/>
      <rgbColor rgb="FF003366"/>
      <rgbColor rgb="FF70AD47"/>
      <rgbColor rgb="FF003300"/>
      <rgbColor rgb="FF375623"/>
      <rgbColor rgb="FF993300"/>
      <rgbColor rgb="FF993366"/>
      <rgbColor rgb="FF1F4E7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1.xml"/><Relationship Id="rId22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gani\Downloads\standardized_naming.xlsx" TargetMode="External"/><Relationship Id="rId1" Type="http://schemas.openxmlformats.org/officeDocument/2006/relationships/externalLinkPath" Target="standardized_nam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tandardized Naming"/>
      <sheetName val="Category Summary"/>
    </sheetNames>
    <sheetDataSet>
      <sheetData sheetId="0">
        <row r="2">
          <cell r="B2" t="str">
            <v>FS-FortiPAM</v>
          </cell>
          <cell r="C2" t="str">
            <v>IT Equipment - FortiPAM (Fortinet)</v>
          </cell>
          <cell r="D2" t="str">
            <v>IT Equipment</v>
          </cell>
        </row>
        <row r="3">
          <cell r="B3" t="str">
            <v>Pre Delivery - Abanaki skimmers supply</v>
          </cell>
          <cell r="C3" t="str">
            <v>Oil Skimmers - Abanaki</v>
          </cell>
          <cell r="D3" t="str">
            <v>Deck / Machinery Equipment</v>
          </cell>
        </row>
        <row r="4">
          <cell r="B4" t="str">
            <v>PD - RSC Envirologic</v>
          </cell>
          <cell r="C4" t="str">
            <v>Oil Skimmers - RSC Envirologic</v>
          </cell>
          <cell r="D4" t="str">
            <v>Deck / Machinery Equipment</v>
          </cell>
        </row>
        <row r="5">
          <cell r="B5" t="str">
            <v>FS-X10-SILVERPEAK</v>
          </cell>
          <cell r="C5" t="str">
            <v>IT Equipment - X10 System (Silverpeak)</v>
          </cell>
          <cell r="D5" t="str">
            <v>IT Equipment</v>
          </cell>
        </row>
        <row r="6">
          <cell r="B6" t="str">
            <v>Buyer Supply - J-Marine NeCST 55" Route Planner</v>
          </cell>
          <cell r="C6" t="str">
            <v>Navigation - Route Planner (J-Marine NeCST)</v>
          </cell>
          <cell r="D6" t="str">
            <v>Navigation</v>
          </cell>
        </row>
        <row r="7">
          <cell r="B7" t="str">
            <v>FS-Interface MTA adapter</v>
          </cell>
          <cell r="C7" t="str">
            <v>IT Equipment - Interface / Integration (MTA Adapter)</v>
          </cell>
          <cell r="D7" t="str">
            <v>IT Equipment</v>
          </cell>
        </row>
        <row r="8">
          <cell r="B8" t="str">
            <v>Pre Delivery - Seatab</v>
          </cell>
          <cell r="C8" t="str">
            <v>Seatab</v>
          </cell>
          <cell r="D8" t="str">
            <v>Safety Equipment</v>
          </cell>
        </row>
        <row r="9">
          <cell r="B9" t="str">
            <v>FS-AST -UPDATED PO</v>
          </cell>
          <cell r="C9" t="str">
            <v>IT Equipment - AST</v>
          </cell>
          <cell r="D9" t="str">
            <v>IT Equipment</v>
          </cell>
        </row>
        <row r="10">
          <cell r="B10" t="str">
            <v>FS-ITBP Additional Item</v>
          </cell>
          <cell r="C10" t="str">
            <v>IT Equipment - ITBP Additional Items</v>
          </cell>
          <cell r="D10" t="str">
            <v>IT Equipment</v>
          </cell>
        </row>
        <row r="11">
          <cell r="B11" t="str">
            <v>Pre Delivery Lubes - Order No. 5715387651</v>
          </cell>
          <cell r="C11" t="str">
            <v>Lubricants</v>
          </cell>
          <cell r="D11" t="str">
            <v>Consumables</v>
          </cell>
        </row>
        <row r="12">
          <cell r="B12" t="str">
            <v>FS-KVH</v>
          </cell>
          <cell r="C12" t="str">
            <v>Communications - VSAT (KVH)</v>
          </cell>
          <cell r="D12" t="str">
            <v>Communications</v>
          </cell>
        </row>
        <row r="13">
          <cell r="B13" t="str">
            <v>FS-VLINK-H1943A</v>
          </cell>
          <cell r="C13" t="str">
            <v>Communications - VLINK</v>
          </cell>
          <cell r="D13" t="str">
            <v>Communications</v>
          </cell>
        </row>
        <row r="14">
          <cell r="B14" t="str">
            <v>FS-ITBP  -CHANCAY</v>
          </cell>
          <cell r="C14" t="str">
            <v>IT Equipment - ITBP</v>
          </cell>
          <cell r="D14" t="str">
            <v>IT Equipment</v>
          </cell>
        </row>
        <row r="15">
          <cell r="B15" t="str">
            <v>Pre Delivery Lubes - Order No. 5715441952</v>
          </cell>
          <cell r="C15" t="str">
            <v>Lubricants</v>
          </cell>
          <cell r="D15" t="str">
            <v>Consumables</v>
          </cell>
        </row>
        <row r="16">
          <cell r="B16" t="str">
            <v>FS-ITBP MISC LAB KIT</v>
          </cell>
          <cell r="C16" t="str">
            <v>IT Equipment - ITBP Lab Kit</v>
          </cell>
          <cell r="D16" t="str">
            <v>IT Equipment</v>
          </cell>
        </row>
        <row r="17">
          <cell r="B17" t="str">
            <v>Pre Delivery - Garbage Compactor</v>
          </cell>
          <cell r="C17" t="str">
            <v>Garbage Compactor</v>
          </cell>
          <cell r="D17" t="str">
            <v>Deck / Machinery Equipment</v>
          </cell>
        </row>
        <row r="18">
          <cell r="B18" t="str">
            <v>FS-LENOVO-Chancay</v>
          </cell>
          <cell r="C18" t="str">
            <v>IT Equipment - Computers (Lenovo)</v>
          </cell>
          <cell r="D18" t="str">
            <v>IT Equipment</v>
          </cell>
        </row>
        <row r="19">
          <cell r="B19" t="str">
            <v>PD - SIT Equipment (OOCL CHANCAY) Order # 4 - 5601988545</v>
          </cell>
          <cell r="C19" t="str">
            <v>IT Equipment - SIT Equipment</v>
          </cell>
          <cell r="D19" t="str">
            <v>IT Equipment</v>
          </cell>
        </row>
        <row r="20">
          <cell r="B20" t="str">
            <v>Interface PO-H1943A</v>
          </cell>
          <cell r="C20" t="str">
            <v>IT Equipment - Interface / Integration</v>
          </cell>
          <cell r="D20" t="str">
            <v>IT Equipment</v>
          </cell>
        </row>
        <row r="21">
          <cell r="B21" t="str">
            <v>Pre Delivery - (OOCL CHANCAY) Order # 2</v>
          </cell>
          <cell r="C21" t="str">
            <v>Pre-Delivery Stores (OOCL CHANCAY) Order #2</v>
          </cell>
          <cell r="D21" t="str">
            <v>Provisions &amp; Stores</v>
          </cell>
        </row>
        <row r="22">
          <cell r="B22" t="str">
            <v>FS-Vlink</v>
          </cell>
          <cell r="C22" t="str">
            <v>Communications - VLINK</v>
          </cell>
          <cell r="D22" t="str">
            <v>Communications</v>
          </cell>
        </row>
        <row r="23">
          <cell r="B23" t="str">
            <v>FS-ITBP CABLES</v>
          </cell>
          <cell r="C23" t="str">
            <v>IT Equipment - ITBP Cables</v>
          </cell>
          <cell r="D23" t="str">
            <v>IT Equipment</v>
          </cell>
        </row>
        <row r="24">
          <cell r="B24" t="str">
            <v>FS-VLINK-Accessories</v>
          </cell>
          <cell r="C24" t="str">
            <v>Communications - VLINK Accessories</v>
          </cell>
          <cell r="D24" t="str">
            <v>Communications</v>
          </cell>
        </row>
        <row r="25">
          <cell r="B25" t="str">
            <v>13601 TEU - Lashing RFP - SEC</v>
          </cell>
          <cell r="C25" t="str">
            <v>RO-RO Equipment - Lashing (SEC)</v>
          </cell>
          <cell r="D25" t="str">
            <v>RO-RO Equipment</v>
          </cell>
        </row>
        <row r="26">
          <cell r="B26" t="str">
            <v>FS-SIHUI-Chancay</v>
          </cell>
          <cell r="C26" t="str">
            <v>IT Equipment - Sihui Marine</v>
          </cell>
          <cell r="D26" t="str">
            <v>IT Equipment</v>
          </cell>
        </row>
        <row r="27">
          <cell r="B27" t="str">
            <v>Pre Delivery (OOCL CHANCAY) Order # A 5715663906</v>
          </cell>
          <cell r="C27" t="str">
            <v>Pre-Delivery Stores (OOCL CHANCAY) Order #A</v>
          </cell>
          <cell r="D27" t="str">
            <v>Provisions &amp; Stores</v>
          </cell>
        </row>
        <row r="28">
          <cell r="B28" t="str">
            <v>Pre-Delivery - Navis Crew Care</v>
          </cell>
          <cell r="C28" t="str">
            <v>Crew Welfare - Navis Crew Care</v>
          </cell>
          <cell r="D28" t="str">
            <v>Crew Welfare</v>
          </cell>
        </row>
        <row r="29">
          <cell r="B29" t="str">
            <v>Pre Delivery - Engineering Products &amp; Kits (DREW)</v>
          </cell>
          <cell r="C29" t="str">
            <v>Chemicals - General (Drew Marine)</v>
          </cell>
          <cell r="D29" t="str">
            <v>Chemicals</v>
          </cell>
        </row>
        <row r="30">
          <cell r="B30" t="str">
            <v>Refrigerant Equipment</v>
          </cell>
          <cell r="C30" t="str">
            <v>Refrigerant Equipment</v>
          </cell>
          <cell r="D30" t="str">
            <v>Deck / Machinery Equipment</v>
          </cell>
        </row>
        <row r="31">
          <cell r="B31" t="str">
            <v>Pre Delivery - Welding Equipment Gases</v>
          </cell>
          <cell r="C31" t="str">
            <v>Welding Equipment</v>
          </cell>
          <cell r="D31" t="str">
            <v>Deck / Machinery Equipment</v>
          </cell>
        </row>
        <row r="32">
          <cell r="B32" t="str">
            <v>Pre Delivery - Treatment Chemical Maintenance Chemicals</v>
          </cell>
          <cell r="C32" t="str">
            <v>Chemicals - General</v>
          </cell>
          <cell r="D32" t="str">
            <v>Chemicals</v>
          </cell>
        </row>
        <row r="33">
          <cell r="B33" t="str">
            <v>PPE - RMS Immersion Suit</v>
          </cell>
          <cell r="C33" t="str">
            <v>Immersion Suits</v>
          </cell>
          <cell r="D33" t="str">
            <v>PPE &amp; Safety</v>
          </cell>
        </row>
        <row r="34">
          <cell r="B34" t="str">
            <v>Fire Mans Outfit</v>
          </cell>
          <cell r="C34" t="str">
            <v>Firemans Outfit</v>
          </cell>
          <cell r="D34" t="str">
            <v>PPE &amp; Safety</v>
          </cell>
        </row>
        <row r="35">
          <cell r="B35" t="str">
            <v>Iron Test Kit from CMT</v>
          </cell>
          <cell r="C35" t="str">
            <v>Iron Test Kit</v>
          </cell>
          <cell r="D35" t="str">
            <v>Testing &amp; Calibration</v>
          </cell>
        </row>
        <row r="36">
          <cell r="B36" t="str">
            <v>Oil Test Kit</v>
          </cell>
          <cell r="C36" t="str">
            <v>Oil Test Kit</v>
          </cell>
          <cell r="D36" t="str">
            <v>Testing &amp; Calibration</v>
          </cell>
        </row>
        <row r="37">
          <cell r="B37" t="str">
            <v>Pre Delivery - Sample Cooler</v>
          </cell>
          <cell r="C37" t="str">
            <v>Sample Cooler</v>
          </cell>
          <cell r="D37" t="str">
            <v>Deck / Machinery Equipment</v>
          </cell>
        </row>
        <row r="38">
          <cell r="B38" t="str">
            <v>Mooring Rope</v>
          </cell>
          <cell r="C38" t="str">
            <v>Mooring Ropes</v>
          </cell>
          <cell r="D38" t="str">
            <v>Deck / Machinery Equipment</v>
          </cell>
        </row>
        <row r="39">
          <cell r="B39" t="str">
            <v>Reliability Spares - Main Engine</v>
          </cell>
          <cell r="C39" t="str">
            <v>Engine Spares - Main Engine</v>
          </cell>
          <cell r="D39" t="str">
            <v>Engine Spares</v>
          </cell>
        </row>
        <row r="40">
          <cell r="B40" t="str">
            <v>Reliability Spares - Aux Engine</v>
          </cell>
          <cell r="C40" t="str">
            <v>Engine Spares - Auxiliary Engine</v>
          </cell>
          <cell r="D40" t="str">
            <v>Engine Spares</v>
          </cell>
        </row>
        <row r="41">
          <cell r="B41" t="str">
            <v>Reliability Spares - Boilers</v>
          </cell>
          <cell r="C41" t="str">
            <v>Engine Spares - Boilers</v>
          </cell>
          <cell r="D41" t="str">
            <v>Engine Spares</v>
          </cell>
        </row>
        <row r="42">
          <cell r="B42" t="str">
            <v>Reliability Spares - Fire detection system</v>
          </cell>
          <cell r="C42" t="str">
            <v>Fire Detection System</v>
          </cell>
          <cell r="D42" t="str">
            <v>Safety Equipment</v>
          </cell>
        </row>
        <row r="43">
          <cell r="B43" t="str">
            <v>Reliabiltiy Spares - Gas Detection System</v>
          </cell>
          <cell r="C43" t="str">
            <v>Gas Detection System</v>
          </cell>
          <cell r="D43" t="str">
            <v>Safety Equipment</v>
          </cell>
        </row>
        <row r="44">
          <cell r="B44" t="str">
            <v>Reliability Spares - 10,8K CEU SWS - GVT- Eltronic</v>
          </cell>
          <cell r="C44" t="str">
            <v>GVT Electronics</v>
          </cell>
          <cell r="D44" t="str">
            <v>IT Equipment</v>
          </cell>
        </row>
        <row r="45">
          <cell r="B45" t="str">
            <v>Shipyard Extra Buyer Supply - HiNAS SVM 10800</v>
          </cell>
          <cell r="C45" t="str">
            <v>Navigation - HiNAS SVM</v>
          </cell>
          <cell r="D45" t="str">
            <v>Navigation</v>
          </cell>
        </row>
        <row r="46">
          <cell r="B46" t="str">
            <v>A-Q-2025-09-02_R1</v>
          </cell>
          <cell r="C46" t="str">
            <v>Navigation - HiNAS SVM (Quotation Ref)</v>
          </cell>
          <cell r="D46" t="str">
            <v>Navigation</v>
          </cell>
        </row>
        <row r="47">
          <cell r="B47" t="str">
            <v>Shipyard Extra Owner supply - Captains Eye</v>
          </cell>
          <cell r="C47" t="str">
            <v>Navigation - Captains Eye</v>
          </cell>
          <cell r="D47" t="str">
            <v>Navigation</v>
          </cell>
        </row>
        <row r="48">
          <cell r="B48" t="str">
            <v>SHIPYARD EXTRA OWNER SUPPLY - SWS-10.8k CEU extra cost for SMiG application</v>
          </cell>
          <cell r="C48" t="str">
            <v>Safety Integration - SMiG</v>
          </cell>
          <cell r="D48" t="str">
            <v>Safety Equipment</v>
          </cell>
        </row>
        <row r="49">
          <cell r="B49" t="str">
            <v>Citadel VHF/GPS and UHF ANTENNA system</v>
          </cell>
          <cell r="C49" t="str">
            <v>Citadel VHF/GPS/UHF System</v>
          </cell>
          <cell r="D49" t="str">
            <v>Communications</v>
          </cell>
        </row>
        <row r="50">
          <cell r="B50" t="str">
            <v>VISWA Line Samplers</v>
          </cell>
          <cell r="C50" t="str">
            <v>VISWA Line Samplers</v>
          </cell>
          <cell r="D50" t="str">
            <v>Testing &amp; Calibration</v>
          </cell>
        </row>
        <row r="51">
          <cell r="B51" t="str">
            <v>Air driven HP Pump - For hydraulic nuts for M/E</v>
          </cell>
          <cell r="C51" t="str">
            <v>HP Pump (Hydraulic Nuts)</v>
          </cell>
          <cell r="D51" t="str">
            <v>Deck / Machinery Equipment</v>
          </cell>
        </row>
        <row r="52">
          <cell r="B52" t="str">
            <v>UHF Radio (Handheld)</v>
          </cell>
          <cell r="C52" t="str">
            <v>UHF Radio</v>
          </cell>
          <cell r="D52" t="str">
            <v>Communications</v>
          </cell>
        </row>
        <row r="53">
          <cell r="B53" t="str">
            <v>Reliability RO-RO Equipment (Main &amp; Centre Ramp spares + inner Ramp spares)</v>
          </cell>
          <cell r="C53" t="str">
            <v>RO-RO Equipment - Ramp Spares</v>
          </cell>
          <cell r="D53" t="str">
            <v>RO-RO Equipment</v>
          </cell>
        </row>
        <row r="54">
          <cell r="B54" t="str">
            <v>Reliability HP Pump Skid</v>
          </cell>
          <cell r="C54" t="str">
            <v>HP Pump Skid</v>
          </cell>
          <cell r="D54" t="str">
            <v>Deck / Machinery Equipment</v>
          </cell>
        </row>
        <row r="55">
          <cell r="B55" t="str">
            <v>Reliability Nitrogen Generator</v>
          </cell>
          <cell r="C55" t="str">
            <v>Nitrogen Generator</v>
          </cell>
          <cell r="D55" t="str">
            <v>Deck / Machinery Equipment</v>
          </cell>
        </row>
        <row r="56">
          <cell r="B56" t="str">
            <v>Reefer cable and plugs extensions</v>
          </cell>
          <cell r="C56" t="str">
            <v>Reefer Cables &amp; Plugs</v>
          </cell>
          <cell r="D56" t="str">
            <v>Deck / Machinery Equipment</v>
          </cell>
        </row>
        <row r="57">
          <cell r="B57" t="str">
            <v>Glycol</v>
          </cell>
          <cell r="C57" t="str">
            <v>Glycol</v>
          </cell>
          <cell r="D57" t="str">
            <v>Chemicals</v>
          </cell>
        </row>
        <row r="58">
          <cell r="B58" t="str">
            <v>Gas meters</v>
          </cell>
          <cell r="C58" t="str">
            <v>Gas Meters</v>
          </cell>
          <cell r="D58" t="str">
            <v>Testing &amp; Calibration</v>
          </cell>
        </row>
        <row r="59">
          <cell r="B59" t="str">
            <v>Thermal Stop PO</v>
          </cell>
          <cell r="C59" t="str">
            <v>Thermal Stop</v>
          </cell>
          <cell r="D59" t="str">
            <v>Deck / Machinery Equipment</v>
          </cell>
        </row>
        <row r="60">
          <cell r="B60" t="str">
            <v>EV Lance Receptacles</v>
          </cell>
          <cell r="C60" t="str">
            <v>Receptacles</v>
          </cell>
          <cell r="D60" t="str">
            <v>Electrical Equipment</v>
          </cell>
        </row>
        <row r="61">
          <cell r="B61" t="str">
            <v>Trelleborg Safe lanes</v>
          </cell>
          <cell r="C61" t="str">
            <v>Safe Lanes (Trelleborg)</v>
          </cell>
          <cell r="D61" t="str">
            <v>Safety Equipment</v>
          </cell>
        </row>
        <row r="62">
          <cell r="B62" t="str">
            <v>IMPA Stores - BA Compressor</v>
          </cell>
          <cell r="C62" t="str">
            <v>IMPA Stores - BA Compressor</v>
          </cell>
          <cell r="D62" t="str">
            <v>IMPA Stores</v>
          </cell>
        </row>
        <row r="63">
          <cell r="B63" t="str">
            <v>FLIR ESPro and E6 Pro</v>
          </cell>
          <cell r="C63" t="str">
            <v>Thermal Camera (FLIR)</v>
          </cell>
          <cell r="D63" t="str">
            <v>Safety Equipment</v>
          </cell>
        </row>
        <row r="64">
          <cell r="B64" t="str">
            <v>Cryogenic PPE - Scandia</v>
          </cell>
          <cell r="C64" t="str">
            <v>Cryogenic PPE</v>
          </cell>
          <cell r="D64" t="str">
            <v>PPE &amp; Safety</v>
          </cell>
        </row>
        <row r="65">
          <cell r="B65" t="str">
            <v>Ultrasonic Cleaning system - 230V</v>
          </cell>
          <cell r="C65" t="str">
            <v>Ultrasonic Cleaner</v>
          </cell>
          <cell r="D65" t="str">
            <v>Deck / Machinery Equipment</v>
          </cell>
        </row>
        <row r="66">
          <cell r="B66" t="str">
            <v>Pre-Delivery - OPA 91 H.P machine - 2pcs (prefer Branded - Karcher/ KEW)</v>
          </cell>
          <cell r="C66" t="str">
            <v>OPA 90 Kit</v>
          </cell>
          <cell r="D66" t="str">
            <v>Safety Equipment</v>
          </cell>
        </row>
        <row r="67">
          <cell r="B67" t="str">
            <v>DF Tools</v>
          </cell>
          <cell r="C67" t="str">
            <v>Dual Fuel Tools</v>
          </cell>
          <cell r="D67" t="str">
            <v>Deck / Machinery Equipment</v>
          </cell>
        </row>
        <row r="68">
          <cell r="B68" t="str">
            <v>LOTO Stickers</v>
          </cell>
          <cell r="C68" t="str">
            <v>LOTO Stickers</v>
          </cell>
          <cell r="D68" t="str">
            <v>PPE &amp; Safety</v>
          </cell>
        </row>
        <row r="69">
          <cell r="B69" t="str">
            <v>Steam Splash Suit</v>
          </cell>
          <cell r="C69" t="str">
            <v>Steam Splash Suit</v>
          </cell>
          <cell r="D69" t="str">
            <v>PPE &amp; Safety</v>
          </cell>
        </row>
        <row r="70">
          <cell r="B70" t="str">
            <v>Chemical tags</v>
          </cell>
          <cell r="C70" t="str">
            <v>Chemical Tags</v>
          </cell>
          <cell r="D70" t="str">
            <v>PPE &amp; Safety</v>
          </cell>
        </row>
        <row r="71">
          <cell r="B71" t="str">
            <v>Explosion Proof Camera</v>
          </cell>
          <cell r="C71" t="str">
            <v>Explosion Proof Camera</v>
          </cell>
          <cell r="D71" t="str">
            <v>Safety Equipment</v>
          </cell>
        </row>
        <row r="72">
          <cell r="B72" t="str">
            <v>Temperature Calibrators</v>
          </cell>
          <cell r="C72" t="str">
            <v>Temperature &amp; Pressure Calibrators</v>
          </cell>
          <cell r="D72" t="str">
            <v>Testing &amp; Calibration</v>
          </cell>
        </row>
        <row r="73">
          <cell r="B73" t="str">
            <v>Pressure Calibrators</v>
          </cell>
          <cell r="C73" t="str">
            <v>Temperature &amp; Pressure Calibrators</v>
          </cell>
          <cell r="D73" t="str">
            <v>Testing &amp; Calibration</v>
          </cell>
        </row>
        <row r="74">
          <cell r="B74" t="str">
            <v>Garbage Refrigerator</v>
          </cell>
          <cell r="C74" t="str">
            <v>Garbage Refrigerator</v>
          </cell>
          <cell r="D74" t="str">
            <v>Deck / Machinery Equipment</v>
          </cell>
        </row>
        <row r="75">
          <cell r="B75" t="str">
            <v>Seatrial Stores</v>
          </cell>
          <cell r="C75" t="str">
            <v>Sea Trial Stores</v>
          </cell>
          <cell r="D75" t="str">
            <v>Provisions &amp; Stores</v>
          </cell>
        </row>
        <row r="76">
          <cell r="B76" t="str">
            <v>Provisions and Bonds</v>
          </cell>
          <cell r="C76" t="str">
            <v>Provisions &amp; Bonded Stores</v>
          </cell>
          <cell r="D76" t="str">
            <v>Provisions &amp; Stores</v>
          </cell>
        </row>
        <row r="77">
          <cell r="B77" t="str">
            <v>Medicines</v>
          </cell>
          <cell r="C77" t="str">
            <v>Medicines</v>
          </cell>
          <cell r="D77" t="str">
            <v>Medical</v>
          </cell>
        </row>
        <row r="78">
          <cell r="B78" t="str">
            <v>AIS MOB</v>
          </cell>
          <cell r="C78" t="str">
            <v>AIS MOB Device</v>
          </cell>
          <cell r="D78" t="str">
            <v>Safety Equipment</v>
          </cell>
        </row>
        <row r="79">
          <cell r="B79" t="str">
            <v>Gas Detector</v>
          </cell>
          <cell r="C79" t="str">
            <v>Gas Detection System</v>
          </cell>
          <cell r="D79" t="str">
            <v>Safety Equipment</v>
          </cell>
        </row>
        <row r="80">
          <cell r="B80" t="str">
            <v>Reefer Container Socket System</v>
          </cell>
          <cell r="C80" t="str">
            <v>Reefer Cables &amp; Plugs</v>
          </cell>
          <cell r="D80" t="str">
            <v>Deck / Machinery Equipment</v>
          </cell>
        </row>
        <row r="81">
          <cell r="B81" t="str">
            <v>Inline Foam Eductor</v>
          </cell>
          <cell r="C81" t="str">
            <v>IMPA Stores - Firefighting Equipment</v>
          </cell>
          <cell r="D81" t="str">
            <v>IMPA Stores</v>
          </cell>
        </row>
        <row r="82">
          <cell r="B82" t="str">
            <v>Fire Suppression Unit</v>
          </cell>
          <cell r="C82" t="str">
            <v>IMPA Stores - Firefighting Equipment</v>
          </cell>
          <cell r="D82" t="str">
            <v>IMPA Stores</v>
          </cell>
        </row>
        <row r="83">
          <cell r="B83" t="str">
            <v>Seals</v>
          </cell>
          <cell r="C83" t="str">
            <v>Seals</v>
          </cell>
          <cell r="D83" t="str">
            <v>Deck / Machinery Equipment</v>
          </cell>
        </row>
        <row r="84">
          <cell r="B84" t="str">
            <v>Cold Fire</v>
          </cell>
          <cell r="C84" t="str">
            <v>IMPA Stores - Firefighting Equipment</v>
          </cell>
          <cell r="D84" t="str">
            <v>IMPA Stores</v>
          </cell>
        </row>
        <row r="85">
          <cell r="B85" t="str">
            <v>15001 - SHI - LNG - Wires</v>
          </cell>
          <cell r="C85" t="str">
            <v>LNG Bunkering Equipment</v>
          </cell>
          <cell r="D85" t="str">
            <v>LNG Equipment</v>
          </cell>
        </row>
        <row r="86">
          <cell r="B86" t="str">
            <v>Naoh</v>
          </cell>
          <cell r="C86" t="str">
            <v>NaOH (Sodium Hydroxide)</v>
          </cell>
          <cell r="D86" t="str">
            <v>Chemicals</v>
          </cell>
        </row>
        <row r="87">
          <cell r="B87" t="str">
            <v>Suez Light</v>
          </cell>
          <cell r="C87" t="str">
            <v>Suez Light</v>
          </cell>
          <cell r="D87" t="str">
            <v>Navigation</v>
          </cell>
        </row>
        <row r="88">
          <cell r="B88" t="str">
            <v>Goggle for Cryogenic PPE</v>
          </cell>
          <cell r="C88" t="str">
            <v>Cryogenic PPE</v>
          </cell>
          <cell r="D88" t="str">
            <v>PPE &amp; Safety</v>
          </cell>
        </row>
        <row r="89">
          <cell r="B89" t="str">
            <v>Stationery</v>
          </cell>
          <cell r="C89" t="str">
            <v>IMPA Stores - Stationery</v>
          </cell>
          <cell r="D89" t="str">
            <v>IMPA Stores</v>
          </cell>
        </row>
        <row r="90">
          <cell r="B90" t="str">
            <v>Water Bottles</v>
          </cell>
          <cell r="C90" t="str">
            <v>Crew Welfare</v>
          </cell>
          <cell r="D90" t="str">
            <v>Crew Welfare</v>
          </cell>
        </row>
        <row r="91">
          <cell r="B91" t="str">
            <v>GoPro Hero 10</v>
          </cell>
          <cell r="C91" t="str">
            <v>Crew Welfare</v>
          </cell>
          <cell r="D91" t="str">
            <v>Crew Welfare</v>
          </cell>
        </row>
        <row r="92">
          <cell r="B92" t="str">
            <v>Fuel Additive</v>
          </cell>
          <cell r="C92" t="str">
            <v>Chemicals - General</v>
          </cell>
          <cell r="D92" t="str">
            <v>Chemicals</v>
          </cell>
        </row>
        <row r="93">
          <cell r="B93" t="str">
            <v>Inspection Gauge for Container Socket</v>
          </cell>
          <cell r="C93" t="str">
            <v>Testing &amp; Calibration Equipment</v>
          </cell>
          <cell r="D93" t="str">
            <v>Testing &amp; Calibration</v>
          </cell>
        </row>
        <row r="94">
          <cell r="B94" t="str">
            <v>PD - Sewage Treatment Plant Fittings (Accom)</v>
          </cell>
          <cell r="C94" t="str">
            <v>IMPA Stores - Accommodation</v>
          </cell>
          <cell r="D94" t="str">
            <v>IMPA Stores</v>
          </cell>
        </row>
        <row r="95">
          <cell r="B95" t="str">
            <v>Universal Calibrator</v>
          </cell>
          <cell r="C95" t="str">
            <v>Temperature &amp; Pressure Calibrators</v>
          </cell>
          <cell r="D95" t="str">
            <v>Testing &amp; Calibration</v>
          </cell>
        </row>
        <row r="96">
          <cell r="B96" t="str">
            <v>Gas Measuring Equipment - RKI GX-8001</v>
          </cell>
          <cell r="C96" t="str">
            <v>Gas Detection System</v>
          </cell>
          <cell r="D96" t="str">
            <v>Safety Equipment</v>
          </cell>
        </row>
        <row r="97">
          <cell r="B97" t="str">
            <v>Lost Time Injury</v>
          </cell>
          <cell r="C97" t="str">
            <v>IMPA Stores - General</v>
          </cell>
          <cell r="D97" t="str">
            <v>IMPA Stores</v>
          </cell>
        </row>
        <row r="98">
          <cell r="B98" t="str">
            <v>Urea</v>
          </cell>
          <cell r="C98" t="str">
            <v>Chemicals - General</v>
          </cell>
          <cell r="D98" t="str">
            <v>Chemicals</v>
          </cell>
        </row>
        <row r="99">
          <cell r="B99" t="str">
            <v>Hydrogen</v>
          </cell>
          <cell r="C99" t="str">
            <v>Gas Cylinders</v>
          </cell>
          <cell r="D99" t="str">
            <v>Chemicals</v>
          </cell>
        </row>
        <row r="100">
          <cell r="B100" t="str">
            <v>Lub Oil Test Kit (VISWA)</v>
          </cell>
          <cell r="C100" t="str">
            <v>Oil Test Kit</v>
          </cell>
          <cell r="D100" t="str">
            <v>Testing &amp; Calibration</v>
          </cell>
        </row>
        <row r="101">
          <cell r="B101" t="str">
            <v>Stores- Instrumentation</v>
          </cell>
          <cell r="C101" t="str">
            <v>IMPA Stores - Electrical</v>
          </cell>
          <cell r="D101" t="str">
            <v>IMPA Stores</v>
          </cell>
        </row>
        <row r="102">
          <cell r="B102" t="str">
            <v>VISWA Line Sampler</v>
          </cell>
          <cell r="C102" t="str">
            <v>VISWA Line Samplers</v>
          </cell>
          <cell r="D102" t="str">
            <v>Testing &amp; Calibration</v>
          </cell>
        </row>
        <row r="103">
          <cell r="B103" t="str">
            <v>Walkie Talkie</v>
          </cell>
          <cell r="C103" t="str">
            <v>UHF Radio</v>
          </cell>
          <cell r="D103" t="str">
            <v>Communications</v>
          </cell>
        </row>
        <row r="104">
          <cell r="B104" t="str">
            <v>Lighting Installations</v>
          </cell>
          <cell r="C104" t="str">
            <v>IMPA Stores - Electrical</v>
          </cell>
          <cell r="D104" t="str">
            <v>IMPA Stores</v>
          </cell>
        </row>
        <row r="105">
          <cell r="B105" t="str">
            <v>ISPS Light</v>
          </cell>
          <cell r="C105" t="str">
            <v>IMPA Stores - Electrical</v>
          </cell>
          <cell r="D105" t="str">
            <v>IMPA Stores</v>
          </cell>
        </row>
        <row r="106">
          <cell r="B106" t="str">
            <v>New Positioning System for Transiting Neopanamax</v>
          </cell>
          <cell r="C106" t="str">
            <v>Navigation - Positioning System</v>
          </cell>
          <cell r="D106" t="str">
            <v>Navigation</v>
          </cell>
        </row>
        <row r="107">
          <cell r="B107" t="str">
            <v>Safepilot P3 navigation System</v>
          </cell>
          <cell r="C107" t="str">
            <v>Navigation - Positioning System</v>
          </cell>
          <cell r="D107" t="str">
            <v>Navigation</v>
          </cell>
        </row>
        <row r="108">
          <cell r="B108" t="str">
            <v>One (1) garbage compactor</v>
          </cell>
          <cell r="C108" t="str">
            <v>Garbage Compactor</v>
          </cell>
          <cell r="D108" t="str">
            <v>Deck / Machinery Equipment</v>
          </cell>
        </row>
        <row r="109">
          <cell r="B109" t="str">
            <v>Lubricating Oil and Grease consumable</v>
          </cell>
          <cell r="C109" t="str">
            <v>Lubricants</v>
          </cell>
          <cell r="D109" t="str">
            <v>Consumables</v>
          </cell>
        </row>
        <row r="110">
          <cell r="B110" t="str">
            <v>Loose fittings for container securing</v>
          </cell>
          <cell r="C110" t="str">
            <v>RO-RO Equipment - Loose Fittings</v>
          </cell>
          <cell r="D110" t="str">
            <v>RO-RO Equipment</v>
          </cell>
        </row>
        <row r="111">
          <cell r="B111" t="str">
            <v>Fully automatic twist locks shall be stowed in stowage bins (Buyer supply)</v>
          </cell>
          <cell r="C111" t="str">
            <v>RO-RO Equipment - Loose Fittings</v>
          </cell>
          <cell r="D111" t="str">
            <v>RO-RO Equipment</v>
          </cell>
        </row>
        <row r="112">
          <cell r="B112" t="str">
            <v>Soot Release Dosing Device</v>
          </cell>
          <cell r="C112" t="str">
            <v>Soot Treatment</v>
          </cell>
          <cell r="D112" t="str">
            <v>Chemicals</v>
          </cell>
        </row>
        <row r="113">
          <cell r="B113" t="str">
            <v>Reefer container Monitoring System</v>
          </cell>
          <cell r="C113" t="str">
            <v>Reefer Cables &amp; Plugs</v>
          </cell>
          <cell r="D113" t="str">
            <v>Deck / Machinery Equipment</v>
          </cell>
        </row>
        <row r="114">
          <cell r="B114" t="str">
            <v>Reefer Cables and plug extensions / Extension cores with plug for reefer container</v>
          </cell>
          <cell r="C114" t="str">
            <v>Reefer Cables &amp; Plugs</v>
          </cell>
          <cell r="D114" t="str">
            <v>Deck / Machinery Equipment</v>
          </cell>
        </row>
        <row r="115">
          <cell r="B115" t="str">
            <v>Loose equipment for emergency operation such as chain block and shackle</v>
          </cell>
          <cell r="C115" t="str">
            <v>Chain Blocks</v>
          </cell>
          <cell r="D115" t="str">
            <v>Deck / Machinery Equipment</v>
          </cell>
        </row>
        <row r="116">
          <cell r="B116" t="str">
            <v>Charts in general and all nautical instruments and books</v>
          </cell>
          <cell r="C116" t="str">
            <v>Publications &amp; Manuals</v>
          </cell>
          <cell r="D116" t="str">
            <v>Publications &amp; Manuals</v>
          </cell>
        </row>
        <row r="117">
          <cell r="B117" t="str">
            <v>Flags</v>
          </cell>
          <cell r="C117" t="str">
            <v>IMPA Stores - General</v>
          </cell>
          <cell r="D117" t="str">
            <v>IMPA Stores</v>
          </cell>
        </row>
        <row r="118">
          <cell r="B118" t="str">
            <v>All office machine</v>
          </cell>
          <cell r="C118" t="str">
            <v>IMPA Stores - General</v>
          </cell>
          <cell r="D118" t="str">
            <v>IMPA Stores</v>
          </cell>
        </row>
        <row r="119">
          <cell r="B119" t="str">
            <v>Hobby, sport and entertainment equipment</v>
          </cell>
          <cell r="C119" t="str">
            <v>IMPA Stores - Gym</v>
          </cell>
          <cell r="D119" t="str">
            <v>IMPA Stores</v>
          </cell>
        </row>
        <row r="120">
          <cell r="B120" t="str">
            <v>All medicine and medical equipment except those for lifeboat</v>
          </cell>
          <cell r="C120" t="str">
            <v>Medical Equipment (Medox)</v>
          </cell>
          <cell r="D120" t="str">
            <v>Medical</v>
          </cell>
        </row>
        <row r="121">
          <cell r="B121" t="str">
            <v>All cook's and steward's utensils</v>
          </cell>
          <cell r="C121" t="str">
            <v>IMPA Stores - Galley</v>
          </cell>
          <cell r="D121" t="str">
            <v>IMPA Stores</v>
          </cell>
        </row>
        <row r="122">
          <cell r="B122" t="str">
            <v>Linen including blanket, carpets, bed sheets, towels and table cloth</v>
          </cell>
          <cell r="C122" t="str">
            <v>IMPA Stores - Crew</v>
          </cell>
          <cell r="D122" t="str">
            <v>IMPA Stores</v>
          </cell>
        </row>
        <row r="123">
          <cell r="B123" t="str">
            <v>Bedding clothes (blankets, sheets, covers, etc.) except mattresses</v>
          </cell>
          <cell r="C123" t="str">
            <v>IMPA Stores - Crew</v>
          </cell>
          <cell r="D123" t="str">
            <v>IMPA Stores</v>
          </cell>
        </row>
        <row r="124">
          <cell r="B124" t="str">
            <v>Painting and pictures including frames and other decorations</v>
          </cell>
          <cell r="C124" t="str">
            <v>IMPA Stores - Accommodation</v>
          </cell>
          <cell r="D124" t="str">
            <v>IMPA Stores</v>
          </cell>
        </row>
        <row r="125">
          <cell r="B125" t="str">
            <v>Brooms, brushes, vacuum cleaners, waste baskets etc.</v>
          </cell>
          <cell r="C125" t="str">
            <v>IMPA Stores - Accommodation</v>
          </cell>
          <cell r="D125" t="str">
            <v>IMPA Stores</v>
          </cell>
        </row>
        <row r="126">
          <cell r="B126" t="str">
            <v>Consumable stores including sanitary, all chandlery</v>
          </cell>
          <cell r="C126" t="str">
            <v>IMPA Stores - General</v>
          </cell>
          <cell r="D126" t="str">
            <v>IMPA Stores</v>
          </cell>
        </row>
        <row r="127">
          <cell r="B127" t="str">
            <v>TV sets, Hi-Fi stereo sets and DVD etc.</v>
          </cell>
          <cell r="C127" t="str">
            <v>Crew Welfare</v>
          </cell>
          <cell r="D127" t="str">
            <v>Crew Welfare</v>
          </cell>
        </row>
        <row r="128">
          <cell r="B128" t="str">
            <v>Three (3) sets of Muster List (Buyer's supply)</v>
          </cell>
          <cell r="C128" t="str">
            <v>IMPA Stores - Bridge</v>
          </cell>
          <cell r="D128" t="str">
            <v>IMPA Stores</v>
          </cell>
        </row>
        <row r="129">
          <cell r="B129" t="str">
            <v>Hospital and dispensary O2 bottle rack with fastening belt</v>
          </cell>
          <cell r="C129" t="str">
            <v>Medical Equipment (Medox)</v>
          </cell>
          <cell r="D129" t="str">
            <v>Medical</v>
          </cell>
        </row>
        <row r="130">
          <cell r="B130" t="str">
            <v>Gymnasium equipment (220VAC)</v>
          </cell>
          <cell r="C130" t="str">
            <v>IMPA Stores - Gym</v>
          </cell>
          <cell r="D130" t="str">
            <v>IMPA Stores</v>
          </cell>
        </row>
        <row r="131">
          <cell r="B131" t="str">
            <v>FLAGS. SIGNAL ETC.</v>
          </cell>
          <cell r="C131" t="str">
            <v>IMPA Stores - General</v>
          </cell>
          <cell r="D131" t="str">
            <v>IMPA Stores</v>
          </cell>
        </row>
        <row r="132">
          <cell r="B132" t="str">
            <v>Boatswain's and carpenter's tools and inventory</v>
          </cell>
          <cell r="C132" t="str">
            <v>IMPA Stores - Deck</v>
          </cell>
          <cell r="D132" t="str">
            <v>IMPA Stores</v>
          </cell>
        </row>
        <row r="133">
          <cell r="B133" t="str">
            <v>Boiler feed water test kit and chemical compounds</v>
          </cell>
          <cell r="C133" t="str">
            <v>Engine Spares - Boilers</v>
          </cell>
          <cell r="D133" t="str">
            <v>Engine Spares</v>
          </cell>
        </row>
        <row r="134">
          <cell r="B134" t="str">
            <v>Test Kit for Fuel Oil, Lube Oil and Hydraulic Oil</v>
          </cell>
          <cell r="C134" t="str">
            <v>Oil Test Kit</v>
          </cell>
          <cell r="D134" t="str">
            <v>Testing &amp; Calibration</v>
          </cell>
        </row>
        <row r="135">
          <cell r="B135" t="str">
            <v>Test kit for shaft condition monitor</v>
          </cell>
          <cell r="C135" t="str">
            <v>Testing &amp; Calibration Equipment</v>
          </cell>
          <cell r="D135" t="str">
            <v>Testing &amp; Calibration</v>
          </cell>
        </row>
        <row r="136">
          <cell r="B136" t="str">
            <v>Mooring ropes including towing lines and fire wires additional to spec</v>
          </cell>
          <cell r="C136" t="str">
            <v>Mooring Ropes</v>
          </cell>
          <cell r="D136" t="str">
            <v>Deck / Machinery Equipment</v>
          </cell>
        </row>
        <row r="137">
          <cell r="B137" t="str">
            <v>Each one (1) test equipment for temperature and pressure</v>
          </cell>
          <cell r="C137" t="str">
            <v>Temperature &amp; Pressure Calibrators</v>
          </cell>
          <cell r="D137" t="str">
            <v>Testing &amp; Calibration</v>
          </cell>
        </row>
        <row r="138">
          <cell r="B138" t="str">
            <v>One (1) portable lantern for each person</v>
          </cell>
          <cell r="C138" t="str">
            <v>IMPA Stores - General</v>
          </cell>
          <cell r="D138" t="str">
            <v>IMPA Stores</v>
          </cell>
        </row>
        <row r="139">
          <cell r="B139" t="str">
            <v>Large binoculars</v>
          </cell>
          <cell r="C139" t="str">
            <v>IMPA Stores - Bridge</v>
          </cell>
          <cell r="D139" t="str">
            <v>IMPA Stores</v>
          </cell>
        </row>
        <row r="140">
          <cell r="B140" t="str">
            <v>Food rations, 10,000kJ for each person</v>
          </cell>
          <cell r="C140" t="str">
            <v>Provisions &amp; Bonded Stores</v>
          </cell>
          <cell r="D140" t="str">
            <v>Provisions &amp; Stores</v>
          </cell>
        </row>
        <row r="141">
          <cell r="B141" t="str">
            <v>Fresh water, 3L for each person</v>
          </cell>
          <cell r="C141" t="str">
            <v>Provisions &amp; Bonded Stores</v>
          </cell>
          <cell r="D141" t="str">
            <v>Provisions &amp; Stores</v>
          </cell>
        </row>
        <row r="142">
          <cell r="B142" t="str">
            <v>First-aid kit (Buyer's supply)</v>
          </cell>
          <cell r="C142" t="str">
            <v>Medical Equipment (Medox)</v>
          </cell>
          <cell r="D142" t="str">
            <v>Medical</v>
          </cell>
        </row>
        <row r="143">
          <cell r="B143" t="str">
            <v>Portable toilet (Buyer's supply) for Citadel</v>
          </cell>
          <cell r="C143" t="str">
            <v>IMPA Stores - General</v>
          </cell>
          <cell r="D143" t="str">
            <v>IMPA Stores</v>
          </cell>
        </row>
        <row r="144">
          <cell r="B144" t="str">
            <v>Portable atmosphere testing instrument (O2, flammable gas, H2S, CO)</v>
          </cell>
          <cell r="C144" t="str">
            <v>Gas Detection System</v>
          </cell>
          <cell r="D144" t="str">
            <v>Safety Equipment</v>
          </cell>
        </row>
        <row r="145">
          <cell r="B145" t="str">
            <v>One (1) set of UHF walkie-talkie transceiver system</v>
          </cell>
          <cell r="C145" t="str">
            <v>UHF Radio</v>
          </cell>
          <cell r="D145" t="str">
            <v>Communications</v>
          </cell>
        </row>
        <row r="146">
          <cell r="B146" t="str">
            <v>PORTABLE UHF RADIO DEVICE (intrinsically safe) for crew operation WITH chargers</v>
          </cell>
          <cell r="C146" t="str">
            <v>UHF Radio</v>
          </cell>
          <cell r="D146" t="str">
            <v>Communications</v>
          </cell>
        </row>
        <row r="147">
          <cell r="B147" t="str">
            <v>Breathing air compressor in Engine casing fire control station (220VAC)</v>
          </cell>
          <cell r="C147" t="str">
            <v>IMPA Stores - BA Compressor</v>
          </cell>
          <cell r="D147" t="str">
            <v>IMPA Stores</v>
          </cell>
        </row>
        <row r="148">
          <cell r="B148" t="str">
            <v>Drew filters for drinking water coolers (Sampling Cooler)(220VAC)</v>
          </cell>
          <cell r="C148" t="str">
            <v>Sample Cooler</v>
          </cell>
          <cell r="D148" t="str">
            <v>Deck / Machinery Equipment</v>
          </cell>
        </row>
        <row r="149">
          <cell r="B149" t="str">
            <v>IT Equipment - X10 System</v>
          </cell>
          <cell r="C149" t="str">
            <v>IT Equipment - X10 System</v>
          </cell>
          <cell r="D149" t="str">
            <v>IT Equipment</v>
          </cell>
        </row>
        <row r="150">
          <cell r="B150" t="str">
            <v>Citadel VHF/GPS/UHF System</v>
          </cell>
          <cell r="C150" t="str">
            <v>Citadel VHF/GPS/UHF System</v>
          </cell>
          <cell r="D150" t="str">
            <v>Communications</v>
          </cell>
        </row>
        <row r="151">
          <cell r="B151" t="str">
            <v>HP Pump (Hydraulic Nuts)</v>
          </cell>
          <cell r="C151" t="str">
            <v>HP Pump (Hydraulic Nuts)</v>
          </cell>
          <cell r="D151" t="str">
            <v>Deck / Machinery Equipment</v>
          </cell>
        </row>
        <row r="152">
          <cell r="B152" t="str">
            <v>RO-RO Equipment - Ramp Spares</v>
          </cell>
          <cell r="C152" t="str">
            <v>RO-RO Equipment - Ramp Spares</v>
          </cell>
          <cell r="D152" t="str">
            <v>RO-RO Equipment</v>
          </cell>
        </row>
        <row r="153">
          <cell r="B153" t="str">
            <v>HP Pump Skid</v>
          </cell>
          <cell r="C153" t="str">
            <v>HP Pump Skid</v>
          </cell>
          <cell r="D153" t="str">
            <v>Deck / Machinery Equipment</v>
          </cell>
        </row>
        <row r="154">
          <cell r="B154" t="str">
            <v>Reefer Cables &amp; Plugs</v>
          </cell>
          <cell r="C154" t="str">
            <v>Reefer Cables &amp; Plugs</v>
          </cell>
          <cell r="D154" t="str">
            <v>Deck / Machinery Equipment</v>
          </cell>
        </row>
        <row r="155">
          <cell r="B155" t="str">
            <v>Gas Cylinders</v>
          </cell>
          <cell r="C155" t="str">
            <v>Gas Cylinders</v>
          </cell>
          <cell r="D155" t="str">
            <v>Chemicals</v>
          </cell>
        </row>
        <row r="156">
          <cell r="B156" t="str">
            <v>Thermal Stop</v>
          </cell>
          <cell r="C156" t="str">
            <v>Thermal Stop</v>
          </cell>
          <cell r="D156" t="str">
            <v>Deck / Machinery Equipment</v>
          </cell>
        </row>
        <row r="157">
          <cell r="B157" t="str">
            <v>Receptacles</v>
          </cell>
          <cell r="C157" t="str">
            <v>Receptacles</v>
          </cell>
          <cell r="D157" t="str">
            <v>Electrical Equipment</v>
          </cell>
        </row>
        <row r="158">
          <cell r="B158" t="str">
            <v>Safe Lanes (Trelleborg)</v>
          </cell>
          <cell r="C158" t="str">
            <v>Safe Lanes (Trelleborg)</v>
          </cell>
          <cell r="D158" t="str">
            <v>Safety Equipment</v>
          </cell>
        </row>
        <row r="159">
          <cell r="B159" t="str">
            <v>Engine Spares - Main Engine</v>
          </cell>
          <cell r="C159" t="str">
            <v>Engine Spares - Main Engine</v>
          </cell>
          <cell r="D159" t="str">
            <v>Engine Spares</v>
          </cell>
        </row>
        <row r="160">
          <cell r="B160" t="str">
            <v>Seatab</v>
          </cell>
          <cell r="C160" t="str">
            <v>Seatab</v>
          </cell>
          <cell r="D160" t="str">
            <v>Safety Equipment</v>
          </cell>
        </row>
        <row r="161">
          <cell r="B161" t="str">
            <v>OPA 90 Kit</v>
          </cell>
          <cell r="C161" t="str">
            <v>OPA 90 Kit</v>
          </cell>
          <cell r="D161" t="str">
            <v>Safety Equipment</v>
          </cell>
        </row>
        <row r="162">
          <cell r="B162" t="str">
            <v>Crew Welfare</v>
          </cell>
          <cell r="C162" t="str">
            <v>Crew Welfare</v>
          </cell>
          <cell r="D162" t="str">
            <v>Crew Welfare</v>
          </cell>
        </row>
        <row r="163">
          <cell r="B163" t="str">
            <v>IMPA Stores - Stationery</v>
          </cell>
          <cell r="C163" t="str">
            <v>IMPA Stores - Stationery</v>
          </cell>
          <cell r="D163" t="str">
            <v>IMPA Stores</v>
          </cell>
        </row>
        <row r="164">
          <cell r="B164" t="str">
            <v>GVT Electronics</v>
          </cell>
          <cell r="C164" t="str">
            <v>GVT Electronics</v>
          </cell>
          <cell r="D164" t="str">
            <v>IT Equipment</v>
          </cell>
        </row>
        <row r="165">
          <cell r="B165" t="str">
            <v>Gas Meters</v>
          </cell>
          <cell r="C165" t="str">
            <v>Gas Meters</v>
          </cell>
          <cell r="D165" t="str">
            <v>Testing &amp; Calibration</v>
          </cell>
        </row>
        <row r="166">
          <cell r="B166" t="str">
            <v>Glycol</v>
          </cell>
          <cell r="C166" t="str">
            <v>Glycol</v>
          </cell>
          <cell r="D166" t="str">
            <v>Chemicals</v>
          </cell>
        </row>
        <row r="167">
          <cell r="B167" t="str">
            <v>IT Equipment - Interface / Integration</v>
          </cell>
          <cell r="C167" t="str">
            <v>IT Equipment - Interface / Integration</v>
          </cell>
          <cell r="D167" t="str">
            <v>IT Equipment</v>
          </cell>
        </row>
        <row r="168">
          <cell r="B168" t="str">
            <v>Ultrasonic Cleaner</v>
          </cell>
          <cell r="C168" t="str">
            <v>Ultrasonic Cleaner</v>
          </cell>
          <cell r="D168" t="str">
            <v>Deck / Machinery Equipment</v>
          </cell>
        </row>
        <row r="169">
          <cell r="B169" t="str">
            <v>Chemical Tags</v>
          </cell>
          <cell r="C169" t="str">
            <v>Chemical Tags</v>
          </cell>
          <cell r="D169" t="str">
            <v>PPE &amp; Safety</v>
          </cell>
        </row>
        <row r="170">
          <cell r="B170" t="str">
            <v>High Pressure Washer</v>
          </cell>
          <cell r="C170" t="str">
            <v>High Pressure Washer</v>
          </cell>
          <cell r="D170" t="str">
            <v>Deck / Machinery Equipment</v>
          </cell>
        </row>
        <row r="171">
          <cell r="B171" t="str">
            <v>VISWA Line Samplers</v>
          </cell>
          <cell r="C171" t="str">
            <v>VISWA Line Samplers</v>
          </cell>
          <cell r="D171" t="str">
            <v>Testing &amp; Calibration</v>
          </cell>
        </row>
        <row r="172">
          <cell r="B172" t="str">
            <v>Thermal Camera (FLIR)</v>
          </cell>
          <cell r="C172" t="str">
            <v>Thermal Camera (FLIR)</v>
          </cell>
          <cell r="D172" t="str">
            <v>Safety Equipment</v>
          </cell>
        </row>
        <row r="173">
          <cell r="B173" t="str">
            <v>IMPA Stores - Galley</v>
          </cell>
          <cell r="C173" t="str">
            <v>IMPA Stores - Galley</v>
          </cell>
          <cell r="D173" t="str">
            <v>IMPA Stores</v>
          </cell>
        </row>
        <row r="174">
          <cell r="B174" t="str">
            <v>IT Equipment - ITBP Additional Items</v>
          </cell>
          <cell r="C174" t="str">
            <v>IT Equipment - ITBP Additional Items</v>
          </cell>
          <cell r="D174" t="str">
            <v>IT Equipment</v>
          </cell>
        </row>
        <row r="175">
          <cell r="B175" t="str">
            <v>IMPA Stores - Bridge</v>
          </cell>
          <cell r="C175" t="str">
            <v>IMPA Stores - Bridge</v>
          </cell>
          <cell r="D175" t="str">
            <v>IMPA Stores</v>
          </cell>
        </row>
        <row r="176">
          <cell r="B176" t="str">
            <v>IT Equipment - ITBP Cables</v>
          </cell>
          <cell r="C176" t="str">
            <v>IT Equipment - ITBP Cables</v>
          </cell>
          <cell r="D176" t="str">
            <v>IT Equipment</v>
          </cell>
        </row>
        <row r="177">
          <cell r="B177" t="str">
            <v>IMPA Stores - Company Stationery</v>
          </cell>
          <cell r="C177" t="str">
            <v>IMPA Stores - Company Stationery</v>
          </cell>
          <cell r="D177" t="str">
            <v>IMPA Stores</v>
          </cell>
        </row>
        <row r="178">
          <cell r="B178" t="str">
            <v>LOTO Stickers</v>
          </cell>
          <cell r="C178" t="str">
            <v>LOTO Stickers</v>
          </cell>
          <cell r="D178" t="str">
            <v>PPE &amp; Safety</v>
          </cell>
        </row>
        <row r="179">
          <cell r="B179" t="str">
            <v>IMPA Stores - Firefighting Equipment</v>
          </cell>
          <cell r="C179" t="str">
            <v>IMPA Stores - Firefighting Equipment</v>
          </cell>
          <cell r="D179" t="str">
            <v>IMPA Stores</v>
          </cell>
        </row>
        <row r="180">
          <cell r="B180" t="str">
            <v>Garbage Refrigerator</v>
          </cell>
          <cell r="C180" t="str">
            <v>Garbage Refrigerator</v>
          </cell>
          <cell r="D180" t="str">
            <v>Deck / Machinery Equipment</v>
          </cell>
        </row>
        <row r="181">
          <cell r="B181" t="str">
            <v>IT Equipment - ITBP Lab Kit</v>
          </cell>
          <cell r="C181" t="str">
            <v>IT Equipment - ITBP Lab Kit</v>
          </cell>
          <cell r="D181" t="str">
            <v>IT Equipment</v>
          </cell>
        </row>
        <row r="182">
          <cell r="B182" t="str">
            <v>IMPA Stores - Engine</v>
          </cell>
          <cell r="C182" t="str">
            <v>IMPA Stores - Engine</v>
          </cell>
          <cell r="D182" t="str">
            <v>IMPA Stores</v>
          </cell>
        </row>
        <row r="183">
          <cell r="B183" t="str">
            <v>IMPA Stores - Gym</v>
          </cell>
          <cell r="C183" t="str">
            <v>IMPA Stores - Gym</v>
          </cell>
          <cell r="D183" t="str">
            <v>IMPA Stores</v>
          </cell>
        </row>
        <row r="184">
          <cell r="B184" t="str">
            <v>IMPA Stores - Deck</v>
          </cell>
          <cell r="C184" t="str">
            <v>IMPA Stores - Deck</v>
          </cell>
          <cell r="D184" t="str">
            <v>IMPA Stores</v>
          </cell>
        </row>
        <row r="185">
          <cell r="B185" t="str">
            <v>IMPA Stores - Electrical</v>
          </cell>
          <cell r="C185" t="str">
            <v>IMPA Stores - Electrical</v>
          </cell>
          <cell r="D185" t="str">
            <v>IMPA Stores</v>
          </cell>
        </row>
        <row r="186">
          <cell r="B186" t="str">
            <v>IMPA Stores - Crew</v>
          </cell>
          <cell r="C186" t="str">
            <v>IMPA Stores - Crew</v>
          </cell>
          <cell r="D186" t="str">
            <v>IMPA Stores</v>
          </cell>
        </row>
        <row r="187">
          <cell r="B187" t="str">
            <v>IMPA Stores - SOPEP</v>
          </cell>
          <cell r="C187" t="str">
            <v>IMPA Stores - SOPEP</v>
          </cell>
          <cell r="D187" t="str">
            <v>IMPA Stores</v>
          </cell>
        </row>
        <row r="188">
          <cell r="B188" t="str">
            <v>IMPA Stores - General</v>
          </cell>
          <cell r="C188" t="str">
            <v>IMPA Stores - General</v>
          </cell>
          <cell r="D188" t="str">
            <v>IMPA Stores</v>
          </cell>
        </row>
        <row r="189">
          <cell r="B189" t="str">
            <v>Explosion Proof Camera</v>
          </cell>
          <cell r="C189" t="str">
            <v>Explosion Proof Camera</v>
          </cell>
          <cell r="D189" t="str">
            <v>Safety Equipment</v>
          </cell>
        </row>
        <row r="190">
          <cell r="B190" t="str">
            <v>Crew Welfare - Refrigerators</v>
          </cell>
          <cell r="C190" t="str">
            <v>Crew Welfare - Refrigerators</v>
          </cell>
          <cell r="D190" t="str">
            <v>Crew Welfare</v>
          </cell>
        </row>
        <row r="191">
          <cell r="B191" t="str">
            <v>Ozone Steriliser</v>
          </cell>
          <cell r="C191" t="str">
            <v>Ozone Steriliser</v>
          </cell>
          <cell r="D191" t="str">
            <v>Deck / Machinery Equipment</v>
          </cell>
        </row>
        <row r="192">
          <cell r="B192" t="str">
            <v>Suez Light</v>
          </cell>
          <cell r="C192" t="str">
            <v>Suez Light</v>
          </cell>
          <cell r="D192" t="str">
            <v>Navigation</v>
          </cell>
        </row>
        <row r="193">
          <cell r="B193" t="str">
            <v>Chain Blocks</v>
          </cell>
          <cell r="C193" t="str">
            <v>Chain Blocks</v>
          </cell>
          <cell r="D193" t="str">
            <v>Deck / Machinery Equipment</v>
          </cell>
        </row>
        <row r="194">
          <cell r="B194" t="str">
            <v>Welding Equipment</v>
          </cell>
          <cell r="C194" t="str">
            <v>Welding Equipment</v>
          </cell>
          <cell r="D194" t="str">
            <v>Deck / Machinery Equipment</v>
          </cell>
        </row>
        <row r="195">
          <cell r="B195" t="str">
            <v>Service Car</v>
          </cell>
          <cell r="C195" t="str">
            <v>Service Car &amp; Forklift</v>
          </cell>
          <cell r="D195" t="str">
            <v>Deck / Machinery Equipment</v>
          </cell>
        </row>
        <row r="196">
          <cell r="B196" t="str">
            <v>Forklift</v>
          </cell>
          <cell r="C196" t="str">
            <v>Service Car &amp; Forklift</v>
          </cell>
          <cell r="D196" t="str">
            <v>Deck / Machinery Equipment</v>
          </cell>
        </row>
        <row r="197">
          <cell r="B197" t="str">
            <v>Alcometer</v>
          </cell>
          <cell r="C197" t="str">
            <v>Alcometer</v>
          </cell>
          <cell r="D197" t="str">
            <v>Testing &amp; Calibration</v>
          </cell>
        </row>
        <row r="198">
          <cell r="B198" t="str">
            <v>Laser Distance Measurer</v>
          </cell>
          <cell r="C198" t="str">
            <v>Laser Distance Measurer</v>
          </cell>
          <cell r="D198" t="str">
            <v>Testing &amp; Calibration</v>
          </cell>
        </row>
        <row r="199">
          <cell r="B199" t="str">
            <v>Stanchions</v>
          </cell>
          <cell r="C199" t="str">
            <v>Stanchions</v>
          </cell>
          <cell r="D199" t="str">
            <v>Deck / Machinery Equipment</v>
          </cell>
        </row>
        <row r="200">
          <cell r="B200" t="str">
            <v>Deck Sweeper</v>
          </cell>
          <cell r="C200" t="str">
            <v>IMPA Stores - Deck</v>
          </cell>
          <cell r="D200" t="str">
            <v>IMPA Stores</v>
          </cell>
        </row>
        <row r="201">
          <cell r="B201" t="str">
            <v>Provisions &amp; Bonded Stores</v>
          </cell>
          <cell r="C201" t="str">
            <v>Provisions &amp; Bonded Stores</v>
          </cell>
          <cell r="D201" t="str">
            <v>Provisions &amp; Stores</v>
          </cell>
        </row>
        <row r="202">
          <cell r="B202" t="str">
            <v>Medicines</v>
          </cell>
          <cell r="C202" t="str">
            <v>Medicines</v>
          </cell>
          <cell r="D202" t="str">
            <v>Medical</v>
          </cell>
        </row>
        <row r="203">
          <cell r="B203" t="str">
            <v>Medical Equipment (Medox)</v>
          </cell>
          <cell r="C203" t="str">
            <v>Medical Equipment (Medox)</v>
          </cell>
          <cell r="D203" t="str">
            <v>Medical</v>
          </cell>
        </row>
        <row r="204">
          <cell r="B204" t="str">
            <v>Soot Treatment</v>
          </cell>
          <cell r="C204" t="str">
            <v>Soot Treatment</v>
          </cell>
          <cell r="D204" t="str">
            <v>Chemicals</v>
          </cell>
        </row>
        <row r="205">
          <cell r="B205" t="str">
            <v>NaOH (Sodium Hydroxide)</v>
          </cell>
          <cell r="C205" t="str">
            <v>NaOH (Sodium Hydroxide)</v>
          </cell>
          <cell r="D205" t="str">
            <v>Chemicals</v>
          </cell>
        </row>
        <row r="206">
          <cell r="B206" t="str">
            <v>Rubber Matting</v>
          </cell>
          <cell r="C206" t="str">
            <v>IMPA Stores - Deck</v>
          </cell>
          <cell r="D206" t="str">
            <v>IMPA Stores</v>
          </cell>
        </row>
        <row r="207">
          <cell r="B207" t="str">
            <v>Nitrogen Hose</v>
          </cell>
          <cell r="C207" t="str">
            <v>Deck / Machinery Equipment - Nitrogen Hose</v>
          </cell>
          <cell r="D207" t="str">
            <v>Deck / Machinery Equipment</v>
          </cell>
        </row>
        <row r="208">
          <cell r="B208" t="str">
            <v>Communications - VLINK Accessories</v>
          </cell>
          <cell r="C208" t="str">
            <v>Communications - VLINK Accessories</v>
          </cell>
          <cell r="D208" t="str">
            <v>Communications</v>
          </cell>
        </row>
        <row r="209">
          <cell r="B209" t="str">
            <v>PPE</v>
          </cell>
          <cell r="C209" t="str">
            <v>PPE - General</v>
          </cell>
          <cell r="D209" t="str">
            <v>PPE &amp; Safety</v>
          </cell>
        </row>
        <row r="210">
          <cell r="B210" t="str">
            <v>Navigation - Positioning System</v>
          </cell>
          <cell r="C210" t="str">
            <v>Navigation - Positioning System</v>
          </cell>
          <cell r="D210" t="str">
            <v>Navigation</v>
          </cell>
        </row>
        <row r="211">
          <cell r="B211" t="str">
            <v>Immersion Suits</v>
          </cell>
          <cell r="C211" t="str">
            <v>Immersion Suits</v>
          </cell>
          <cell r="D211" t="str">
            <v>PPE &amp; Safety</v>
          </cell>
        </row>
        <row r="212">
          <cell r="B212" t="str">
            <v>Firemans Outfit</v>
          </cell>
          <cell r="C212" t="str">
            <v>Firemans Outfit</v>
          </cell>
          <cell r="D212" t="str">
            <v>PPE &amp; Safety</v>
          </cell>
        </row>
        <row r="213">
          <cell r="B213" t="str">
            <v>Iron Test Kit</v>
          </cell>
          <cell r="C213" t="str">
            <v>Iron Test Kit</v>
          </cell>
          <cell r="D213" t="str">
            <v>Testing &amp; Calibration</v>
          </cell>
        </row>
        <row r="214">
          <cell r="B214" t="str">
            <v>Oil Test Kit</v>
          </cell>
          <cell r="C214" t="str">
            <v>Oil Test Kit</v>
          </cell>
          <cell r="D214" t="str">
            <v>Testing &amp; Calibration</v>
          </cell>
        </row>
        <row r="215">
          <cell r="B215" t="str">
            <v>BWTS Spares</v>
          </cell>
          <cell r="C215" t="str">
            <v>BWTS Spares</v>
          </cell>
          <cell r="D215" t="str">
            <v>Engine Spares</v>
          </cell>
        </row>
        <row r="216">
          <cell r="B216" t="str">
            <v>Gas Detection System</v>
          </cell>
          <cell r="C216" t="str">
            <v>Gas Detection System</v>
          </cell>
          <cell r="D216" t="str">
            <v>Safety Equipment</v>
          </cell>
        </row>
        <row r="217">
          <cell r="B217" t="str">
            <v>Communications - VLINK</v>
          </cell>
          <cell r="C217" t="str">
            <v>Communications - VLINK</v>
          </cell>
          <cell r="D217" t="str">
            <v>Communications</v>
          </cell>
        </row>
        <row r="218">
          <cell r="B218" t="str">
            <v>Navigation - HiNAS SVM</v>
          </cell>
          <cell r="C218" t="str">
            <v>Navigation - HiNAS SVM</v>
          </cell>
          <cell r="D218" t="str">
            <v>Navigation</v>
          </cell>
        </row>
        <row r="219">
          <cell r="B219" t="str">
            <v>Garbage Compactor</v>
          </cell>
          <cell r="C219" t="str">
            <v>Garbage Compactor</v>
          </cell>
          <cell r="D219" t="str">
            <v>Deck / Machinery Equipment</v>
          </cell>
        </row>
        <row r="220">
          <cell r="B220" t="str">
            <v>Lubricants</v>
          </cell>
          <cell r="C220" t="str">
            <v>Lubricants</v>
          </cell>
          <cell r="D220" t="str">
            <v>Consumables</v>
          </cell>
        </row>
        <row r="221">
          <cell r="B221" t="str">
            <v>Fire Detection System</v>
          </cell>
          <cell r="C221" t="str">
            <v>Fire Detection System</v>
          </cell>
          <cell r="D221" t="str">
            <v>Safety Equipment</v>
          </cell>
        </row>
        <row r="222">
          <cell r="B222" t="str">
            <v>LNG Bunkering Equipment</v>
          </cell>
          <cell r="C222" t="str">
            <v>LNG Bunkering Equipment</v>
          </cell>
          <cell r="D222" t="str">
            <v>LNG Equipment</v>
          </cell>
        </row>
        <row r="223">
          <cell r="B223" t="str">
            <v>Navigation - Captains Eye</v>
          </cell>
          <cell r="C223" t="str">
            <v>Navigation - Captains Eye</v>
          </cell>
          <cell r="D223" t="str">
            <v>Navigation</v>
          </cell>
        </row>
        <row r="224">
          <cell r="B224" t="str">
            <v>IT Equipment - Sihui Marine</v>
          </cell>
          <cell r="C224" t="str">
            <v>IT Equipment - Sihui Marine</v>
          </cell>
          <cell r="D224" t="str">
            <v>IT Equipment</v>
          </cell>
        </row>
        <row r="225">
          <cell r="B225" t="str">
            <v>Tripods &amp; Spray Pipes</v>
          </cell>
          <cell r="C225" t="str">
            <v>Tripods &amp; Spray Pipes</v>
          </cell>
          <cell r="D225" t="str">
            <v>Deck / Machinery Equipment</v>
          </cell>
        </row>
        <row r="226">
          <cell r="B226" t="str">
            <v>IT Equipment - Computers (Lenovo)</v>
          </cell>
          <cell r="C226" t="str">
            <v>IT Equipment - Computers (Lenovo)</v>
          </cell>
          <cell r="D226" t="str">
            <v>IT Equipment</v>
          </cell>
        </row>
        <row r="227">
          <cell r="B227" t="str">
            <v>IT Equipment - ITBP</v>
          </cell>
          <cell r="C227" t="str">
            <v>IT Equipment - ITBP</v>
          </cell>
          <cell r="D227" t="str">
            <v>IT Equipment</v>
          </cell>
        </row>
        <row r="228">
          <cell r="B228" t="str">
            <v>Communications - VSAT (KVH)</v>
          </cell>
          <cell r="C228" t="str">
            <v>Communications - VSAT (KVH)</v>
          </cell>
          <cell r="D228" t="str">
            <v>Communications</v>
          </cell>
        </row>
        <row r="229">
          <cell r="B229" t="str">
            <v>IT Equipment - AST</v>
          </cell>
          <cell r="C229" t="str">
            <v>IT Equipment - AST</v>
          </cell>
          <cell r="D229" t="str">
            <v>IT Equipment</v>
          </cell>
        </row>
        <row r="230">
          <cell r="B230" t="str">
            <v>Oil Skimmers - Abanaki</v>
          </cell>
          <cell r="C230" t="str">
            <v>Oil Skimmers - Abanaki</v>
          </cell>
          <cell r="D230" t="str">
            <v>Deck / Machinery Equipment</v>
          </cell>
        </row>
        <row r="231">
          <cell r="B231" t="str">
            <v>Boiler Spares</v>
          </cell>
          <cell r="C231" t="str">
            <v>Engine Spares - Boilers</v>
          </cell>
          <cell r="D231" t="str">
            <v>Engine Spares</v>
          </cell>
        </row>
        <row r="232">
          <cell r="B232" t="str">
            <v>RO-RO Equipment - Loose Fittings</v>
          </cell>
          <cell r="C232" t="str">
            <v>RO-RO Equipment - Loose Fittings</v>
          </cell>
          <cell r="D232" t="str">
            <v>RO-RO Equipment</v>
          </cell>
        </row>
        <row r="233">
          <cell r="B233" t="str">
            <v>Safety Integration - SMiG</v>
          </cell>
          <cell r="C233" t="str">
            <v>Safety Integration - SMiG</v>
          </cell>
          <cell r="D233" t="str">
            <v>Safety Equipment</v>
          </cell>
        </row>
        <row r="234">
          <cell r="B234" t="str">
            <v>IMPA Stores - BA Compressor</v>
          </cell>
          <cell r="C234" t="str">
            <v>IMPA Stores - BA Compressor</v>
          </cell>
          <cell r="D234" t="str">
            <v>IMPA Stores</v>
          </cell>
        </row>
        <row r="235">
          <cell r="B235" t="str">
            <v>IMPA Stores - Accommodation</v>
          </cell>
          <cell r="C235" t="str">
            <v>IMPA Stores - Accommodation</v>
          </cell>
          <cell r="D235" t="str">
            <v>IMPA Stores</v>
          </cell>
        </row>
        <row r="236">
          <cell r="B236" t="str">
            <v>Steam Splash Suit</v>
          </cell>
          <cell r="C236" t="str">
            <v>Steam Splash Suit</v>
          </cell>
          <cell r="D236" t="str">
            <v>PPE &amp; Safety</v>
          </cell>
        </row>
        <row r="237">
          <cell r="B237" t="str">
            <v>Cryogenic PPE</v>
          </cell>
          <cell r="C237" t="str">
            <v>Cryogenic PPE</v>
          </cell>
          <cell r="D237" t="str">
            <v>PPE &amp; Safety</v>
          </cell>
        </row>
        <row r="238">
          <cell r="B238" t="str">
            <v>Temperature &amp; Pressure Calibrators</v>
          </cell>
          <cell r="C238" t="str">
            <v>Temperature &amp; Pressure Calibrators</v>
          </cell>
          <cell r="D238" t="str">
            <v>Testing &amp; Calibration</v>
          </cell>
        </row>
        <row r="239">
          <cell r="B239" t="str">
            <v>HP Pump (Hydraulic Nuts)</v>
          </cell>
          <cell r="C239" t="str">
            <v>HP Pump (Hydraulic Nuts)</v>
          </cell>
          <cell r="D239" t="str">
            <v>Deck / Machinery Equipment</v>
          </cell>
        </row>
        <row r="240">
          <cell r="B240" t="str">
            <v>Chemicals - General</v>
          </cell>
          <cell r="C240" t="str">
            <v>Chemicals - General</v>
          </cell>
          <cell r="D240" t="str">
            <v>Chemicals</v>
          </cell>
        </row>
        <row r="241">
          <cell r="B241" t="str">
            <v>Mooring Ropes</v>
          </cell>
          <cell r="C241" t="str">
            <v>Mooring Ropes</v>
          </cell>
          <cell r="D241" t="str">
            <v>Deck / Machinery Equipment</v>
          </cell>
        </row>
        <row r="242">
          <cell r="B242" t="str">
            <v>UHF Radio</v>
          </cell>
          <cell r="C242" t="str">
            <v>UHF Radio</v>
          </cell>
          <cell r="D242" t="str">
            <v>Communications</v>
          </cell>
        </row>
        <row r="243">
          <cell r="B243" t="str">
            <v>Dual Fuel Tools</v>
          </cell>
          <cell r="C243" t="str">
            <v>Dual Fuel Tools</v>
          </cell>
          <cell r="D243" t="str">
            <v>Deck / Machinery Equipment</v>
          </cell>
        </row>
        <row r="244">
          <cell r="B244" t="str">
            <v>UHF Antenna</v>
          </cell>
          <cell r="C244" t="str">
            <v>UHF Antenna</v>
          </cell>
          <cell r="D244" t="str">
            <v>Communications</v>
          </cell>
        </row>
        <row r="245">
          <cell r="B245" t="str">
            <v>Sample Cooler</v>
          </cell>
          <cell r="C245" t="str">
            <v>Sample Cooler</v>
          </cell>
          <cell r="D245" t="str">
            <v>Deck / Machinery Equipment</v>
          </cell>
        </row>
        <row r="246">
          <cell r="B246" t="str">
            <v>Communications - VLINK Cable</v>
          </cell>
          <cell r="C246" t="str">
            <v>Communications - VLINK Cable</v>
          </cell>
          <cell r="D246" t="str">
            <v>Communications</v>
          </cell>
        </row>
        <row r="247">
          <cell r="B247" t="str">
            <v>Engine Spares - Auxiliary Engine</v>
          </cell>
          <cell r="C247" t="str">
            <v>Engine Spares - Auxiliary Engine</v>
          </cell>
          <cell r="D247" t="str">
            <v>Engine Spares</v>
          </cell>
        </row>
        <row r="248">
          <cell r="B248" t="str">
            <v>BOG Compressor Spares</v>
          </cell>
          <cell r="C248" t="str">
            <v>BOG Compressor Spares</v>
          </cell>
          <cell r="D248" t="str">
            <v>Engine Spares</v>
          </cell>
        </row>
        <row r="249">
          <cell r="B249" t="str">
            <v>Nitrogen Generator</v>
          </cell>
          <cell r="C249" t="str">
            <v>Nitrogen Generator</v>
          </cell>
          <cell r="D249" t="str">
            <v>Deck / Machinery Equipment</v>
          </cell>
        </row>
        <row r="250">
          <cell r="B250" t="str">
            <v>Breathing Air Compressor</v>
          </cell>
          <cell r="C250" t="str">
            <v>IMPA Stores - BA Compressor</v>
          </cell>
          <cell r="D250" t="str">
            <v>IMPA Stores</v>
          </cell>
        </row>
        <row r="251">
          <cell r="B251" t="str">
            <v>EV Lance</v>
          </cell>
          <cell r="C251" t="str">
            <v>EV Lance</v>
          </cell>
          <cell r="D251" t="str">
            <v>Electrical Equipment</v>
          </cell>
        </row>
        <row r="252">
          <cell r="B252" t="str">
            <v>Dual Fuel Tools - Methanol</v>
          </cell>
          <cell r="C252" t="str">
            <v>Dual Fuel Tools - Methanol</v>
          </cell>
          <cell r="D252" t="str">
            <v>Deck / Machinery Equipment</v>
          </cell>
        </row>
        <row r="253">
          <cell r="B253" t="str">
            <v>Publications &amp; Manuals</v>
          </cell>
          <cell r="C253" t="str">
            <v>Publications &amp; Manuals</v>
          </cell>
          <cell r="D253" t="str">
            <v>Publications &amp; Manuals</v>
          </cell>
        </row>
        <row r="254">
          <cell r="B254" t="str">
            <v>LNG Operation Manual</v>
          </cell>
          <cell r="C254" t="str">
            <v>Publications &amp; Manuals</v>
          </cell>
          <cell r="D254" t="str">
            <v>Publications &amp; Manuals</v>
          </cell>
        </row>
        <row r="255">
          <cell r="B255" t="str">
            <v>IT Equipment - ITBP Licenses</v>
          </cell>
          <cell r="C255" t="str">
            <v>IT Equipment - ITBP Licenses</v>
          </cell>
          <cell r="D255" t="str">
            <v>IT Equipment</v>
          </cell>
        </row>
        <row r="256">
          <cell r="B256" t="str">
            <v>Communications - Starlink Accessories</v>
          </cell>
          <cell r="C256" t="str">
            <v>Communications - Starlink Accessories</v>
          </cell>
          <cell r="D256" t="str">
            <v>Communications</v>
          </cell>
        </row>
        <row r="257">
          <cell r="B257" t="str">
            <v>Service Car &amp; Forklift</v>
          </cell>
          <cell r="C257" t="str">
            <v>Service Car &amp; Forklift</v>
          </cell>
          <cell r="D257" t="str">
            <v>Deck / Machinery Equipment</v>
          </cell>
        </row>
        <row r="258">
          <cell r="B258" t="str">
            <v>Sea Trial</v>
          </cell>
          <cell r="C258" t="str">
            <v>Sea Trial Stores</v>
          </cell>
          <cell r="D258" t="str">
            <v>Provisions &amp; Stores</v>
          </cell>
        </row>
        <row r="259">
          <cell r="B259" t="str">
            <v>IT Equipment</v>
          </cell>
          <cell r="C259" t="str">
            <v>IT Equipment - General</v>
          </cell>
          <cell r="D259" t="str">
            <v>IT Equipment</v>
          </cell>
        </row>
      </sheetData>
      <sheetData sheetId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nis Gan" refreshedDate="46147.715452662036" createdVersion="8" refreshedVersion="8" minRefreshableVersion="3" recordCount="687" xr:uid="{1183276B-3EDD-4D90-90DF-BB81FEF1CAAB}">
  <cacheSource type="worksheet">
    <worksheetSource ref="A5:P1048576" sheet="Projects"/>
  </cacheSource>
  <cacheFields count="16">
    <cacheField name="Project" numFmtId="0">
      <sharedItems containsBlank="1" count="8">
        <s v="Glovis Luminous"/>
        <s v="Glovis LightHouse"/>
        <m/>
        <s v="Glovis Lander"/>
        <s v="Glovis Link"/>
        <s v="Glovis Logos"/>
        <s v="Glovis Loyal"/>
        <s v="OOCL Chancay "/>
      </sharedItems>
    </cacheField>
    <cacheField name="S/N" numFmtId="0">
      <sharedItems containsNonDate="0" containsString="0" containsBlank="1"/>
    </cacheField>
    <cacheField name="PO Number" numFmtId="0">
      <sharedItems containsBlank="1"/>
    </cacheField>
    <cacheField name="Delivery Stage" numFmtId="0">
      <sharedItems containsBlank="1"/>
    </cacheField>
    <cacheField name="PO Name" numFmtId="0">
      <sharedItems containsBlank="1" count="310">
        <s v="PD - RSC Envirologic"/>
        <s v="FS-ITBP  -luminous"/>
        <s v="FS-X10-SILVERPEAK"/>
        <s v="Service: LNG OPERATION MANUAL Development"/>
        <s v="Shipyard Extra Buyers Supply - Tripods and Spray Pipes"/>
        <s v="Shipyard Extra (buyer Supply) - QCDC -GSI"/>
        <s v="Reliabiltiy Spares - Gas Detection System"/>
        <s v="Shipyard Extra Buyers Supply - Hinas SVM SEASPAN 10.8K PCTC"/>
        <s v="FS-ITBP Additional Item"/>
        <s v="Pre Delivery - FLIR Camera"/>
        <s v="Shipyard Extra Owner supply - Captains Eye"/>
        <s v="Reliability Spares - Fire detection system"/>
        <s v="FS-KVH-GSI"/>
        <s v="Pre Delivery - Sample Cooler"/>
        <s v="FS-ITBP CABLES"/>
        <s v="FS-LENOVO-Luminous"/>
        <s v="FS-ITBP MISC LAB KIT"/>
        <s v="Pre Delivery - Cryogenic PPE"/>
        <s v="Pre Delivery - LNG Bunkering Equipment"/>
        <s v="Pre Delivery - Seatab"/>
        <s v="Pre Delivery - Garbage Compactor"/>
        <s v="SHIPYARD EXTRA ONWER SUPPLY - Abanaki Skimmers"/>
        <s v="Reliability Spares - PCTC-Seaspan - Boilers QUOT26012103"/>
        <s v="Ultrasonic Cleaner"/>
        <s v="OPA 90 KIT - 12-barrel kit"/>
        <s v="H.P machine - 2pcs (prefer Branded - Karcher/ KEW)"/>
        <s v="Steam Splash Suit"/>
        <s v="Gas Meter"/>
        <s v="Oily Water Separator"/>
        <s v="BWTS Spares"/>
        <s v="EV Lance"/>
        <s v="Jonghap - PCTC Loose Fittings Procurement"/>
        <s v="Pre Delivery Lubes Order# 3 (5714478288)"/>
        <s v="FS-Interface-Light house"/>
        <s v="Main Engine Spares"/>
        <s v="Aux. Engine Spares"/>
        <s v="Sewage Traetment Plant"/>
        <s v="Sewage Discharge P/P"/>
        <s v="Pre-Delivery - Lubes"/>
        <s v="Mooring Rope"/>
        <s v="Shipyard Extra Buyer Supply - HiNAS SVM 10800 A-Q-2025-09-02_R0"/>
        <s v="Interface PO"/>
        <s v="RSC Lube oil - qty / Total for Glovis Lighthouse"/>
        <s v="Lubricants - Pre Delivery"/>
        <s v="FS-LENOVO-Lighthouse"/>
        <s v="Buyer Supply - 10,800 PCTC Citadel VHF/GPS and UHF ANTENNA system"/>
        <s v="UHF Radio (Handheld)"/>
        <s v="Pre Delivery - Welding Equipment"/>
        <s v="Final Sailing Qty of Lubes"/>
        <s v="FS-ITBP  -glovis lighthouse"/>
        <s v="FS-VLINK-H1610"/>
        <s v="Pre Delivery - Engineering Products &amp; Kits (DREW)"/>
        <s v="DF Tools"/>
        <s v="FS-SIHUI"/>
        <s v="SHIPYARD EXTRA OWNER SUPPLY - SWS-10.8k CEU extra cost for SMiG application"/>
        <s v="Reliability Nitrogen Generator"/>
        <s v="Wartsila Training PCTC"/>
        <s v="Interface -equipment-lighthouse"/>
        <s v="FS-KVH-LIGHTHOUSE"/>
        <s v="Sihui Marine-light house"/>
        <s v="FS-X10"/>
        <s v="FS-ITBP  -1"/>
        <s v="FS services"/>
        <s v="FS-VLINK-Starlink Accessories"/>
        <s v="fs interface"/>
        <s v="FS-ITBP-LICENSES"/>
        <s v="FS"/>
        <s v="FS-ITBP tax invoice"/>
        <s v="fs-x10 sample test"/>
        <s v="SHIPYARD EXTRA OWNER SUPPLY- Abanaki Skimmers"/>
        <s v="Pre Delivery - Treatment Chemical"/>
        <s v="Publications"/>
        <s v="Refrigerant Equipment"/>
        <s v="Reliability - Donghwa Spares for BOG Compressor"/>
        <s v="IMPA Stores - BA Compressor"/>
        <s v="FS-KVH -LIGHTHOUSE UPDATED"/>
        <s v="IMPA Stores - Engine"/>
        <s v="Temperature Calibrators"/>
        <s v="Pressure Calibrators"/>
        <s v="AST PO"/>
        <s v="Maintenance Chemicals"/>
        <s v="Gases"/>
        <s v="Cryogenic PPE - Scandia"/>
        <s v="IMPA Stores - ACC"/>
        <s v="Seatrial Stores"/>
        <s v="PD Lubes - VLSQ61941 - Kaeser Fluid Rotary S-46X"/>
        <s v="Garbage Compactor"/>
        <m/>
        <s v="Citadel VHF/GPS and UHF ANTENNA system"/>
        <s v="Air driven HP Pump - For hydraulic nuts for M/E"/>
        <s v="Reliability RO-RO Equipment (Main &amp; Centre Ramp spares + inner Ramp spares)"/>
        <s v="Reliability HP Pump Skid"/>
        <s v="Reefer cable and plugs extensions"/>
        <s v="Gas Cylinders"/>
        <s v="Thermal Stop PO"/>
        <s v="Receptacles"/>
        <s v="Trelleborg Safe lanes"/>
        <s v="Main Engine - Additional Spares"/>
        <s v="Seatab"/>
        <s v="Pre-Delivery - OPA 90"/>
        <s v="Crew Care"/>
        <s v="IMPA Stores Stationery"/>
        <s v="Reliability Spares - 10,8K CEU SWS - GVT- Eltronic"/>
        <s v="Gas meters"/>
        <s v="Glycol"/>
        <s v="FS-Interface MTA adapter"/>
        <s v="Ultrasonic Cleaning system - 230V"/>
        <s v="Chemical tags"/>
        <s v="VISWA Line Samplers"/>
        <s v="FLIR ESPro and E6 Pro"/>
        <s v="IMPA Stores - Galley"/>
        <s v="IMPA Stores - Bridge"/>
        <s v="IMPA Stores - Company Stationery"/>
        <s v="LOTO Stickers"/>
        <s v="IMPA Stores - FFE"/>
        <s v="Garbage Refrigerator"/>
        <s v="??"/>
        <s v="IMPA Stores - Engine 1"/>
        <s v="IMPA Stores - Gym"/>
        <s v="IMPA Stores - Deck"/>
        <s v="IMPA Stores - Electric"/>
        <s v="IMPA Stores - Crew"/>
        <s v="IMPA Stores - SOPEP"/>
        <s v="IMPA Stores - Instrumenation"/>
        <s v="Explosion Proof Camera"/>
        <s v="Domestic refrigerators 200 litres for rec rooms to be added to stores supplies"/>
        <s v="Ozone sterliser"/>
        <s v="Suez light"/>
        <s v="Manual chain blocks "/>
        <s v="Welding machine in Workshop 440 v"/>
        <s v="Service Car"/>
        <s v="Forlift"/>
        <s v="Alcometer"/>
        <s v="Bosch GLM-50 or Laser Distance Measuring Tool"/>
        <s v="Stanchions"/>
        <s v="Deck Sweeper"/>
        <s v="Provisions and Bonds"/>
        <s v="Medicines"/>
        <s v="Medox and Equipments"/>
        <s v="Soot Releasing Dosing Unit"/>
        <s v="Naoh"/>
        <s v="Rubber Matting"/>
        <s v="Nitrogen Hose"/>
        <s v="FS-VLINK-Accessories"/>
        <s v="FS-VLINK CABLE"/>
        <s v="Soot "/>
        <s v="PPE - RMS"/>
        <s v="Buyer Supply - New Positioning System for Transiting Panama ( inc. Anti Jamming) (SAAB R6 NAV NEO)"/>
        <s v="Immersion Suit"/>
        <s v="Fire Mans Outfit"/>
        <s v="Iron Test Kit from CMT"/>
        <s v="Oil Test Kit"/>
        <s v="Manuals for all equipment- priority for BWTS, STP, OWS, EMGCY AC, EMCY GEN"/>
        <s v="FS-VLINK-2411005"/>
        <s v="Shipyard Extra Buyer Supply - Hinas SVM SEASPAN 10.8K PCTC"/>
        <s v="FS-X10-LANDER"/>
        <s v="Interface PO -24110005"/>
        <s v="Predelivery - Additional Grades"/>
        <s v="Predelivery Lubes - Order # 2 (5713853485)"/>
        <s v="FS-SIHUI-lander"/>
        <s v="Pre Delivery - Lubes Order# 3 (5715069528)"/>
        <s v="Pre Delivery - Spray Pipes"/>
        <s v="Pre Delivery - Additional Grade Copco Roto-XtendDuty"/>
        <s v="FS-LENOVO-Lander"/>
        <s v="FS-ITBP  -lander"/>
        <s v="Pre Delivery - QCDC"/>
        <s v="FS-KVH-LANDER UPDATED"/>
        <s v="FS -AST-LANDER"/>
        <s v="FS-Interface-Lander"/>
        <s v="Reliability Spares - 10,8K CEU SWS - GVT- Korval"/>
        <s v="PCTC Loose Fittings Procurement"/>
        <s v="Shipyard Extra (Owner supply) - 10800 CEU LNG PCTC _x0013_ Consilium SMiG Integration"/>
        <s v="2. LOTO Stickers"/>
        <s v="3. Steam Splash Suit"/>
        <s v="4. Chemical tags"/>
        <s v="5. Trelleborg Safe lanes"/>
        <s v="8. Explosion Proof Camera"/>
        <s v="10. Temperature &amp; Pressure Calibrators"/>
        <s v="11. VISWA Line Samplers"/>
        <s v="12. Standard Chinese stationery "/>
        <s v="13. Air driven HP Pump - For hydraulic nuts for M/E - From Dan Marine or VLINK"/>
        <s v="Chemical"/>
        <s v="UHF Radio"/>
        <s v="UHF Antenna"/>
        <s v="Citadel Items"/>
        <s v="Reliability Spares - PCTC-Seaspan - Boilers QUOT26012103_R00"/>
        <s v="FS-ITBP  -glovis link"/>
        <s v="FS-SIHUI-link"/>
        <s v="FS-LENOVO-Link"/>
        <s v="FS-VLINK-H1612"/>
        <s v="Interface PO-H1612"/>
        <s v="FS-KVH-SWS"/>
        <s v="FS -AST-LINK"/>
        <s v="Predelivery - Visga 46 5715010143"/>
        <s v="LNG OPERATION MANUAL Development"/>
        <s v="Main Engine  "/>
        <s v="Aux. Engine"/>
        <s v="RO-RO Equipment (Main &amp; Centre Ramp spares + inner Ramp spares)"/>
        <s v="HP Pump Skid"/>
        <s v="Nitrogen Generator"/>
        <s v="RSC Lube oil - qty "/>
        <s v="QC DC "/>
        <s v="Breathing air compressor"/>
        <s v="Item no 11, loose equipment for emergency operation of roro equipment"/>
        <s v="Service Car and Forlift"/>
        <s v="DF Tools for Methanol Project"/>
        <s v="FS-KVH-SWS-LOGOS"/>
        <s v="FS-AST-SAMPLE"/>
        <s v="FS-AST-LOGOS"/>
        <s v="FS-ITBP  -LOGOS"/>
        <s v="Shipyard Extra (owner supply) 10800 CEU LNG PCTC _x0013_ Consilium SMiG Integration"/>
        <s v="FS-LENOVO-Logos"/>
        <s v="FS-KVH-SWS-LOYAL"/>
        <s v="FS-AST-LOYOL"/>
        <s v="FS-ITBP  -LOYAL"/>
        <s v="SHIPYARD EXTRA OWNER SUPLPY - 10800 CEU LNG PCTC _x0013_ Consilium SMiG Integration"/>
        <s v="FS-LENOVO-Loyal"/>
        <s v="Seatrial"/>
        <s v="FS-FortiPAM"/>
        <s v="Pre Delivery - Abanaki skimmers supply"/>
        <s v="Buyer Supply - J-Marine NeCST 55&quot; Route Planner"/>
        <s v="FS-AST -UPDATED PO"/>
        <s v="Pre Delivery Lubes - Order No. 5715387651"/>
        <s v="FS-KVH"/>
        <s v="FS-VLINK-H1943A"/>
        <s v="FS-ITBP  -CHANCAY"/>
        <s v="Pre Delivery Lubes - Order No. 5715441952"/>
        <s v="FS-LENOVO-Chancay"/>
        <s v="PD - SIT Equipment"/>
        <s v="(OOCL CHANCAY) Order # 4 - 5601988545"/>
        <s v="Interface PO-H1943A"/>
        <s v="Pre Delivery - (OOCL CHANCAY) Order # 2"/>
        <s v="FS-Vlink"/>
        <s v="13601 TEU - Lashing RFP -  SEC"/>
        <s v="FS-SIHUI-Chancay"/>
        <s v="Pre Delivery (OOCL CHANCAY) Order # A 5715663906"/>
        <s v="Pre-Delivery - Navis"/>
        <s v="Reliability Spares - Main Engine"/>
        <s v="Reliability Spares - Aux Engine"/>
        <s v="Reliability Spares - Boilers"/>
        <s v="Shipyard Extra Buyer Supply - HiNAS SVM 10800 A-Q-2025-09-02_R1"/>
        <s v="Pre-Delivery - OPA 91"/>
        <s v="AIS MOB"/>
        <s v="Gas Detector"/>
        <s v="Reefer Container Socket System"/>
        <s v="Inline Foam Eductor"/>
        <s v="Fire Suppression Unit"/>
        <s v="Seals"/>
        <s v="Cold Fire "/>
        <s v="15001 - SHI - LNG - Wires"/>
        <s v="Goggle for Cryogenic PPE"/>
        <s v="Stationery"/>
        <s v="Water Bottles"/>
        <s v="GoPro Hero 10"/>
        <s v="Fuel Additiove"/>
        <s v="Inspection Gauge for Container Socket"/>
        <s v="PD - Sewage Treatment Plant Fittings (Accom)"/>
        <s v="Universal Calibrator"/>
        <s v="Gas Measuring Equipment - RKI GX-8001"/>
        <s v="Lost Time Ijury"/>
        <s v="Urea"/>
        <s v="Hydropen"/>
        <s v="Lub Oil Test Kit (VISWA)"/>
        <s v="Stores- Instrumentation"/>
        <s v="VISWA Line Sampler"/>
        <s v="Walkie Talkie"/>
        <s v="Lighting Installations"/>
        <s v="ISPS Light"/>
        <s v=" New Positioning System for Transiting Neopanamax  Safepilot P3 navigation System"/>
        <s v="One (1) garbage compactor"/>
        <s v="Lubricating Oil and Grease  consumable "/>
        <s v=" Loose fittings for container securing "/>
        <s v="Fully automatic twist locks shall be stowed in stowage bins (Buyer supply)"/>
        <s v="Soot Release Dosing Device"/>
        <s v="Reefer container Monitoring System"/>
        <s v="Reefer Cables  and plug extensions _x000a_ Extension cores with plug for reefer container between reefer container and socket. "/>
        <s v=" Loose equipment for emergency operation such as chain block and shackle."/>
        <s v="Charts in general and all nautical instruments and books "/>
        <s v="Flags"/>
        <s v="All office machine "/>
        <s v="Hobby, sport and entertainment equipment (in excess of those specified in the Specification)."/>
        <s v="All medicine and medical equipment except those for lifeboat."/>
        <s v="All cook’s and steward’s utensils (crockery, cutlery, silverware, earthenware, glassware, pots, pans, etc.)"/>
        <s v=" Linen including blanket, carpets, bed sheets, towels and table cloth, etc."/>
        <s v="Bedding clothes (blankets, sheets, covers, etc.) except mattresses."/>
        <s v="Painting and pictures including frames and other decorations."/>
        <s v="Brooms, brushes, vacuum cleaners, waste baskets, etc. for accommodation and all portable hoses and clean devices not mentioned in the specification."/>
        <s v="Consumable stores including sanitary, all chandlery (soap, lamp oil, serviettes, table cloth etc.)."/>
        <s v="TV sets, Hi-Fi stereo sets and DVD etc. recreation equipment shall be supplied by the Buyer.( 220VAC) "/>
        <s v="Three (3) sets of Muster List (Buyer’s supply)"/>
        <s v="Hospital and dispensary O2 bottle rack with fastening belt "/>
        <s v="Gymnasium equipment ( also to indicate power supply) ( 220VAC) "/>
        <s v="FLAGS. SIGNAL ETC. "/>
        <s v="Boatswain’s and carpenter’s tools and inventory other than those specified in the Specification."/>
        <s v="Boiler feed water test kit and chemical compounds "/>
        <s v="Test Kit for Fuel Oil, Lube Oil and Hydraulic Oil"/>
        <s v="Test kit for shaft condition monitor"/>
        <s v="Mooring ropes including towing lines and fire wires addtional to spec "/>
        <s v="Each one (1) test equipment for temperature and pressure to be provided by buyer."/>
        <s v="One (1) portable lantern for each person (Buyer’s supply)."/>
        <s v="Large binoculars"/>
        <s v="Food rations, 10,000kJ for each person (Buyer’s supply)."/>
        <s v="Fresh water, 3L for each person (Buyer’s supply)."/>
        <s v="First-aid kit (Buyer’s supply)."/>
        <s v="Portable toilet (Buyer’s supply) for Citadel "/>
        <s v="Portable atmosphere testing instrument for measuring concentration of oxygen, flammable gases or vapors, hydrogen sulphide and carbon monoxide "/>
        <s v="One (1) set of UHF walkie-talkie transceiver system"/>
        <s v="PORTABLE UHF RADIO DEVICE (intrincaly safe) for crew operation  WITH chargers  ( 220VAC) addtional to rule "/>
        <s v="Breathing air compressor in Engine casing fire control station ( 220VAC) "/>
        <s v="Drew filters for drinking water coolers  (Sampling Cooler)( 220VAC) "/>
      </sharedItems>
    </cacheField>
    <cacheField name="PO Name [Standardized]" numFmtId="0">
      <sharedItems containsBlank="1"/>
    </cacheField>
    <cacheField name="Account Code" numFmtId="0">
      <sharedItems containsNonDate="0" containsString="0" containsBlank="1"/>
    </cacheField>
    <cacheField name="Category" numFmtId="0">
      <sharedItems containsBlank="1" count="8">
        <s v="Spares"/>
        <s v="Stores"/>
        <s v="Alfa Laval"/>
        <s v="Lube Oil"/>
        <s v="Others"/>
        <s v="CSSC Nanjing"/>
        <s v="Chemicals"/>
        <m/>
      </sharedItems>
    </cacheField>
    <cacheField name="Status" numFmtId="0">
      <sharedItems containsBlank="1"/>
    </cacheField>
    <cacheField name="PO Issue Date" numFmtId="0">
      <sharedItems containsDate="1" containsBlank="1" containsMixedTypes="1" minDate="2025-11-25T00:00:00" maxDate="2026-04-01T00:00:00"/>
    </cacheField>
    <cacheField name="Req. Delivery Date" numFmtId="0">
      <sharedItems containsDate="1" containsBlank="1" containsMixedTypes="1" minDate="2026-02-26T00:00:00" maxDate="2026-04-16T00:00:00"/>
    </cacheField>
    <cacheField name="Vessel Category" numFmtId="0">
      <sharedItems containsBlank="1"/>
    </cacheField>
    <cacheField name="Po Value" numFmtId="0">
      <sharedItems containsBlank="1" containsMixedTypes="1" containsNumber="1" containsInteger="1" minValue="63" maxValue="1794590"/>
    </cacheField>
    <cacheField name="Po Currency" numFmtId="0">
      <sharedItems containsBlank="1"/>
    </cacheField>
    <cacheField name="Supplier Name" numFmtId="0">
      <sharedItems containsBlank="1" count="38">
        <s v="#N/A "/>
        <e v="#N/A"/>
        <s v="MOL Techno Trade Ltd"/>
        <s v="Jonghap Maritime Engineering Inc."/>
        <s v="TotalEnergies Lubrifiants"/>
        <s v="Interface Computer System Co. Ltd."/>
        <s v="Captain's Eye"/>
        <s v="MAN B and W Diesel-Copenhagen Denmark"/>
        <s v="Wartsila Canada Inc."/>
        <s v="Shiva Enterprises"/>
        <s v="XINGLUN ROPE CABLE CO.,LTD"/>
        <s v="Avikus Co., Ltd."/>
        <s v="IT Blueprint Solutions Consulting Inc"/>
        <s v="West Nautical Pte Ltd"/>
        <s v="Vessel Link Marine Supply &amp; Service Ltd"/>
        <s v="Drew Marine USA, Inc"/>
        <s v="Consilium Marine and Safety Canada"/>
        <s v="Kangrim Industries Company Limited"/>
        <s v="VMT Co., Ltd"/>
        <s v="SIHUI MARINE CO LTD"/>
        <s v="Air Products AS"/>
        <s v="Hermont Marine Inc"/>
        <s v="Yinxiang Industrial HK Co Limited"/>
        <s v="DONGHWA ENTEC CO. ,LTD"/>
        <s v="Dan Marine Group Ltd."/>
        <s v="KVH Industries Inc"/>
        <s v="Fuji Marine Logistics Shunyang(Shanghai) Co., LIMITED"/>
        <s v="Applied Satellite Technology Systems US LLC (AST Americas)"/>
        <s v="Scandia Gear Asia Pte Ltd"/>
        <s v="X10 Networks Inc."/>
        <s v="OneOcean AS"/>
        <s v="RMS Marine Service Company Ltd."/>
        <s v="Eltronic FuelTech A/S"/>
        <s v="POSEIDON MARINE SUPPLIES LTD"/>
        <s v="HONGKONG LONGWIND MARINE SERVICE CO LIMITED"/>
        <s v="Viswam Limited"/>
        <s v="Loto Master Inc"/>
        <m/>
      </sharedItems>
    </cacheField>
    <cacheField name="Contract Status" numFmtId="0">
      <sharedItems containsBlank="1" count="4">
        <s v="#N/A "/>
        <s v="Checking "/>
        <s v="Contracted 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87">
  <r>
    <x v="0"/>
    <m/>
    <s v="GLUM-60015/26-1"/>
    <s v="Pre-Delivery"/>
    <x v="0"/>
    <s v="Lubricants"/>
    <m/>
    <x v="0"/>
    <s v="PO Created"/>
    <m/>
    <m/>
    <s v="PCTC"/>
    <s v="#N/A "/>
    <s v="#N/A "/>
    <x v="0"/>
    <x v="0"/>
  </r>
  <r>
    <x v="0"/>
    <m/>
    <s v="GLUM-60003/26-1"/>
    <s v=""/>
    <x v="1"/>
    <s v="IT Equipment - ITBP"/>
    <m/>
    <x v="0"/>
    <s v="Pending Delivery"/>
    <d v="2026-02-02T00:00:00"/>
    <m/>
    <s v="PCTC"/>
    <s v="#N/A "/>
    <s v="#N/A "/>
    <x v="0"/>
    <x v="0"/>
  </r>
  <r>
    <x v="0"/>
    <m/>
    <s v="GLUM-MVSP-60002/26-1"/>
    <s v=""/>
    <x v="2"/>
    <s v="IT Equipment - X10 System"/>
    <m/>
    <x v="0"/>
    <s v="Pending Supplier Confirmation"/>
    <d v="2026-03-20T00:00:00"/>
    <m/>
    <s v="PCTC"/>
    <s v="#N/A "/>
    <s v="#N/A "/>
    <x v="0"/>
    <x v="0"/>
  </r>
  <r>
    <x v="0"/>
    <m/>
    <s v="GLUM-60024/26-1"/>
    <s v=""/>
    <x v="3"/>
    <s v="LNG Operation Manual"/>
    <m/>
    <x v="0"/>
    <s v="PO Created"/>
    <m/>
    <m/>
    <s v="PCTC"/>
    <s v="#N/A "/>
    <s v="#N/A "/>
    <x v="0"/>
    <x v="0"/>
  </r>
  <r>
    <x v="0"/>
    <m/>
    <s v="GLUM-60006/26-1"/>
    <s v=""/>
    <x v="4"/>
    <s v="Tripods &amp; Spray Pipes"/>
    <m/>
    <x v="0"/>
    <s v="Pending Delivery"/>
    <d v="2026-03-10T00:00:00"/>
    <m/>
    <s v="PCTC"/>
    <s v="#N/A "/>
    <s v="#N/A "/>
    <x v="0"/>
    <x v="0"/>
  </r>
  <r>
    <x v="0"/>
    <m/>
    <s v="GLUM-60019/26-1"/>
    <s v=""/>
    <x v="5"/>
    <s v="QCDC"/>
    <m/>
    <x v="0"/>
    <s v="Pending Supplier Confirmation"/>
    <d v="2026-03-20T00:00:00"/>
    <m/>
    <s v="PCTC"/>
    <s v="#N/A "/>
    <s v="#N/A "/>
    <x v="0"/>
    <x v="0"/>
  </r>
  <r>
    <x v="0"/>
    <m/>
    <s v="GLUM-60016/26-1"/>
    <s v=""/>
    <x v="6"/>
    <s v="Gas Detection System"/>
    <m/>
    <x v="0"/>
    <s v="Pending Delivery"/>
    <d v="2026-03-06T00:00:00"/>
    <m/>
    <s v="PCTC"/>
    <s v="#N/A "/>
    <s v="#N/A "/>
    <x v="0"/>
    <x v="0"/>
  </r>
  <r>
    <x v="0"/>
    <m/>
    <s v="GLUM-60008/26-1"/>
    <s v=""/>
    <x v="7"/>
    <s v="Navigation - HiNAS SVM"/>
    <m/>
    <x v="0"/>
    <s v="Pending Supplier Confirmation"/>
    <d v="2026-02-17T00:00:00"/>
    <m/>
    <s v="PCTC"/>
    <s v="#N/A "/>
    <s v="#N/A "/>
    <x v="0"/>
    <x v="0"/>
  </r>
  <r>
    <x v="0"/>
    <m/>
    <s v="GLUM-60010/26-1"/>
    <s v=""/>
    <x v="8"/>
    <s v="IT Equipment - ITBP Additional Items"/>
    <m/>
    <x v="0"/>
    <s v="Pending Delivery"/>
    <d v="2026-02-19T00:00:00"/>
    <m/>
    <s v="PCTC"/>
    <s v="#N/A "/>
    <s v="#N/A "/>
    <x v="0"/>
    <x v="0"/>
  </r>
  <r>
    <x v="0"/>
    <m/>
    <s v="GLUM-60023/26-1"/>
    <s v="Pre-Delivery"/>
    <x v="9"/>
    <s v="Thermal Camera (FLIR)"/>
    <m/>
    <x v="0"/>
    <s v="Pending Delivery"/>
    <d v="2026-03-18T00:00:00"/>
    <m/>
    <s v="PCTC"/>
    <s v="#N/A "/>
    <s v="#N/A "/>
    <x v="0"/>
    <x v="0"/>
  </r>
  <r>
    <x v="0"/>
    <m/>
    <s v="GLUM-60001/26-1"/>
    <s v=""/>
    <x v="10"/>
    <s v="Navigation - Captains Eye"/>
    <m/>
    <x v="0"/>
    <s v="Pending Delivery"/>
    <d v="2026-01-15T00:00:00"/>
    <m/>
    <s v="PCTC"/>
    <s v="#N/A "/>
    <s v="#N/A "/>
    <x v="0"/>
    <x v="0"/>
  </r>
  <r>
    <x v="0"/>
    <m/>
    <s v="GLUM-60017/26-1"/>
    <s v=""/>
    <x v="11"/>
    <s v="Fire Detection System"/>
    <m/>
    <x v="0"/>
    <s v="Pending Delivery"/>
    <d v="2026-03-06T00:00:00"/>
    <m/>
    <s v="PCTC"/>
    <s v="#N/A "/>
    <s v="#N/A "/>
    <x v="0"/>
    <x v="0"/>
  </r>
  <r>
    <x v="0"/>
    <m/>
    <s v="GLUM-60002/26-1"/>
    <s v=""/>
    <x v="12"/>
    <s v="Communications - VSAT (KVH)"/>
    <m/>
    <x v="0"/>
    <s v="Pending Delivery"/>
    <d v="2026-01-26T00:00:00"/>
    <m/>
    <s v="PCTC"/>
    <s v="#N/A "/>
    <s v="#N/A "/>
    <x v="0"/>
    <x v="0"/>
  </r>
  <r>
    <x v="0"/>
    <m/>
    <s v="GLUM-60022/26-1"/>
    <s v="Pre-Delivery"/>
    <x v="13"/>
    <s v="Sample Cooler"/>
    <m/>
    <x v="0"/>
    <s v="Pending Supplier Confirmation"/>
    <d v="2026-03-20T00:00:00"/>
    <m/>
    <s v="PCTC"/>
    <s v="#N/A "/>
    <s v="#N/A "/>
    <x v="0"/>
    <x v="0"/>
  </r>
  <r>
    <x v="0"/>
    <m/>
    <s v="GLUM-60009/26-1"/>
    <s v=""/>
    <x v="14"/>
    <s v="IT Equipment - ITBP Cables"/>
    <m/>
    <x v="0"/>
    <s v="Pending Supplier Confirmation"/>
    <d v="2026-02-18T00:00:00"/>
    <m/>
    <s v="PCTC"/>
    <s v="#N/A "/>
    <s v="#N/A "/>
    <x v="0"/>
    <x v="0"/>
  </r>
  <r>
    <x v="0"/>
    <m/>
    <s v="GLUM-60007/26-1"/>
    <s v=""/>
    <x v="15"/>
    <s v="IT Equipment - Computers (Lenovo)"/>
    <m/>
    <x v="0"/>
    <s v="Pending Delivery"/>
    <d v="2026-02-13T00:00:00"/>
    <m/>
    <s v="PCTC"/>
    <s v="#N/A "/>
    <s v="#N/A "/>
    <x v="0"/>
    <x v="0"/>
  </r>
  <r>
    <x v="0"/>
    <m/>
    <s v="GLUM-60012/26-1"/>
    <s v=""/>
    <x v="16"/>
    <s v="IT Equipment - ITBP Lab Kit"/>
    <m/>
    <x v="0"/>
    <s v="Pending Delivery"/>
    <d v="2026-02-26T00:00:00"/>
    <m/>
    <s v="PCTC"/>
    <s v="#N/A "/>
    <s v="#N/A "/>
    <x v="0"/>
    <x v="0"/>
  </r>
  <r>
    <x v="0"/>
    <m/>
    <s v="GLUM-60020/26-1"/>
    <s v="Pre-Delivery"/>
    <x v="17"/>
    <s v="Cryogenic PPE"/>
    <m/>
    <x v="0"/>
    <s v="Pending Supplier Confirmation"/>
    <d v="2026-03-17T00:00:00"/>
    <m/>
    <s v="PCTC"/>
    <s v="#N/A "/>
    <s v="#N/A "/>
    <x v="0"/>
    <x v="0"/>
  </r>
  <r>
    <x v="0"/>
    <m/>
    <s v="GLUM-60018/26-1"/>
    <s v="Pre-Delivery"/>
    <x v="18"/>
    <s v="LNG Bunkering Equipment"/>
    <m/>
    <x v="0"/>
    <s v="Pending Supplier Confirmation"/>
    <d v="2026-03-19T00:00:00"/>
    <m/>
    <s v="PCTC"/>
    <s v="#N/A "/>
    <s v="#N/A "/>
    <x v="0"/>
    <x v="0"/>
  </r>
  <r>
    <x v="0"/>
    <m/>
    <s v="GLUM-60021/26-1"/>
    <s v="Pre-Delivery"/>
    <x v="19"/>
    <s v="Seatab"/>
    <m/>
    <x v="0"/>
    <s v="Pending Supplier Confirmation"/>
    <d v="2026-03-18T00:00:00"/>
    <m/>
    <s v="PCTC"/>
    <s v="#N/A "/>
    <s v="#N/A "/>
    <x v="0"/>
    <x v="0"/>
  </r>
  <r>
    <x v="0"/>
    <m/>
    <s v="GLUM-60004/26-1"/>
    <s v="Pre-Delivery"/>
    <x v="20"/>
    <s v="Garbage Compactor"/>
    <m/>
    <x v="0"/>
    <s v="Pending Delivery"/>
    <d v="2026-02-06T00:00:00"/>
    <m/>
    <s v="PCTC"/>
    <s v="#N/A "/>
    <s v="#N/A "/>
    <x v="0"/>
    <x v="0"/>
  </r>
  <r>
    <x v="0"/>
    <m/>
    <s v="GLUM-60005/26-1"/>
    <s v=""/>
    <x v="21"/>
    <s v="Oil Skimmers - Abanaki"/>
    <m/>
    <x v="0"/>
    <s v="Pending Supplier Confirmation"/>
    <d v="2026-02-12T00:00:00"/>
    <m/>
    <s v="PCTC"/>
    <s v="#N/A "/>
    <s v="#N/A "/>
    <x v="0"/>
    <x v="0"/>
  </r>
  <r>
    <x v="0"/>
    <m/>
    <s v="GLUM-60014/26"/>
    <s v=""/>
    <x v="22"/>
    <s v="Boiler Spares"/>
    <m/>
    <x v="0"/>
    <s v="Pending Approval"/>
    <d v="2026-02-25T00:00:00"/>
    <s v="To be Approved"/>
    <s v="PCTC"/>
    <s v="#N/A "/>
    <s v="#N/A "/>
    <x v="0"/>
    <x v="0"/>
  </r>
  <r>
    <x v="0"/>
    <m/>
    <s v="GLUM-60025/26"/>
    <s v=""/>
    <x v="23"/>
    <s v="Ultrasonic Cleaner"/>
    <m/>
    <x v="1"/>
    <s v="Pending Approval"/>
    <m/>
    <s v="To be Approved"/>
    <s v="PCTC"/>
    <s v="#N/A "/>
    <s v="#N/A "/>
    <x v="0"/>
    <x v="0"/>
  </r>
  <r>
    <x v="0"/>
    <m/>
    <s v="GLUM-60026/26"/>
    <s v=""/>
    <x v="24"/>
    <s v="OPA 90 Kit"/>
    <m/>
    <x v="1"/>
    <s v="Pending Approval"/>
    <m/>
    <s v="To be Approved"/>
    <s v="PCTC"/>
    <s v="#N/A "/>
    <s v="#N/A "/>
    <x v="0"/>
    <x v="0"/>
  </r>
  <r>
    <x v="0"/>
    <m/>
    <s v="GLUM-60027/26"/>
    <s v=""/>
    <x v="25"/>
    <s v="High Pressure Washer"/>
    <m/>
    <x v="1"/>
    <s v="Pending Approval"/>
    <m/>
    <s v="To be Approved"/>
    <s v="PCTC"/>
    <s v="#N/A "/>
    <s v="#N/A "/>
    <x v="0"/>
    <x v="0"/>
  </r>
  <r>
    <x v="0"/>
    <m/>
    <s v="GLUM-60028/26"/>
    <s v=""/>
    <x v="26"/>
    <s v="Steam Splash Suit"/>
    <m/>
    <x v="1"/>
    <s v="Pending Approval"/>
    <m/>
    <s v="To be Approved"/>
    <s v="PCTC"/>
    <s v="#N/A "/>
    <s v="#N/A "/>
    <x v="0"/>
    <x v="0"/>
  </r>
  <r>
    <x v="0"/>
    <m/>
    <s v="GLUM-60033/26"/>
    <s v=""/>
    <x v="27"/>
    <s v="Gas Meters"/>
    <m/>
    <x v="1"/>
    <m/>
    <m/>
    <m/>
    <s v="PCTC"/>
    <s v="#N/A "/>
    <s v="#N/A "/>
    <x v="0"/>
    <x v="0"/>
  </r>
  <r>
    <x v="1"/>
    <m/>
    <m/>
    <s v=""/>
    <x v="28"/>
    <s v="Oily Water Separator"/>
    <m/>
    <x v="2"/>
    <m/>
    <m/>
    <m/>
    <s v="PCTC"/>
    <s v="#N/A "/>
    <e v="#N/A"/>
    <x v="1"/>
    <x v="0"/>
  </r>
  <r>
    <x v="1"/>
    <m/>
    <m/>
    <s v=""/>
    <x v="29"/>
    <s v="BWTS Spares"/>
    <m/>
    <x v="2"/>
    <m/>
    <m/>
    <m/>
    <s v="PCTC"/>
    <s v=" #N/A "/>
    <e v="#N/A"/>
    <x v="1"/>
    <x v="0"/>
  </r>
  <r>
    <x v="1"/>
    <m/>
    <s v="GLIG-60094/26-1"/>
    <s v=""/>
    <x v="30"/>
    <s v="EV Lance"/>
    <m/>
    <x v="0"/>
    <m/>
    <m/>
    <m/>
    <s v="PCTC"/>
    <n v="1794590"/>
    <s v="JPY"/>
    <x v="2"/>
    <x v="1"/>
  </r>
  <r>
    <x v="1"/>
    <m/>
    <s v="GLIG-60034/26-1"/>
    <s v=""/>
    <x v="31"/>
    <s v="RO-RO Equipment - Loose Fittings"/>
    <m/>
    <x v="0"/>
    <m/>
    <m/>
    <m/>
    <s v="PCTC"/>
    <n v="486174"/>
    <s v="USD"/>
    <x v="3"/>
    <x v="2"/>
  </r>
  <r>
    <x v="1"/>
    <m/>
    <s v="GLIG-60030/26-1"/>
    <s v="Pre-Delivery"/>
    <x v="32"/>
    <s v="Lubricants"/>
    <m/>
    <x v="3"/>
    <m/>
    <m/>
    <m/>
    <s v="PCTC"/>
    <n v="305941"/>
    <s v="USD"/>
    <x v="4"/>
    <x v="2"/>
  </r>
  <r>
    <x v="1"/>
    <m/>
    <s v="GLIG-60021/26-1"/>
    <s v=""/>
    <x v="33"/>
    <s v="IT Equipment - Interface / Integration"/>
    <m/>
    <x v="4"/>
    <m/>
    <m/>
    <m/>
    <s v="PCTC"/>
    <n v="260191"/>
    <s v="HKD"/>
    <x v="5"/>
    <x v="1"/>
  </r>
  <r>
    <x v="1"/>
    <m/>
    <s v="GLIG-60005/26-1"/>
    <s v=""/>
    <x v="10"/>
    <s v="Navigation - Captains Eye"/>
    <m/>
    <x v="0"/>
    <m/>
    <m/>
    <m/>
    <s v="PCTC"/>
    <n v="224200"/>
    <s v="USD"/>
    <x v="6"/>
    <x v="2"/>
  </r>
  <r>
    <x v="1"/>
    <m/>
    <s v="GLIG-60079/26-1"/>
    <s v=""/>
    <x v="34"/>
    <s v="Engine Spares - Main Engine"/>
    <m/>
    <x v="0"/>
    <m/>
    <m/>
    <m/>
    <s v="PCTC"/>
    <n v="215083"/>
    <s v="EUR"/>
    <x v="7"/>
    <x v="1"/>
  </r>
  <r>
    <x v="1"/>
    <m/>
    <s v="GLIG-60080/26-1"/>
    <s v=""/>
    <x v="35"/>
    <s v="Engine Spares - Auxiliary Engine"/>
    <m/>
    <x v="0"/>
    <m/>
    <m/>
    <m/>
    <s v="PCTC"/>
    <n v="113839"/>
    <s v="EUR"/>
    <x v="8"/>
    <x v="1"/>
  </r>
  <r>
    <x v="1"/>
    <m/>
    <m/>
    <s v=""/>
    <x v="36"/>
    <s v="Sewage Treatment Plant"/>
    <m/>
    <x v="5"/>
    <m/>
    <m/>
    <m/>
    <s v="PCTC"/>
    <s v=" #N/A "/>
    <e v="#N/A"/>
    <x v="1"/>
    <x v="0"/>
  </r>
  <r>
    <x v="1"/>
    <m/>
    <m/>
    <s v=""/>
    <x v="37"/>
    <s v="Sewage Discharge Pump"/>
    <m/>
    <x v="5"/>
    <m/>
    <m/>
    <m/>
    <s v="PCTC"/>
    <s v=" #N/A "/>
    <e v="#N/A"/>
    <x v="1"/>
    <x v="0"/>
  </r>
  <r>
    <x v="1"/>
    <m/>
    <s v="GLIG-60002/25-1"/>
    <s v="Pre-Delivery"/>
    <x v="38"/>
    <s v="Lubricants"/>
    <m/>
    <x v="3"/>
    <m/>
    <m/>
    <m/>
    <s v="PCTC"/>
    <n v="83443"/>
    <s v="USD"/>
    <x v="4"/>
    <x v="2"/>
  </r>
  <r>
    <x v="1"/>
    <m/>
    <s v="GLIG-60076/26-1"/>
    <s v=""/>
    <x v="26"/>
    <s v="Steam Splash Suit"/>
    <m/>
    <x v="1"/>
    <m/>
    <m/>
    <m/>
    <s v="PCTC"/>
    <n v="83000"/>
    <s v="INR"/>
    <x v="9"/>
    <x v="1"/>
  </r>
  <r>
    <x v="1"/>
    <m/>
    <s v="GLIG-60066/26-1"/>
    <s v=""/>
    <x v="39"/>
    <s v="Mooring Ropes"/>
    <m/>
    <x v="0"/>
    <m/>
    <m/>
    <m/>
    <s v="PCTC"/>
    <n v="80788"/>
    <s v="USD"/>
    <x v="10"/>
    <x v="2"/>
  </r>
  <r>
    <x v="1"/>
    <m/>
    <s v="GLIG-60024/26-1"/>
    <s v=""/>
    <x v="40"/>
    <s v="Navigation - HiNAS SVM"/>
    <m/>
    <x v="0"/>
    <m/>
    <m/>
    <m/>
    <s v="PCTC"/>
    <n v="63600"/>
    <s v="USD"/>
    <x v="11"/>
    <x v="2"/>
  </r>
  <r>
    <x v="1"/>
    <m/>
    <s v="GLIG-60003/26-1"/>
    <s v=""/>
    <x v="41"/>
    <s v="IT Equipment - Interface / Integration"/>
    <m/>
    <x v="4"/>
    <m/>
    <m/>
    <m/>
    <s v="PCTC"/>
    <n v="55710"/>
    <s v="HKD"/>
    <x v="5"/>
    <x v="1"/>
  </r>
  <r>
    <x v="1"/>
    <m/>
    <m/>
    <s v=""/>
    <x v="42"/>
    <s v="Lubricants"/>
    <m/>
    <x v="3"/>
    <m/>
    <m/>
    <m/>
    <s v="PCTC"/>
    <s v=" #N/A "/>
    <e v="#N/A"/>
    <x v="1"/>
    <x v="0"/>
  </r>
  <r>
    <x v="1"/>
    <m/>
    <s v="GLIG-60001/25-1"/>
    <s v="Pre-Delivery"/>
    <x v="43"/>
    <s v="Lubricants"/>
    <m/>
    <x v="3"/>
    <m/>
    <m/>
    <m/>
    <s v="PCTC"/>
    <n v="51230"/>
    <s v="USD"/>
    <x v="4"/>
    <x v="2"/>
  </r>
  <r>
    <x v="1"/>
    <m/>
    <s v="GLIG-60022/26-1"/>
    <s v=""/>
    <x v="44"/>
    <s v="IT Equipment - Computers (Lenovo)"/>
    <m/>
    <x v="4"/>
    <m/>
    <m/>
    <m/>
    <s v="PCTC"/>
    <n v="49419"/>
    <s v="CAD"/>
    <x v="12"/>
    <x v="1"/>
  </r>
  <r>
    <x v="1"/>
    <m/>
    <s v="GLIG-60087/26-1"/>
    <s v=""/>
    <x v="45"/>
    <s v="Citadel VHF/GPS/UHF System"/>
    <m/>
    <x v="0"/>
    <m/>
    <m/>
    <m/>
    <s v="PCTC"/>
    <n v="39000"/>
    <s v="USD"/>
    <x v="13"/>
    <x v="2"/>
  </r>
  <r>
    <x v="1"/>
    <m/>
    <s v="GLIG-60100/26-1"/>
    <s v=""/>
    <x v="46"/>
    <s v="UHF Radio"/>
    <m/>
    <x v="0"/>
    <m/>
    <m/>
    <m/>
    <s v="PCTC"/>
    <n v="32128"/>
    <s v="USD"/>
    <x v="14"/>
    <x v="2"/>
  </r>
  <r>
    <x v="1"/>
    <m/>
    <s v="GLIG-60078/26-1"/>
    <s v="Pre-Delivery"/>
    <x v="47"/>
    <s v="Welding Equipment"/>
    <m/>
    <x v="6"/>
    <m/>
    <m/>
    <m/>
    <s v="PCTC"/>
    <n v="30943"/>
    <s v="USD"/>
    <x v="15"/>
    <x v="2"/>
  </r>
  <r>
    <x v="1"/>
    <m/>
    <s v="GLIG-60096/26-1"/>
    <s v=""/>
    <x v="48"/>
    <s v="Lubricants"/>
    <m/>
    <x v="3"/>
    <m/>
    <m/>
    <m/>
    <s v="PCTC"/>
    <n v="30700"/>
    <s v="USD"/>
    <x v="4"/>
    <x v="2"/>
  </r>
  <r>
    <x v="1"/>
    <m/>
    <s v="GLIG-60012/26-1"/>
    <s v=""/>
    <x v="49"/>
    <s v="IT Equipment - ITBP"/>
    <m/>
    <x v="4"/>
    <m/>
    <m/>
    <m/>
    <s v="PCTC"/>
    <n v="29716"/>
    <s v="USD"/>
    <x v="12"/>
    <x v="2"/>
  </r>
  <r>
    <x v="1"/>
    <m/>
    <s v="GLIG-60037/26-1"/>
    <s v=""/>
    <x v="6"/>
    <s v="Gas Detection System"/>
    <m/>
    <x v="0"/>
    <m/>
    <m/>
    <m/>
    <s v="PCTC"/>
    <n v="28136"/>
    <s v="USD"/>
    <x v="16"/>
    <x v="2"/>
  </r>
  <r>
    <x v="1"/>
    <m/>
    <s v="GLIG-60010/26-1"/>
    <s v=""/>
    <x v="50"/>
    <s v="Communications - VLINK"/>
    <m/>
    <x v="4"/>
    <m/>
    <m/>
    <m/>
    <s v="PCTC"/>
    <n v="25285"/>
    <s v="USD"/>
    <x v="14"/>
    <x v="2"/>
  </r>
  <r>
    <x v="1"/>
    <m/>
    <s v="GLIG-60033/26-1"/>
    <s v=""/>
    <x v="22"/>
    <s v="Boiler Spares"/>
    <m/>
    <x v="0"/>
    <m/>
    <m/>
    <m/>
    <s v="PCTC"/>
    <n v="23968"/>
    <s v="USD"/>
    <x v="17"/>
    <x v="2"/>
  </r>
  <r>
    <x v="1"/>
    <m/>
    <s v="GLIG-60067/26-1"/>
    <s v=""/>
    <x v="3"/>
    <s v="LNG Operation Manual"/>
    <m/>
    <x v="4"/>
    <m/>
    <m/>
    <m/>
    <s v="PCTC"/>
    <n v="21500"/>
    <s v="USD"/>
    <x v="18"/>
    <x v="2"/>
  </r>
  <r>
    <x v="1"/>
    <m/>
    <s v="GLIG-60075/26-1"/>
    <s v="Pre-Delivery"/>
    <x v="51"/>
    <s v="Engineering Products &amp; Chemicals"/>
    <m/>
    <x v="6"/>
    <m/>
    <m/>
    <m/>
    <s v="PCTC"/>
    <n v="20709"/>
    <s v="USD"/>
    <x v="15"/>
    <x v="2"/>
  </r>
  <r>
    <x v="1"/>
    <m/>
    <s v="GLIG-60084/26-1"/>
    <s v=""/>
    <x v="52"/>
    <s v="Dual Fuel Tools"/>
    <m/>
    <x v="1"/>
    <m/>
    <m/>
    <m/>
    <s v="PCTC"/>
    <n v="20589"/>
    <s v="USD"/>
    <x v="14"/>
    <x v="2"/>
  </r>
  <r>
    <x v="1"/>
    <m/>
    <s v="GLIG-60017/26-1"/>
    <s v=""/>
    <x v="53"/>
    <s v="IT Equipment - Sihui Marine"/>
    <m/>
    <x v="4"/>
    <m/>
    <m/>
    <m/>
    <s v="PCTC"/>
    <n v="20000"/>
    <s v="USD"/>
    <x v="19"/>
    <x v="2"/>
  </r>
  <r>
    <x v="1"/>
    <m/>
    <s v="GLIG-60005/25-1"/>
    <s v=""/>
    <x v="54"/>
    <s v="Safety Integration - SMiG"/>
    <m/>
    <x v="0"/>
    <m/>
    <m/>
    <m/>
    <s v="PCTC"/>
    <n v="19300"/>
    <s v="USD"/>
    <x v="16"/>
    <x v="2"/>
  </r>
  <r>
    <x v="1"/>
    <m/>
    <s v="GLIG-60098/26-1"/>
    <s v=""/>
    <x v="55"/>
    <s v="Nitrogen Generator"/>
    <m/>
    <x v="0"/>
    <m/>
    <m/>
    <m/>
    <s v="PCTC"/>
    <n v="12020"/>
    <s v="USD"/>
    <x v="20"/>
    <x v="2"/>
  </r>
  <r>
    <x v="1"/>
    <m/>
    <s v="GLIG-60036/26-1"/>
    <s v=""/>
    <x v="56"/>
    <s v="Training - Wartsila"/>
    <m/>
    <x v="4"/>
    <m/>
    <m/>
    <m/>
    <s v="PCTC"/>
    <n v="11760"/>
    <s v="EUR"/>
    <x v="8"/>
    <x v="1"/>
  </r>
  <r>
    <x v="1"/>
    <m/>
    <s v="GLIG-60047/26-1"/>
    <s v="Pre-Delivery"/>
    <x v="13"/>
    <s v="Sample Cooler"/>
    <m/>
    <x v="0"/>
    <m/>
    <m/>
    <m/>
    <s v="PCTC"/>
    <n v="10858"/>
    <s v="USD"/>
    <x v="15"/>
    <x v="2"/>
  </r>
  <r>
    <x v="1"/>
    <m/>
    <s v="GLIG-60020/26"/>
    <s v=""/>
    <x v="57"/>
    <s v="IT Equipment - Interface / Integration"/>
    <m/>
    <x v="4"/>
    <m/>
    <m/>
    <m/>
    <s v="PCTC"/>
    <s v=" #N/A "/>
    <e v="#N/A"/>
    <x v="1"/>
    <x v="0"/>
  </r>
  <r>
    <x v="1"/>
    <m/>
    <s v="GLIG-60018/26"/>
    <s v=""/>
    <x v="58"/>
    <s v="Communications - VSAT (KVH)"/>
    <m/>
    <x v="4"/>
    <m/>
    <m/>
    <m/>
    <s v="PCTC"/>
    <s v=" #N/A "/>
    <e v="#N/A"/>
    <x v="1"/>
    <x v="0"/>
  </r>
  <r>
    <x v="1"/>
    <m/>
    <s v="GLIG-60016/26"/>
    <s v=""/>
    <x v="59"/>
    <s v="IT Equipment - Sihui Marine"/>
    <m/>
    <x v="4"/>
    <m/>
    <m/>
    <m/>
    <s v="PCTC"/>
    <s v=" #N/A "/>
    <e v="#N/A"/>
    <x v="1"/>
    <x v="0"/>
  </r>
  <r>
    <x v="1"/>
    <m/>
    <s v="GLIG-60014/26"/>
    <s v=""/>
    <x v="60"/>
    <s v="IT Equipment - X10 System"/>
    <m/>
    <x v="4"/>
    <m/>
    <m/>
    <m/>
    <s v="PCTC"/>
    <s v=" #N/A "/>
    <e v="#N/A"/>
    <x v="1"/>
    <x v="0"/>
  </r>
  <r>
    <x v="1"/>
    <m/>
    <s v="GLIG-60009/26"/>
    <s v=""/>
    <x v="61"/>
    <s v="IT Equipment - ITBP"/>
    <m/>
    <x v="4"/>
    <m/>
    <m/>
    <m/>
    <s v="PCTC"/>
    <s v=" #N/A "/>
    <e v="#N/A"/>
    <x v="1"/>
    <x v="0"/>
  </r>
  <r>
    <x v="1"/>
    <m/>
    <s v="GLIG-60007/25"/>
    <s v=""/>
    <x v="62"/>
    <s v="Fleet Systems - Services"/>
    <m/>
    <x v="4"/>
    <m/>
    <m/>
    <m/>
    <s v="PCTC"/>
    <s v=" #N/A "/>
    <e v="#N/A"/>
    <x v="1"/>
    <x v="0"/>
  </r>
  <r>
    <x v="1"/>
    <m/>
    <s v="GLIG-60040/26-1"/>
    <s v=""/>
    <x v="63"/>
    <s v="Communications - Starlink Accessories"/>
    <m/>
    <x v="4"/>
    <m/>
    <m/>
    <m/>
    <s v="PCTC"/>
    <s v=" #N/A "/>
    <e v="#N/A"/>
    <x v="1"/>
    <x v="0"/>
  </r>
  <r>
    <x v="1"/>
    <m/>
    <s v="GLIG-60002/26"/>
    <s v=""/>
    <x v="64"/>
    <s v="IT Equipment - Interface / Integration"/>
    <m/>
    <x v="4"/>
    <m/>
    <m/>
    <m/>
    <s v="PCTC"/>
    <s v=" #N/A "/>
    <e v="#N/A"/>
    <x v="1"/>
    <x v="0"/>
  </r>
  <r>
    <x v="1"/>
    <m/>
    <s v="GLIG-60032/26"/>
    <s v=""/>
    <x v="65"/>
    <s v="IT Equipment - ITBP Licenses"/>
    <m/>
    <x v="4"/>
    <m/>
    <m/>
    <m/>
    <s v="PCTC"/>
    <s v=" #N/A "/>
    <e v="#N/A"/>
    <x v="1"/>
    <x v="0"/>
  </r>
  <r>
    <x v="1"/>
    <m/>
    <s v="GLIG-60001/26"/>
    <s v=""/>
    <x v="66"/>
    <s v="Fleet Systems - General"/>
    <m/>
    <x v="4"/>
    <m/>
    <m/>
    <m/>
    <s v="PCTC"/>
    <s v=" #N/A "/>
    <e v="#N/A"/>
    <x v="1"/>
    <x v="0"/>
  </r>
  <r>
    <x v="1"/>
    <m/>
    <s v="GLIG-60081/26"/>
    <s v=""/>
    <x v="67"/>
    <s v="IT Equipment - ITBP Tax Invoice"/>
    <m/>
    <x v="4"/>
    <m/>
    <m/>
    <m/>
    <s v="PCTC"/>
    <s v=" #N/A "/>
    <e v="#N/A"/>
    <x v="1"/>
    <x v="0"/>
  </r>
  <r>
    <x v="1"/>
    <m/>
    <s v="GLIG-60082/26"/>
    <s v=""/>
    <x v="68"/>
    <s v="IT Equipment - X10 System"/>
    <m/>
    <x v="4"/>
    <m/>
    <m/>
    <m/>
    <s v="PCTC"/>
    <s v=" #N/A "/>
    <e v="#N/A"/>
    <x v="1"/>
    <x v="0"/>
  </r>
  <r>
    <x v="1"/>
    <m/>
    <s v="GLIG-60042/26-1"/>
    <s v=""/>
    <x v="69"/>
    <s v="Oil Skimmers - Abanaki"/>
    <m/>
    <x v="0"/>
    <m/>
    <m/>
    <m/>
    <s v="PCTC"/>
    <n v="10325"/>
    <s v="USD"/>
    <x v="21"/>
    <x v="2"/>
  </r>
  <r>
    <x v="1"/>
    <m/>
    <s v="GLIG-60038/26-1"/>
    <s v=""/>
    <x v="11"/>
    <s v="Fire Detection System"/>
    <m/>
    <x v="0"/>
    <m/>
    <m/>
    <m/>
    <s v="PCTC"/>
    <n v="9933"/>
    <s v="USD"/>
    <x v="16"/>
    <x v="2"/>
  </r>
  <r>
    <x v="1"/>
    <m/>
    <s v="GLIG-60068/26-1"/>
    <s v="Pre-Delivery"/>
    <x v="70"/>
    <s v="Treatment Chemicals"/>
    <m/>
    <x v="6"/>
    <m/>
    <m/>
    <m/>
    <s v="PCTC"/>
    <n v="9266"/>
    <s v="USD"/>
    <x v="15"/>
    <x v="2"/>
  </r>
  <r>
    <x v="1"/>
    <m/>
    <s v="GLIG-60092/26-1"/>
    <s v=""/>
    <x v="71"/>
    <s v="Publications &amp; Manuals"/>
    <m/>
    <x v="1"/>
    <m/>
    <m/>
    <m/>
    <s v="PCTC"/>
    <n v="9105"/>
    <s v="USD"/>
    <x v="22"/>
    <x v="2"/>
  </r>
  <r>
    <x v="1"/>
    <m/>
    <s v="GLIG-60071/26-1"/>
    <s v=""/>
    <x v="72"/>
    <s v="Refrigerant Equipment"/>
    <m/>
    <x v="6"/>
    <m/>
    <m/>
    <m/>
    <s v="PCTC"/>
    <n v="7740"/>
    <s v="USD"/>
    <x v="15"/>
    <x v="2"/>
  </r>
  <r>
    <x v="1"/>
    <m/>
    <s v="GLIG-60048/26-1"/>
    <s v=""/>
    <x v="73"/>
    <s v="BOG Compressor Spares"/>
    <m/>
    <x v="0"/>
    <m/>
    <m/>
    <m/>
    <s v="PCTC"/>
    <n v="7060"/>
    <s v="USD"/>
    <x v="23"/>
    <x v="2"/>
  </r>
  <r>
    <x v="1"/>
    <m/>
    <s v="GLIG-60103/26-1"/>
    <s v=""/>
    <x v="74"/>
    <s v="IMPA Stores - BA Compressor"/>
    <m/>
    <x v="1"/>
    <m/>
    <m/>
    <m/>
    <s v="PCTC"/>
    <n v="6929"/>
    <s v="USD"/>
    <x v="24"/>
    <x v="2"/>
  </r>
  <r>
    <x v="1"/>
    <m/>
    <s v="GLIG-60019/26-1"/>
    <s v=""/>
    <x v="75"/>
    <s v="Communications - VSAT (KVH)"/>
    <m/>
    <x v="4"/>
    <m/>
    <m/>
    <m/>
    <s v="PCTC"/>
    <n v="6775"/>
    <s v="USD"/>
    <x v="25"/>
    <x v="2"/>
  </r>
  <r>
    <x v="1"/>
    <m/>
    <s v="GLIG-60060/26-1"/>
    <s v=""/>
    <x v="76"/>
    <s v="IMPA Stores - Engine"/>
    <m/>
    <x v="1"/>
    <m/>
    <m/>
    <m/>
    <s v="PCTC"/>
    <n v="6363"/>
    <s v="USD"/>
    <x v="26"/>
    <x v="2"/>
  </r>
  <r>
    <x v="1"/>
    <m/>
    <s v="GLIG-60063/26-1"/>
    <s v=""/>
    <x v="76"/>
    <s v="IMPA Stores - Engine"/>
    <m/>
    <x v="1"/>
    <m/>
    <m/>
    <m/>
    <s v="PCTC"/>
    <n v="6224"/>
    <s v="USD"/>
    <x v="26"/>
    <x v="2"/>
  </r>
  <r>
    <x v="1"/>
    <m/>
    <s v="GLIG-60102/26-1"/>
    <s v=""/>
    <x v="77"/>
    <s v="Temperature Calibrators"/>
    <m/>
    <x v="1"/>
    <m/>
    <m/>
    <m/>
    <s v="PCTC"/>
    <n v="5860"/>
    <s v="USD"/>
    <x v="24"/>
    <x v="2"/>
  </r>
  <r>
    <x v="1"/>
    <m/>
    <s v="GLIG-60102/26-1"/>
    <s v=""/>
    <x v="78"/>
    <s v="Pressure Calibrators"/>
    <m/>
    <x v="1"/>
    <m/>
    <m/>
    <m/>
    <s v="PCTC"/>
    <n v="5860"/>
    <s v="USD"/>
    <x v="24"/>
    <x v="2"/>
  </r>
  <r>
    <x v="1"/>
    <m/>
    <s v="GLIG-60008/26-1"/>
    <s v=""/>
    <x v="79"/>
    <s v="IT Equipment - Interface / Integration"/>
    <m/>
    <x v="4"/>
    <m/>
    <m/>
    <m/>
    <s v="PCTC"/>
    <n v="5766"/>
    <s v="USD"/>
    <x v="27"/>
    <x v="2"/>
  </r>
  <r>
    <x v="1"/>
    <m/>
    <s v="GLIG-60045/26-1"/>
    <s v=""/>
    <x v="80"/>
    <s v="Maintenance Chemicals"/>
    <m/>
    <x v="6"/>
    <m/>
    <m/>
    <m/>
    <s v="PCTC"/>
    <n v="5339"/>
    <s v="USD"/>
    <x v="15"/>
    <x v="2"/>
  </r>
  <r>
    <x v="1"/>
    <m/>
    <s v="GLIG-60070/26-1"/>
    <s v=""/>
    <x v="81"/>
    <s v="Industrial Gases"/>
    <m/>
    <x v="6"/>
    <m/>
    <m/>
    <m/>
    <s v="PCTC"/>
    <n v="5327"/>
    <s v="USD"/>
    <x v="15"/>
    <x v="2"/>
  </r>
  <r>
    <x v="1"/>
    <m/>
    <s v="GLIG-60044/26-1"/>
    <s v=""/>
    <x v="82"/>
    <s v="Cryogenic PPE"/>
    <m/>
    <x v="1"/>
    <m/>
    <m/>
    <m/>
    <s v="PCTC"/>
    <n v="5272"/>
    <s v="USD"/>
    <x v="28"/>
    <x v="2"/>
  </r>
  <r>
    <x v="1"/>
    <m/>
    <s v="GLIG-60058/26-1"/>
    <s v=""/>
    <x v="83"/>
    <s v="IMPA Stores - Accommodation"/>
    <m/>
    <x v="1"/>
    <m/>
    <m/>
    <m/>
    <s v="PCTC"/>
    <n v="4987"/>
    <s v="USD"/>
    <x v="26"/>
    <x v="2"/>
  </r>
  <r>
    <x v="1"/>
    <m/>
    <s v="GLIG-60099/26-1"/>
    <s v=""/>
    <x v="84"/>
    <s v="Sea Trial"/>
    <m/>
    <x v="1"/>
    <m/>
    <m/>
    <m/>
    <s v="PCTC"/>
    <n v="4758"/>
    <s v="USD"/>
    <x v="14"/>
    <x v="2"/>
  </r>
  <r>
    <x v="1"/>
    <m/>
    <s v="GLIG-60025/26-1"/>
    <s v="Pre-Delivery"/>
    <x v="85"/>
    <s v="Lubricants"/>
    <m/>
    <x v="3"/>
    <m/>
    <m/>
    <m/>
    <s v="PCTC"/>
    <n v="4414"/>
    <s v="USD"/>
    <x v="14"/>
    <x v="2"/>
  </r>
  <r>
    <x v="1"/>
    <m/>
    <s v="GLIG-60043/26-1"/>
    <s v=""/>
    <x v="86"/>
    <s v="Garbage Compactor"/>
    <m/>
    <x v="0"/>
    <m/>
    <m/>
    <m/>
    <s v="PCTC"/>
    <n v="4350"/>
    <s v="USD"/>
    <x v="14"/>
    <x v="2"/>
  </r>
  <r>
    <x v="1"/>
    <m/>
    <s v="GLIG-60015/26-1"/>
    <s v=""/>
    <x v="60"/>
    <s v="IT Equipment - X10 System"/>
    <m/>
    <x v="4"/>
    <m/>
    <m/>
    <m/>
    <s v="PCTC"/>
    <n v="4281"/>
    <s v="CAD"/>
    <x v="29"/>
    <x v="1"/>
  </r>
  <r>
    <x v="1"/>
    <m/>
    <s v="GLIG-60097/26-1"/>
    <s v=""/>
    <x v="87"/>
    <m/>
    <m/>
    <x v="4"/>
    <m/>
    <m/>
    <m/>
    <s v="PCTC"/>
    <n v="4040"/>
    <s v="USD"/>
    <x v="25"/>
    <x v="2"/>
  </r>
  <r>
    <x v="1"/>
    <m/>
    <s v="GLIG-60003/25"/>
    <s v=""/>
    <x v="88"/>
    <s v="Citadel VHF/GPS/UHF System"/>
    <m/>
    <x v="0"/>
    <m/>
    <m/>
    <m/>
    <s v="PCTC"/>
    <s v=" #N/A "/>
    <e v="#N/A"/>
    <x v="1"/>
    <x v="0"/>
  </r>
  <r>
    <x v="1"/>
    <m/>
    <s v="GLIG-60085/26-1"/>
    <s v=""/>
    <x v="89"/>
    <s v="HP Pump (Hydraulic Nuts)"/>
    <m/>
    <x v="0"/>
    <m/>
    <m/>
    <m/>
    <s v="PCTC"/>
    <s v=" #N/A "/>
    <e v="#N/A"/>
    <x v="1"/>
    <x v="0"/>
  </r>
  <r>
    <x v="1"/>
    <m/>
    <m/>
    <s v=""/>
    <x v="90"/>
    <s v="RO-RO Equipment - Ramp Spares"/>
    <m/>
    <x v="0"/>
    <m/>
    <m/>
    <m/>
    <s v="PCTC"/>
    <s v=" #N/A "/>
    <e v="#N/A"/>
    <x v="1"/>
    <x v="0"/>
  </r>
  <r>
    <x v="1"/>
    <m/>
    <m/>
    <s v=""/>
    <x v="91"/>
    <s v="HP Pump Skid"/>
    <m/>
    <x v="0"/>
    <m/>
    <m/>
    <m/>
    <s v="PCTC"/>
    <s v=" #N/A "/>
    <e v="#N/A"/>
    <x v="1"/>
    <x v="0"/>
  </r>
  <r>
    <x v="1"/>
    <m/>
    <m/>
    <s v=""/>
    <x v="92"/>
    <s v="Reefer Cables &amp; Plugs"/>
    <m/>
    <x v="0"/>
    <m/>
    <m/>
    <m/>
    <s v="PCTC"/>
    <s v=" #N/A "/>
    <e v="#N/A"/>
    <x v="1"/>
    <x v="0"/>
  </r>
  <r>
    <x v="1"/>
    <m/>
    <s v="GLIG-60115/26"/>
    <s v=""/>
    <x v="93"/>
    <s v="Gas Cylinders"/>
    <m/>
    <x v="0"/>
    <m/>
    <m/>
    <m/>
    <s v="PCTC"/>
    <s v=" #N/A "/>
    <e v="#N/A"/>
    <x v="1"/>
    <x v="0"/>
  </r>
  <r>
    <x v="1"/>
    <m/>
    <m/>
    <s v=""/>
    <x v="94"/>
    <s v="Thermal Stop"/>
    <m/>
    <x v="0"/>
    <m/>
    <m/>
    <m/>
    <s v="PCTC"/>
    <s v=" #N/A "/>
    <e v="#N/A"/>
    <x v="1"/>
    <x v="0"/>
  </r>
  <r>
    <x v="1"/>
    <m/>
    <m/>
    <s v=""/>
    <x v="95"/>
    <s v="Receptacles"/>
    <m/>
    <x v="0"/>
    <m/>
    <m/>
    <m/>
    <s v="PCTC"/>
    <s v=" #N/A "/>
    <e v="#N/A"/>
    <x v="1"/>
    <x v="0"/>
  </r>
  <r>
    <x v="1"/>
    <m/>
    <m/>
    <s v=""/>
    <x v="96"/>
    <s v="Safe Lanes (Trelleborg)"/>
    <m/>
    <x v="0"/>
    <m/>
    <m/>
    <m/>
    <s v="PCTC"/>
    <s v=" #N/A "/>
    <e v="#N/A"/>
    <x v="1"/>
    <x v="0"/>
  </r>
  <r>
    <x v="1"/>
    <m/>
    <s v="GLIG-60101/26"/>
    <s v=""/>
    <x v="97"/>
    <s v="Engine Spares - Main Engine"/>
    <m/>
    <x v="0"/>
    <m/>
    <m/>
    <m/>
    <s v="PCTC"/>
    <s v=" #N/A "/>
    <e v="#N/A"/>
    <x v="1"/>
    <x v="0"/>
  </r>
  <r>
    <x v="1"/>
    <m/>
    <s v="GLIG-60046/26-1"/>
    <s v=""/>
    <x v="98"/>
    <s v="Seatab"/>
    <m/>
    <x v="0"/>
    <m/>
    <m/>
    <m/>
    <s v="PCTC"/>
    <n v="3887"/>
    <s v="USD"/>
    <x v="30"/>
    <x v="2"/>
  </r>
  <r>
    <x v="1"/>
    <m/>
    <s v="GLIG-60073/26-1"/>
    <s v="Pre-Delivery"/>
    <x v="99"/>
    <s v="OPA 90 Kit"/>
    <m/>
    <x v="1"/>
    <m/>
    <m/>
    <m/>
    <s v="PCTC"/>
    <n v="3400"/>
    <s v="USD"/>
    <x v="14"/>
    <x v="2"/>
  </r>
  <r>
    <x v="1"/>
    <m/>
    <s v="GLIG-60077/26-1"/>
    <s v=""/>
    <x v="100"/>
    <s v="Crew Welfare"/>
    <m/>
    <x v="6"/>
    <m/>
    <m/>
    <m/>
    <s v="PCTC"/>
    <n v="3075"/>
    <s v="USD"/>
    <x v="15"/>
    <x v="2"/>
  </r>
  <r>
    <x v="1"/>
    <m/>
    <s v="GLIG-60050/26-1"/>
    <s v=""/>
    <x v="101"/>
    <s v="IMPA Stores - Stationery"/>
    <m/>
    <x v="1"/>
    <m/>
    <m/>
    <m/>
    <s v="PCTC"/>
    <n v="2698"/>
    <s v="USD"/>
    <x v="31"/>
    <x v="2"/>
  </r>
  <r>
    <x v="1"/>
    <m/>
    <s v="GLIG-60026/26-2"/>
    <s v=""/>
    <x v="102"/>
    <s v="GVT Electronics"/>
    <m/>
    <x v="0"/>
    <m/>
    <m/>
    <m/>
    <s v="PCTC"/>
    <n v="2431"/>
    <s v="EUR"/>
    <x v="32"/>
    <x v="1"/>
  </r>
  <r>
    <x v="1"/>
    <m/>
    <s v="GLIG-60088/26-1"/>
    <s v=""/>
    <x v="103"/>
    <s v="Gas Meters"/>
    <m/>
    <x v="0"/>
    <m/>
    <m/>
    <m/>
    <s v="PCTC"/>
    <n v="2400"/>
    <s v="EUR"/>
    <x v="33"/>
    <x v="1"/>
  </r>
  <r>
    <x v="1"/>
    <m/>
    <s v="GLIG-60104/26-1"/>
    <s v=""/>
    <x v="104"/>
    <s v="Glycol"/>
    <m/>
    <x v="1"/>
    <m/>
    <m/>
    <m/>
    <s v="PCTC"/>
    <n v="2260"/>
    <s v="USD"/>
    <x v="31"/>
    <x v="2"/>
  </r>
  <r>
    <x v="1"/>
    <m/>
    <s v="GLIG-MVSP-60003/26-1"/>
    <s v=""/>
    <x v="105"/>
    <s v="IT Equipment - Interface / Integration"/>
    <m/>
    <x v="4"/>
    <m/>
    <m/>
    <m/>
    <s v="PCTC"/>
    <n v="1911"/>
    <s v="HKD"/>
    <x v="5"/>
    <x v="1"/>
  </r>
  <r>
    <x v="1"/>
    <m/>
    <s v="GLIG-60072/26-1"/>
    <s v=""/>
    <x v="106"/>
    <s v="Ultrasonic Cleaner"/>
    <m/>
    <x v="1"/>
    <m/>
    <m/>
    <m/>
    <s v="PCTC"/>
    <n v="1890"/>
    <s v="USD"/>
    <x v="14"/>
    <x v="2"/>
  </r>
  <r>
    <x v="1"/>
    <m/>
    <s v="GLIG-60091/26-1"/>
    <s v=""/>
    <x v="107"/>
    <s v="Chemical Tags"/>
    <m/>
    <x v="1"/>
    <m/>
    <m/>
    <m/>
    <s v="PCTC"/>
    <n v="1889"/>
    <s v="USD"/>
    <x v="34"/>
    <x v="2"/>
  </r>
  <r>
    <x v="1"/>
    <m/>
    <s v="GLIG-60074/26-1"/>
    <s v=""/>
    <x v="25"/>
    <s v="High Pressure Washer"/>
    <m/>
    <x v="1"/>
    <m/>
    <m/>
    <m/>
    <s v="PCTC"/>
    <n v="1700"/>
    <s v="USD"/>
    <x v="14"/>
    <x v="2"/>
  </r>
  <r>
    <x v="1"/>
    <m/>
    <s v="GLIG-60093/26-1"/>
    <s v=""/>
    <x v="108"/>
    <s v="VISWA Line Samplers"/>
    <m/>
    <x v="0"/>
    <m/>
    <m/>
    <m/>
    <s v="PCTC"/>
    <n v="1630"/>
    <s v="USD"/>
    <x v="35"/>
    <x v="2"/>
  </r>
  <r>
    <x v="1"/>
    <m/>
    <s v="GLIG-60049/26-1"/>
    <s v=""/>
    <x v="109"/>
    <s v="Thermal Camera (FLIR)"/>
    <m/>
    <x v="1"/>
    <m/>
    <m/>
    <m/>
    <s v="PCTC"/>
    <n v="1590"/>
    <s v="USD"/>
    <x v="14"/>
    <x v="2"/>
  </r>
  <r>
    <x v="1"/>
    <m/>
    <s v="GLIG-60059/26-1"/>
    <s v=""/>
    <x v="110"/>
    <s v="IMPA Stores - Galley"/>
    <m/>
    <x v="1"/>
    <m/>
    <m/>
    <m/>
    <s v="PCTC"/>
    <n v="1518"/>
    <s v="USD"/>
    <x v="26"/>
    <x v="2"/>
  </r>
  <r>
    <x v="1"/>
    <m/>
    <s v="GLIG-60028/26-1"/>
    <s v=""/>
    <x v="8"/>
    <s v="IT Equipment - ITBP Additional Items"/>
    <m/>
    <x v="4"/>
    <m/>
    <m/>
    <m/>
    <s v="PCTC"/>
    <n v="1494"/>
    <s v="USD"/>
    <x v="12"/>
    <x v="2"/>
  </r>
  <r>
    <x v="1"/>
    <m/>
    <s v="GLIG-60108/26-1"/>
    <s v=""/>
    <x v="87"/>
    <m/>
    <m/>
    <x v="1"/>
    <m/>
    <m/>
    <m/>
    <s v="PCTC"/>
    <n v="1460"/>
    <s v="HKD"/>
    <x v="5"/>
    <x v="1"/>
  </r>
  <r>
    <x v="1"/>
    <m/>
    <s v="GLIG-60053/26-1"/>
    <s v=""/>
    <x v="111"/>
    <s v="IMPA Stores - Bridge"/>
    <m/>
    <x v="1"/>
    <m/>
    <m/>
    <m/>
    <s v="PCTC"/>
    <n v="1145"/>
    <s v="USD"/>
    <x v="26"/>
    <x v="2"/>
  </r>
  <r>
    <x v="1"/>
    <m/>
    <s v="GLIG-60023/26-1"/>
    <s v=""/>
    <x v="14"/>
    <s v="IT Equipment - ITBP Cables"/>
    <m/>
    <x v="4"/>
    <m/>
    <m/>
    <m/>
    <s v="PCTC"/>
    <n v="1101"/>
    <s v="USD"/>
    <x v="12"/>
    <x v="2"/>
  </r>
  <r>
    <x v="1"/>
    <m/>
    <s v="GLIG-60057/26-1"/>
    <s v=""/>
    <x v="112"/>
    <s v="IMPA Stores - Company Stationery"/>
    <m/>
    <x v="1"/>
    <m/>
    <m/>
    <m/>
    <s v="PCTC"/>
    <n v="386"/>
    <s v="USD"/>
    <x v="34"/>
    <x v="2"/>
  </r>
  <r>
    <x v="1"/>
    <m/>
    <s v="GLIG-60106/26-1"/>
    <s v=""/>
    <x v="113"/>
    <s v="LOTO Stickers"/>
    <m/>
    <x v="1"/>
    <m/>
    <m/>
    <m/>
    <s v="PCTC"/>
    <n v="386"/>
    <s v="USD"/>
    <x v="36"/>
    <x v="2"/>
  </r>
  <r>
    <x v="1"/>
    <m/>
    <s v="GLIG-60056/26-1"/>
    <s v=""/>
    <x v="114"/>
    <s v="IMPA Stores - Firefighting Equipment"/>
    <m/>
    <x v="1"/>
    <m/>
    <m/>
    <m/>
    <s v="PCTC"/>
    <n v="378"/>
    <s v="USD"/>
    <x v="14"/>
    <x v="2"/>
  </r>
  <r>
    <x v="1"/>
    <m/>
    <s v="GLIG-60105/26-1"/>
    <s v=""/>
    <x v="115"/>
    <s v="Garbage Refrigerator"/>
    <m/>
    <x v="1"/>
    <m/>
    <m/>
    <m/>
    <s v="PCTC"/>
    <n v="330"/>
    <s v="USD"/>
    <x v="14"/>
    <x v="2"/>
  </r>
  <r>
    <x v="1"/>
    <m/>
    <s v="GLIG-MVSP-60007/26-1"/>
    <s v=""/>
    <x v="116"/>
    <m/>
    <m/>
    <x v="1"/>
    <m/>
    <m/>
    <m/>
    <s v="PCTC"/>
    <n v="250"/>
    <s v="USD"/>
    <x v="12"/>
    <x v="2"/>
  </r>
  <r>
    <x v="1"/>
    <m/>
    <s v="GLIG-60029/26-1"/>
    <s v=""/>
    <x v="16"/>
    <s v="IT Equipment - ITBP Lab Kit"/>
    <m/>
    <x v="4"/>
    <m/>
    <m/>
    <m/>
    <s v="PCTC"/>
    <n v="201"/>
    <s v="USD"/>
    <x v="12"/>
    <x v="2"/>
  </r>
  <r>
    <x v="1"/>
    <m/>
    <s v="GLIG-60061/26-1"/>
    <s v=""/>
    <x v="117"/>
    <s v="IMPA Stores - Engine"/>
    <m/>
    <x v="1"/>
    <m/>
    <m/>
    <m/>
    <s v="PCTC"/>
    <s v=" #N/A "/>
    <e v="#N/A"/>
    <x v="1"/>
    <x v="0"/>
  </r>
  <r>
    <x v="1"/>
    <m/>
    <s v=" GLIG-60054/26"/>
    <s v=""/>
    <x v="118"/>
    <s v="IMPA Stores - Gym"/>
    <m/>
    <x v="1"/>
    <m/>
    <m/>
    <m/>
    <s v="PCTC"/>
    <s v=" #N/A "/>
    <e v="#N/A"/>
    <x v="1"/>
    <x v="0"/>
  </r>
  <r>
    <x v="1"/>
    <m/>
    <s v=" GLIG-60052/26"/>
    <s v=""/>
    <x v="119"/>
    <s v="IMPA Stores - Deck"/>
    <m/>
    <x v="1"/>
    <m/>
    <m/>
    <m/>
    <s v="PCTC"/>
    <s v=" #N/A "/>
    <e v="#N/A"/>
    <x v="1"/>
    <x v="0"/>
  </r>
  <r>
    <x v="1"/>
    <m/>
    <s v="GLIG-60064/26"/>
    <s v=""/>
    <x v="120"/>
    <s v="IMPA Stores - Electrical"/>
    <m/>
    <x v="1"/>
    <m/>
    <m/>
    <m/>
    <s v="PCTC"/>
    <s v=" #N/A "/>
    <e v="#N/A"/>
    <x v="1"/>
    <x v="0"/>
  </r>
  <r>
    <x v="1"/>
    <m/>
    <s v="GLIG-60062/26-1"/>
    <s v=""/>
    <x v="76"/>
    <s v="IMPA Stores - Engine"/>
    <m/>
    <x v="1"/>
    <m/>
    <m/>
    <m/>
    <s v="PCTC"/>
    <s v=" #N/A "/>
    <e v="#N/A"/>
    <x v="1"/>
    <x v="0"/>
  </r>
  <r>
    <x v="1"/>
    <m/>
    <s v="GLIG-60055/26-1"/>
    <s v=""/>
    <x v="121"/>
    <s v="IMPA Stores - Crew"/>
    <m/>
    <x v="1"/>
    <m/>
    <m/>
    <m/>
    <s v="PCTC"/>
    <s v=" #N/A "/>
    <e v="#N/A"/>
    <x v="1"/>
    <x v="0"/>
  </r>
  <r>
    <x v="1"/>
    <m/>
    <s v="GLIG-60051/26-1"/>
    <s v=""/>
    <x v="122"/>
    <s v="IMPA Stores - SOPEP"/>
    <m/>
    <x v="1"/>
    <m/>
    <m/>
    <m/>
    <s v="PCTC"/>
    <s v=" #N/A "/>
    <e v="#N/A"/>
    <x v="1"/>
    <x v="0"/>
  </r>
  <r>
    <x v="1"/>
    <m/>
    <m/>
    <s v=""/>
    <x v="123"/>
    <s v="IMPA Stores - General"/>
    <m/>
    <x v="1"/>
    <m/>
    <m/>
    <m/>
    <s v="PCTC"/>
    <s v=" #N/A "/>
    <e v="#N/A"/>
    <x v="1"/>
    <x v="0"/>
  </r>
  <r>
    <x v="1"/>
    <m/>
    <s v="GLIG-60109/26-1"/>
    <s v=""/>
    <x v="124"/>
    <s v="Explosion Proof Camera"/>
    <m/>
    <x v="1"/>
    <m/>
    <m/>
    <m/>
    <s v="PCTC"/>
    <s v=" #N/A "/>
    <e v="#N/A"/>
    <x v="1"/>
    <x v="0"/>
  </r>
  <r>
    <x v="1"/>
    <m/>
    <m/>
    <s v=""/>
    <x v="125"/>
    <s v="Crew Welfare - Refrigerators"/>
    <m/>
    <x v="1"/>
    <m/>
    <m/>
    <m/>
    <s v="PCTC"/>
    <s v=" #N/A "/>
    <e v="#N/A"/>
    <x v="1"/>
    <x v="0"/>
  </r>
  <r>
    <x v="1"/>
    <m/>
    <m/>
    <s v=""/>
    <x v="126"/>
    <s v="Ozone Steriliser"/>
    <m/>
    <x v="1"/>
    <m/>
    <m/>
    <m/>
    <s v="PCTC"/>
    <s v=" #N/A "/>
    <e v="#N/A"/>
    <x v="1"/>
    <x v="0"/>
  </r>
  <r>
    <x v="1"/>
    <m/>
    <m/>
    <s v=""/>
    <x v="127"/>
    <s v="Suez Light"/>
    <m/>
    <x v="1"/>
    <m/>
    <m/>
    <m/>
    <s v="PCTC"/>
    <s v=" #N/A "/>
    <e v="#N/A"/>
    <x v="1"/>
    <x v="0"/>
  </r>
  <r>
    <x v="1"/>
    <m/>
    <m/>
    <s v=""/>
    <x v="128"/>
    <s v="Chain Blocks"/>
    <m/>
    <x v="1"/>
    <m/>
    <m/>
    <m/>
    <s v="PCTC"/>
    <s v=" #N/A "/>
    <e v="#N/A"/>
    <x v="1"/>
    <x v="0"/>
  </r>
  <r>
    <x v="1"/>
    <m/>
    <m/>
    <s v=""/>
    <x v="129"/>
    <s v="Welding Equipment"/>
    <m/>
    <x v="1"/>
    <m/>
    <m/>
    <m/>
    <s v="PCTC"/>
    <s v=" #N/A "/>
    <e v="#N/A"/>
    <x v="1"/>
    <x v="0"/>
  </r>
  <r>
    <x v="1"/>
    <m/>
    <s v="GLIG-60114/26-1"/>
    <s v=""/>
    <x v="130"/>
    <s v="Service Car"/>
    <m/>
    <x v="1"/>
    <m/>
    <m/>
    <m/>
    <s v="PCTC"/>
    <s v=" #N/A "/>
    <e v="#N/A"/>
    <x v="1"/>
    <x v="0"/>
  </r>
  <r>
    <x v="1"/>
    <m/>
    <s v="GLIG-60113/26"/>
    <s v=""/>
    <x v="131"/>
    <s v="Forklift"/>
    <m/>
    <x v="1"/>
    <m/>
    <m/>
    <m/>
    <s v="PCTC"/>
    <s v=" #N/A "/>
    <e v="#N/A"/>
    <x v="1"/>
    <x v="0"/>
  </r>
  <r>
    <x v="1"/>
    <m/>
    <m/>
    <s v=""/>
    <x v="132"/>
    <s v="Alcometer"/>
    <m/>
    <x v="1"/>
    <m/>
    <m/>
    <m/>
    <s v="PCTC"/>
    <s v=" #N/A "/>
    <e v="#N/A"/>
    <x v="1"/>
    <x v="0"/>
  </r>
  <r>
    <x v="1"/>
    <m/>
    <m/>
    <s v=""/>
    <x v="133"/>
    <s v="Laser Distance Measurer"/>
    <m/>
    <x v="1"/>
    <m/>
    <m/>
    <m/>
    <s v="PCTC"/>
    <s v=" #N/A "/>
    <e v="#N/A"/>
    <x v="1"/>
    <x v="0"/>
  </r>
  <r>
    <x v="1"/>
    <m/>
    <m/>
    <s v=""/>
    <x v="134"/>
    <s v="Stanchions"/>
    <m/>
    <x v="1"/>
    <m/>
    <m/>
    <m/>
    <s v="PCTC"/>
    <s v=" #N/A "/>
    <e v="#N/A"/>
    <x v="1"/>
    <x v="0"/>
  </r>
  <r>
    <x v="1"/>
    <m/>
    <m/>
    <s v=""/>
    <x v="135"/>
    <s v="Deck Sweeper"/>
    <m/>
    <x v="1"/>
    <m/>
    <m/>
    <m/>
    <s v="PCTC"/>
    <s v=" #N/A "/>
    <e v="#N/A"/>
    <x v="1"/>
    <x v="0"/>
  </r>
  <r>
    <x v="1"/>
    <m/>
    <m/>
    <s v=""/>
    <x v="136"/>
    <s v="Provisions &amp; Bonded Stores"/>
    <m/>
    <x v="1"/>
    <m/>
    <m/>
    <m/>
    <s v="PCTC"/>
    <s v=" #N/A "/>
    <e v="#N/A"/>
    <x v="1"/>
    <x v="0"/>
  </r>
  <r>
    <x v="1"/>
    <m/>
    <s v="GLIG-60110/26"/>
    <s v=""/>
    <x v="137"/>
    <s v="Medicines"/>
    <m/>
    <x v="1"/>
    <m/>
    <m/>
    <m/>
    <s v="PCTC"/>
    <s v=" #N/A "/>
    <e v="#N/A"/>
    <x v="1"/>
    <x v="0"/>
  </r>
  <r>
    <x v="1"/>
    <m/>
    <s v="GLIG-60110/26"/>
    <s v=""/>
    <x v="138"/>
    <s v="Medical Equipment (Medox)"/>
    <m/>
    <x v="1"/>
    <m/>
    <m/>
    <m/>
    <s v="PCTC"/>
    <s v=" #N/A "/>
    <e v="#N/A"/>
    <x v="1"/>
    <x v="0"/>
  </r>
  <r>
    <x v="1"/>
    <m/>
    <m/>
    <s v=""/>
    <x v="139"/>
    <s v="Soot Treatment"/>
    <m/>
    <x v="1"/>
    <m/>
    <m/>
    <m/>
    <s v="PCTC"/>
    <s v=" #N/A "/>
    <e v="#N/A"/>
    <x v="1"/>
    <x v="0"/>
  </r>
  <r>
    <x v="1"/>
    <m/>
    <m/>
    <s v=""/>
    <x v="140"/>
    <s v="NaOH (Sodium Hydroxide)"/>
    <m/>
    <x v="1"/>
    <m/>
    <m/>
    <m/>
    <s v="PCTC"/>
    <s v=" #N/A "/>
    <e v="#N/A"/>
    <x v="1"/>
    <x v="0"/>
  </r>
  <r>
    <x v="1"/>
    <m/>
    <s v="GLIG-60111/26-1"/>
    <s v=""/>
    <x v="141"/>
    <s v="Rubber Matting"/>
    <m/>
    <x v="1"/>
    <m/>
    <m/>
    <m/>
    <s v="PCTC"/>
    <s v=" #N/A "/>
    <e v="#N/A"/>
    <x v="1"/>
    <x v="0"/>
  </r>
  <r>
    <x v="1"/>
    <m/>
    <s v="GLIG-60112/26-1"/>
    <s v=""/>
    <x v="142"/>
    <s v="Nitrogen Hose"/>
    <m/>
    <x v="1"/>
    <m/>
    <m/>
    <m/>
    <s v="PCTC"/>
    <s v=" #N/A "/>
    <e v="#N/A"/>
    <x v="1"/>
    <x v="0"/>
  </r>
  <r>
    <x v="1"/>
    <m/>
    <s v="GLIG-60013/26-1"/>
    <s v=""/>
    <x v="143"/>
    <s v="Communications - VLINK Accessories"/>
    <m/>
    <x v="4"/>
    <m/>
    <m/>
    <m/>
    <s v="PCTC"/>
    <n v="168"/>
    <s v="USD"/>
    <x v="14"/>
    <x v="2"/>
  </r>
  <r>
    <x v="1"/>
    <m/>
    <s v="GLIG-60107/26-1"/>
    <s v=""/>
    <x v="87"/>
    <s v="Soot Treatment"/>
    <m/>
    <x v="1"/>
    <m/>
    <m/>
    <m/>
    <s v="PCTC"/>
    <n v="120"/>
    <s v="USD"/>
    <x v="34"/>
    <x v="2"/>
  </r>
  <r>
    <x v="1"/>
    <m/>
    <s v="GLIG-60027/26-1"/>
    <s v=""/>
    <x v="144"/>
    <s v="PPE"/>
    <m/>
    <x v="4"/>
    <m/>
    <m/>
    <m/>
    <s v="PCTC"/>
    <n v="63"/>
    <s v="USD"/>
    <x v="14"/>
    <x v="2"/>
  </r>
  <r>
    <x v="1"/>
    <m/>
    <m/>
    <s v=""/>
    <x v="145"/>
    <s v="Navigation - Positioning System"/>
    <m/>
    <x v="1"/>
    <m/>
    <m/>
    <m/>
    <s v="PCTC"/>
    <s v=" #N/A "/>
    <e v="#N/A"/>
    <x v="1"/>
    <x v="0"/>
  </r>
  <r>
    <x v="1"/>
    <m/>
    <s v="LIST-GLIG-60120/26 "/>
    <s v=""/>
    <x v="146"/>
    <s v="Immersion Suits"/>
    <m/>
    <x v="1"/>
    <m/>
    <m/>
    <m/>
    <s v="PCTC"/>
    <s v=" #N/A "/>
    <e v="#N/A"/>
    <x v="1"/>
    <x v="0"/>
  </r>
  <r>
    <x v="1"/>
    <m/>
    <m/>
    <s v=""/>
    <x v="147"/>
    <s v="Firemans Outfit"/>
    <m/>
    <x v="1"/>
    <m/>
    <m/>
    <m/>
    <s v="PCTC"/>
    <s v=" #N/A "/>
    <e v="#N/A"/>
    <x v="1"/>
    <x v="0"/>
  </r>
  <r>
    <x v="1"/>
    <m/>
    <m/>
    <s v=""/>
    <x v="148"/>
    <s v="Iron Test Kit"/>
    <m/>
    <x v="1"/>
    <m/>
    <m/>
    <m/>
    <s v="PCTC"/>
    <s v=" #N/A "/>
    <e v="#N/A"/>
    <x v="1"/>
    <x v="0"/>
  </r>
  <r>
    <x v="1"/>
    <m/>
    <m/>
    <s v=""/>
    <x v="149"/>
    <s v="Oil Test Kit"/>
    <m/>
    <x v="1"/>
    <m/>
    <m/>
    <m/>
    <s v="PCTC"/>
    <s v=" #N/A "/>
    <e v="#N/A"/>
    <x v="1"/>
    <x v="0"/>
  </r>
  <r>
    <x v="1"/>
    <m/>
    <m/>
    <s v=""/>
    <x v="150"/>
    <s v="BWTS Spares"/>
    <m/>
    <x v="1"/>
    <m/>
    <m/>
    <m/>
    <s v="PCTC"/>
    <s v=" #N/A "/>
    <e v="#N/A"/>
    <x v="1"/>
    <x v="0"/>
  </r>
  <r>
    <x v="1"/>
    <m/>
    <m/>
    <s v=""/>
    <x v="151"/>
    <s v="Gas Detection System"/>
    <m/>
    <x v="1"/>
    <m/>
    <m/>
    <m/>
    <s v="PCTC"/>
    <s v=" #N/A "/>
    <e v="#N/A"/>
    <x v="1"/>
    <x v="0"/>
  </r>
  <r>
    <x v="2"/>
    <m/>
    <m/>
    <s v=""/>
    <x v="152"/>
    <s v="IT Equipment - ITBP Lab Kit"/>
    <m/>
    <x v="4"/>
    <m/>
    <m/>
    <m/>
    <s v="PCTC"/>
    <s v="#N/A "/>
    <s v="#N/A "/>
    <x v="0"/>
    <x v="0"/>
  </r>
  <r>
    <x v="3"/>
    <m/>
    <s v="GLAN-60031/26-1"/>
    <s v=""/>
    <x v="6"/>
    <s v="Communications - VLINK"/>
    <m/>
    <x v="0"/>
    <s v="Pending Delivery"/>
    <d v="2026-03-06T00:00:00"/>
    <m/>
    <s v="PCTC"/>
    <s v="#N/A "/>
    <s v="#N/A "/>
    <x v="0"/>
    <x v="0"/>
  </r>
  <r>
    <x v="3"/>
    <m/>
    <s v="GLAN-60024/26-1"/>
    <s v=""/>
    <x v="16"/>
    <s v="Navigation - HiNAS SVM"/>
    <m/>
    <x v="4"/>
    <s v="Pending Delivery"/>
    <d v="2026-02-24T00:00:00"/>
    <m/>
    <s v="PCTC"/>
    <s v="#N/A "/>
    <s v="#N/A "/>
    <x v="0"/>
    <x v="0"/>
  </r>
  <r>
    <x v="3"/>
    <m/>
    <s v="GLAN-60004/26-1"/>
    <s v=""/>
    <x v="153"/>
    <s v="Garbage Compactor"/>
    <m/>
    <x v="4"/>
    <s v="Pending Delivery"/>
    <d v="2026-01-19T00:00:00"/>
    <m/>
    <s v="PCTC"/>
    <s v="#N/A "/>
    <s v="#N/A "/>
    <x v="0"/>
    <x v="0"/>
  </r>
  <r>
    <x v="3"/>
    <m/>
    <s v="GLAN-60022/26-1"/>
    <s v=""/>
    <x v="154"/>
    <s v="IT Equipment - X10 System"/>
    <m/>
    <x v="0"/>
    <s v="Pending Delivery"/>
    <d v="2026-02-17T00:00:00"/>
    <m/>
    <s v="PCTC"/>
    <s v="#N/A "/>
    <s v="#N/A "/>
    <x v="0"/>
    <x v="0"/>
  </r>
  <r>
    <x v="3"/>
    <m/>
    <s v="GLAN-60017/26-1"/>
    <s v="Pre-Delivery"/>
    <x v="20"/>
    <s v="IT Equipment - Interface / Integration"/>
    <m/>
    <x v="0"/>
    <s v="Delivered"/>
    <d v="2026-02-06T00:00:00"/>
    <m/>
    <s v="PCTC"/>
    <s v="#N/A "/>
    <s v="#N/A "/>
    <x v="0"/>
    <x v="0"/>
  </r>
  <r>
    <x v="3"/>
    <m/>
    <s v="GLAN-60007/26-1"/>
    <s v=""/>
    <x v="155"/>
    <s v="Lubricants"/>
    <m/>
    <x v="4"/>
    <s v="Pending Delivery"/>
    <d v="2026-01-21T00:00:00"/>
    <m/>
    <s v="PCTC"/>
    <s v="#N/A "/>
    <s v="#N/A "/>
    <x v="0"/>
    <x v="0"/>
  </r>
  <r>
    <x v="3"/>
    <m/>
    <s v="GLAN-60002/26-1"/>
    <s v=""/>
    <x v="156"/>
    <s v="Lubricants"/>
    <m/>
    <x v="4"/>
    <s v="Pending Delivery"/>
    <d v="2026-01-14T00:00:00"/>
    <m/>
    <s v="PCTC"/>
    <s v="#N/A "/>
    <s v="#N/A "/>
    <x v="0"/>
    <x v="0"/>
  </r>
  <r>
    <x v="3"/>
    <m/>
    <s v="GLAN-60012/26-1"/>
    <s v="Pre-Delivery"/>
    <x v="157"/>
    <s v="Fire Detection System"/>
    <m/>
    <x v="3"/>
    <s v="Pending Delivery"/>
    <d v="2026-01-23T00:00:00"/>
    <m/>
    <s v="PCTC"/>
    <s v="#N/A "/>
    <s v="#N/A "/>
    <x v="0"/>
    <x v="0"/>
  </r>
  <r>
    <x v="3"/>
    <m/>
    <s v="GLAN-60026/26-1"/>
    <s v="Pre-Delivery"/>
    <x v="158"/>
    <s v="IT Equipment - ITBP Additional Items"/>
    <m/>
    <x v="3"/>
    <s v="Delivered"/>
    <d v="2026-03-02T00:00:00"/>
    <m/>
    <s v="PCTC"/>
    <s v="#N/A "/>
    <s v="#N/A "/>
    <x v="0"/>
    <x v="0"/>
  </r>
  <r>
    <x v="3"/>
    <m/>
    <s v="GLAN-60032/26-1"/>
    <s v=""/>
    <x v="11"/>
    <s v="LNG Bunkering Equipment"/>
    <m/>
    <x v="0"/>
    <s v="Pending Delivery"/>
    <d v="2026-03-06T00:00:00"/>
    <m/>
    <s v="PCTC"/>
    <s v="#N/A "/>
    <s v="#N/A "/>
    <x v="0"/>
    <x v="0"/>
  </r>
  <r>
    <x v="3"/>
    <m/>
    <s v="GLAN-60023/26-1"/>
    <s v=""/>
    <x v="8"/>
    <s v="Navigation - Captains Eye"/>
    <m/>
    <x v="4"/>
    <s v="Pending Delivery"/>
    <d v="2026-02-19T00:00:00"/>
    <m/>
    <s v="PCTC"/>
    <s v="#N/A "/>
    <s v="#N/A "/>
    <x v="0"/>
    <x v="0"/>
  </r>
  <r>
    <x v="3"/>
    <m/>
    <s v="GLAN-60033/26-1"/>
    <s v="Pre-Delivery"/>
    <x v="18"/>
    <s v="IT Equipment - Sihui Marine"/>
    <m/>
    <x v="0"/>
    <s v="Pending Delivery"/>
    <d v="2026-03-19T00:00:00"/>
    <m/>
    <s v="PCTC"/>
    <s v="#N/A "/>
    <s v="#N/A "/>
    <x v="0"/>
    <x v="0"/>
  </r>
  <r>
    <x v="3"/>
    <m/>
    <s v="GLAN-60001/26-1"/>
    <s v=""/>
    <x v="10"/>
    <s v="Lubricants"/>
    <m/>
    <x v="0"/>
    <s v="Pending Delivery"/>
    <d v="2026-01-15T00:00:00"/>
    <m/>
    <s v="PCTC"/>
    <s v="#N/A "/>
    <s v="#N/A "/>
    <x v="0"/>
    <x v="0"/>
  </r>
  <r>
    <x v="3"/>
    <m/>
    <s v="GLAN-60010/26-1"/>
    <s v=""/>
    <x v="159"/>
    <s v="Tripods &amp; Spray Pipes"/>
    <m/>
    <x v="4"/>
    <s v="Pending Delivery"/>
    <d v="2026-01-26T00:00:00"/>
    <m/>
    <s v="PCTC"/>
    <s v="#N/A "/>
    <s v="#N/A "/>
    <x v="0"/>
    <x v="0"/>
  </r>
  <r>
    <x v="3"/>
    <m/>
    <s v="GLAN-60025/26-1"/>
    <s v="Pre-Delivery"/>
    <x v="160"/>
    <s v="Lubricants"/>
    <m/>
    <x v="3"/>
    <s v="Delivered"/>
    <d v="2026-03-02T00:00:00"/>
    <m/>
    <s v="PCTC"/>
    <s v="#N/A "/>
    <s v="#N/A "/>
    <x v="0"/>
    <x v="0"/>
  </r>
  <r>
    <x v="3"/>
    <m/>
    <s v="GLAN-60019/26-1"/>
    <s v="Pre-Delivery"/>
    <x v="161"/>
    <s v="Tripods &amp; Spray Pipes"/>
    <m/>
    <x v="0"/>
    <s v="Delivered"/>
    <d v="2026-02-06T00:00:00"/>
    <m/>
    <s v="PCTC"/>
    <s v="#N/A "/>
    <s v="#N/A "/>
    <x v="0"/>
    <x v="0"/>
  </r>
  <r>
    <x v="3"/>
    <m/>
    <s v="GLAN-60003/26-1"/>
    <s v="Pre-Delivery"/>
    <x v="162"/>
    <s v="IT Equipment - Computers (Lenovo)"/>
    <m/>
    <x v="3"/>
    <s v="Delivered"/>
    <d v="2026-01-15T00:00:00"/>
    <m/>
    <s v="PCTC"/>
    <s v="#N/A "/>
    <s v="#N/A "/>
    <x v="0"/>
    <x v="0"/>
  </r>
  <r>
    <x v="3"/>
    <m/>
    <s v="GLAN-60011/26-1"/>
    <s v="Pre-Delivery"/>
    <x v="161"/>
    <s v="IT Equipment - ITBP"/>
    <m/>
    <x v="3"/>
    <s v="Delivered"/>
    <d v="2026-02-01T00:00:00"/>
    <m/>
    <s v="PCTC"/>
    <s v="#N/A "/>
    <s v="#N/A "/>
    <x v="0"/>
    <x v="0"/>
  </r>
  <r>
    <x v="3"/>
    <m/>
    <s v="GLAN-60020/26-1"/>
    <s v=""/>
    <x v="163"/>
    <s v="IT Equipment - Computers (Lenovo)"/>
    <m/>
    <x v="4"/>
    <s v="Pending Delivery"/>
    <d v="2026-02-10T00:00:00"/>
    <m/>
    <s v="PCTC"/>
    <s v="#N/A "/>
    <s v="#N/A "/>
    <x v="0"/>
    <x v="0"/>
  </r>
  <r>
    <x v="3"/>
    <m/>
    <s v="GLAN-60006/26-1"/>
    <s v=""/>
    <x v="164"/>
    <s v="Communications - VSAT (KVH)"/>
    <m/>
    <x v="4"/>
    <s v="Pending Delivery"/>
    <d v="2026-01-21T00:00:00"/>
    <m/>
    <s v="PCTC"/>
    <s v="#N/A "/>
    <s v="#N/A "/>
    <x v="0"/>
    <x v="0"/>
  </r>
  <r>
    <x v="3"/>
    <m/>
    <s v="GLAN-60034/26-1"/>
    <s v="Pre-Delivery"/>
    <x v="165"/>
    <s v="Lubricants"/>
    <m/>
    <x v="0"/>
    <s v="Pending Delivery"/>
    <d v="2026-03-06T00:00:00"/>
    <m/>
    <s v="PCTC"/>
    <s v="#N/A "/>
    <s v="#N/A "/>
    <x v="0"/>
    <x v="0"/>
  </r>
  <r>
    <x v="3"/>
    <m/>
    <s v="GLAN-60015/26-1"/>
    <s v=""/>
    <x v="166"/>
    <s v="Communications - VLINK Accessories"/>
    <m/>
    <x v="4"/>
    <s v="Pending Delivery"/>
    <d v="2026-01-23T00:00:00"/>
    <m/>
    <s v="PCTC"/>
    <s v="#N/A "/>
    <s v="#N/A "/>
    <x v="0"/>
    <x v="0"/>
  </r>
  <r>
    <x v="3"/>
    <m/>
    <s v="GLAN-60030/26-1"/>
    <s v="Pre-Delivery"/>
    <x v="0"/>
    <s v="IT Equipment - AST"/>
    <m/>
    <x v="0"/>
    <s v="Pending Delivery"/>
    <m/>
    <m/>
    <s v="PCTC"/>
    <s v="#N/A "/>
    <s v="#N/A "/>
    <x v="0"/>
    <x v="0"/>
  </r>
  <r>
    <x v="3"/>
    <m/>
    <s v="GLAN-60005/26-1"/>
    <s v=""/>
    <x v="143"/>
    <s v="IT Equipment - AST"/>
    <m/>
    <x v="4"/>
    <s v="Pending Delivery"/>
    <d v="2026-01-21T00:00:00"/>
    <m/>
    <s v="PCTC"/>
    <s v="#N/A "/>
    <s v="#N/A "/>
    <x v="0"/>
    <x v="0"/>
  </r>
  <r>
    <x v="3"/>
    <m/>
    <s v="GLAN-60008/26"/>
    <s v=""/>
    <x v="167"/>
    <s v="IT Equipment - Interface / Integration"/>
    <m/>
    <x v="4"/>
    <s v="Pending Delivery"/>
    <d v="2026-01-20T00:00:00"/>
    <m/>
    <s v="PCTC"/>
    <s v="#N/A "/>
    <s v="#N/A "/>
    <x v="0"/>
    <x v="0"/>
  </r>
  <r>
    <x v="3"/>
    <m/>
    <s v="GLAN-60009/26-1"/>
    <s v=""/>
    <x v="167"/>
    <s v="IT Equipment - ITBP Additional Items"/>
    <m/>
    <x v="4"/>
    <s v="Pending Delivery"/>
    <d v="2026-01-21T00:00:00"/>
    <m/>
    <s v="PCTC"/>
    <s v="#N/A "/>
    <s v="#N/A "/>
    <x v="0"/>
    <x v="0"/>
  </r>
  <r>
    <x v="3"/>
    <m/>
    <s v="GLAN-60016/26-1"/>
    <s v=""/>
    <x v="168"/>
    <s v="Oil Skimmers - Abanaki"/>
    <m/>
    <x v="4"/>
    <s v="Pending Delivery"/>
    <d v="2026-01-29T00:00:00"/>
    <m/>
    <s v="PCTC"/>
    <s v="#N/A "/>
    <s v="#N/A "/>
    <x v="0"/>
    <x v="0"/>
  </r>
  <r>
    <x v="3"/>
    <m/>
    <s v="GLAN-60028/26"/>
    <s v=""/>
    <x v="22"/>
    <s v="Lubricants"/>
    <m/>
    <x v="0"/>
    <s v="Pending Approval"/>
    <d v="2026-02-25T00:00:00"/>
    <m/>
    <s v="PCTC"/>
    <s v="#N/A "/>
    <s v="#N/A "/>
    <x v="0"/>
    <x v="0"/>
  </r>
  <r>
    <x v="3"/>
    <m/>
    <s v="GLAN-60018/26-1"/>
    <s v=""/>
    <x v="69"/>
    <s v="IT Equipment - ITBP Cables"/>
    <m/>
    <x v="0"/>
    <s v="Pending Delivery"/>
    <d v="2026-02-12T00:00:00"/>
    <m/>
    <s v="PCTC"/>
    <s v="#N/A "/>
    <s v="#N/A "/>
    <x v="0"/>
    <x v="0"/>
  </r>
  <r>
    <x v="3"/>
    <m/>
    <s v="GLAN-60001/25-2"/>
    <s v="Pre-Delivery"/>
    <x v="43"/>
    <s v="GVT Electronics"/>
    <m/>
    <x v="3"/>
    <s v="Pending Delivery"/>
    <d v="2025-11-25T00:00:00"/>
    <m/>
    <s v="PCTC"/>
    <s v="#N/A "/>
    <s v="#N/A "/>
    <x v="0"/>
    <x v="0"/>
  </r>
  <r>
    <x v="3"/>
    <m/>
    <s v="GLAN-60021/26-1"/>
    <s v=""/>
    <x v="14"/>
    <s v="Citadel VHF/GPS/UHF System"/>
    <m/>
    <x v="4"/>
    <s v="Pending Delivery"/>
    <d v="2026-02-10T00:00:00"/>
    <m/>
    <s v="PCTC"/>
    <s v="#N/A "/>
    <s v="#N/A "/>
    <x v="0"/>
    <x v="0"/>
  </r>
  <r>
    <x v="3"/>
    <m/>
    <m/>
    <s v=""/>
    <x v="169"/>
    <s v="Boiler Spares"/>
    <m/>
    <x v="0"/>
    <m/>
    <m/>
    <m/>
    <s v="PCTC"/>
    <s v="#N/A "/>
    <s v="#N/A "/>
    <x v="0"/>
    <x v="0"/>
  </r>
  <r>
    <x v="3"/>
    <m/>
    <m/>
    <s v=""/>
    <x v="88"/>
    <s v="RO-RO Equipment - Loose Fittings"/>
    <m/>
    <x v="0"/>
    <m/>
    <m/>
    <m/>
    <s v="PCTC"/>
    <s v="#N/A "/>
    <s v="#N/A "/>
    <x v="0"/>
    <x v="0"/>
  </r>
  <r>
    <x v="3"/>
    <m/>
    <m/>
    <s v=""/>
    <x v="22"/>
    <s v="Safety Integration - SMiG"/>
    <m/>
    <x v="0"/>
    <m/>
    <m/>
    <m/>
    <s v="PCTC"/>
    <s v="#N/A "/>
    <s v="#N/A "/>
    <x v="0"/>
    <x v="0"/>
  </r>
  <r>
    <x v="3"/>
    <m/>
    <m/>
    <s v=""/>
    <x v="170"/>
    <s v="IMPA Stores - Stationery"/>
    <m/>
    <x v="0"/>
    <m/>
    <m/>
    <m/>
    <s v="PCTC"/>
    <s v="#N/A "/>
    <s v="#N/A "/>
    <x v="0"/>
    <x v="0"/>
  </r>
  <r>
    <x v="3"/>
    <m/>
    <m/>
    <s v=""/>
    <x v="171"/>
    <s v="IMPA Stores - SOPEP"/>
    <m/>
    <x v="0"/>
    <m/>
    <m/>
    <m/>
    <s v="PCTC"/>
    <s v="#N/A "/>
    <s v="#N/A "/>
    <x v="0"/>
    <x v="0"/>
  </r>
  <r>
    <x v="3"/>
    <m/>
    <s v="GLAN-60041/26"/>
    <s v=""/>
    <x v="101"/>
    <s v="IMPA Stores - Deck"/>
    <m/>
    <x v="1"/>
    <m/>
    <m/>
    <m/>
    <s v="PCTC"/>
    <s v="#N/A "/>
    <s v="#N/A "/>
    <x v="0"/>
    <x v="0"/>
  </r>
  <r>
    <x v="3"/>
    <m/>
    <s v="GLAN-60042/26"/>
    <s v=""/>
    <x v="122"/>
    <s v="IMPA Stores - Bridge"/>
    <m/>
    <x v="1"/>
    <m/>
    <m/>
    <m/>
    <s v="PCTC"/>
    <s v="#N/A "/>
    <s v="#N/A "/>
    <x v="0"/>
    <x v="0"/>
  </r>
  <r>
    <x v="3"/>
    <m/>
    <s v="GLAN-60043/26"/>
    <s v=""/>
    <x v="119"/>
    <s v="IMPA Stores - Gym"/>
    <m/>
    <x v="1"/>
    <m/>
    <m/>
    <m/>
    <s v="PCTC"/>
    <s v="#N/A "/>
    <s v="#N/A "/>
    <x v="0"/>
    <x v="0"/>
  </r>
  <r>
    <x v="3"/>
    <m/>
    <s v="GLAN-60044/26"/>
    <s v=""/>
    <x v="111"/>
    <s v="IMPA Stores - Crew"/>
    <m/>
    <x v="1"/>
    <m/>
    <m/>
    <m/>
    <s v="PCTC"/>
    <s v="#N/A "/>
    <s v="#N/A "/>
    <x v="0"/>
    <x v="0"/>
  </r>
  <r>
    <x v="3"/>
    <m/>
    <s v="GLAN-60045/26"/>
    <s v=""/>
    <x v="118"/>
    <s v="IMPA Stores - Firefighting Equipment"/>
    <m/>
    <x v="1"/>
    <m/>
    <m/>
    <m/>
    <s v="PCTC"/>
    <s v="#N/A "/>
    <s v="#N/A "/>
    <x v="0"/>
    <x v="0"/>
  </r>
  <r>
    <x v="3"/>
    <m/>
    <s v="GLAN-60046/26"/>
    <s v=""/>
    <x v="121"/>
    <s v="IMPA Stores - Company Stationery"/>
    <m/>
    <x v="1"/>
    <m/>
    <m/>
    <m/>
    <s v="PCTC"/>
    <s v="#N/A "/>
    <s v="#N/A "/>
    <x v="0"/>
    <x v="0"/>
  </r>
  <r>
    <x v="3"/>
    <m/>
    <s v="GLAN-60047/26"/>
    <s v=""/>
    <x v="114"/>
    <s v="IMPA Stores - BA Compressor"/>
    <m/>
    <x v="1"/>
    <m/>
    <m/>
    <m/>
    <s v="PCTC"/>
    <s v="#N/A "/>
    <s v="#N/A "/>
    <x v="0"/>
    <x v="0"/>
  </r>
  <r>
    <x v="3"/>
    <m/>
    <s v="GLAN-60048/26"/>
    <s v=""/>
    <x v="112"/>
    <s v="IMPA Stores - Accommodation"/>
    <m/>
    <x v="1"/>
    <m/>
    <m/>
    <m/>
    <s v="PCTC"/>
    <s v="#N/A "/>
    <s v="#N/A "/>
    <x v="0"/>
    <x v="0"/>
  </r>
  <r>
    <x v="3"/>
    <m/>
    <m/>
    <s v=""/>
    <x v="74"/>
    <s v="IMPA Stores - Galley"/>
    <m/>
    <x v="1"/>
    <m/>
    <m/>
    <m/>
    <s v="PCTC"/>
    <s v="#N/A "/>
    <s v="#N/A "/>
    <x v="0"/>
    <x v="0"/>
  </r>
  <r>
    <x v="3"/>
    <m/>
    <s v="GLAN-60049/26"/>
    <s v=""/>
    <x v="83"/>
    <s v="IMPA Stores - Engine"/>
    <m/>
    <x v="1"/>
    <m/>
    <m/>
    <m/>
    <s v="PCTC"/>
    <s v="#N/A "/>
    <s v="#N/A "/>
    <x v="0"/>
    <x v="0"/>
  </r>
  <r>
    <x v="3"/>
    <m/>
    <s v="GLAN-60050/26"/>
    <s v=""/>
    <x v="110"/>
    <s v="IMPA Stores - Engine"/>
    <m/>
    <x v="1"/>
    <m/>
    <m/>
    <m/>
    <s v="PCTC"/>
    <s v="#N/A "/>
    <s v="#N/A "/>
    <x v="0"/>
    <x v="0"/>
  </r>
  <r>
    <x v="3"/>
    <m/>
    <s v="GLAN-60052/26"/>
    <s v=""/>
    <x v="76"/>
    <s v="IMPA Stores - Engine"/>
    <m/>
    <x v="1"/>
    <m/>
    <m/>
    <m/>
    <s v="PCTC"/>
    <s v="#N/A "/>
    <s v="#N/A "/>
    <x v="0"/>
    <x v="0"/>
  </r>
  <r>
    <x v="3"/>
    <m/>
    <s v="GLAN-60051/26"/>
    <s v=""/>
    <x v="76"/>
    <s v="IMPA Stores - Engine"/>
    <m/>
    <x v="1"/>
    <m/>
    <m/>
    <m/>
    <s v="PCTC"/>
    <s v="#N/A "/>
    <s v="#N/A "/>
    <x v="0"/>
    <x v="0"/>
  </r>
  <r>
    <x v="3"/>
    <m/>
    <s v="GLAN-60053/26"/>
    <s v=""/>
    <x v="76"/>
    <s v="IMPA Stores - Electrical"/>
    <m/>
    <x v="1"/>
    <m/>
    <m/>
    <m/>
    <s v="PCTC"/>
    <s v="#N/A "/>
    <s v="#N/A "/>
    <x v="0"/>
    <x v="0"/>
  </r>
  <r>
    <x v="3"/>
    <m/>
    <s v="GLAN-60054/26"/>
    <s v=""/>
    <x v="76"/>
    <s v="IMPA Stores - General"/>
    <m/>
    <x v="1"/>
    <m/>
    <m/>
    <m/>
    <s v="PCTC"/>
    <s v="#N/A "/>
    <s v="#N/A "/>
    <x v="0"/>
    <x v="0"/>
  </r>
  <r>
    <x v="3"/>
    <m/>
    <s v="GLAN-60055/26"/>
    <s v=""/>
    <x v="120"/>
    <s v="Ultrasonic Cleaner"/>
    <m/>
    <x v="1"/>
    <m/>
    <m/>
    <m/>
    <s v="PCTC"/>
    <s v="#N/A "/>
    <s v="#N/A "/>
    <x v="0"/>
    <x v="0"/>
  </r>
  <r>
    <x v="3"/>
    <m/>
    <m/>
    <s v=""/>
    <x v="123"/>
    <s v="OPA 90 Kit"/>
    <m/>
    <x v="1"/>
    <m/>
    <m/>
    <m/>
    <s v="PCTC"/>
    <s v="#N/A "/>
    <s v="#N/A "/>
    <x v="0"/>
    <x v="0"/>
  </r>
  <r>
    <x v="3"/>
    <m/>
    <s v="GLAN-60060/26-1"/>
    <s v=""/>
    <x v="106"/>
    <s v="High Pressure Washer"/>
    <m/>
    <x v="1"/>
    <s v="Pending Delivery"/>
    <m/>
    <m/>
    <s v="PCTC"/>
    <s v="#N/A "/>
    <s v="#N/A "/>
    <x v="0"/>
    <x v="0"/>
  </r>
  <r>
    <x v="3"/>
    <m/>
    <s v="GLAN-60061/26-1"/>
    <s v=""/>
    <x v="24"/>
    <s v="LOTO Stickers"/>
    <m/>
    <x v="1"/>
    <s v="Pending Delivery"/>
    <m/>
    <m/>
    <s v="PCTC"/>
    <s v="#N/A "/>
    <s v="#N/A "/>
    <x v="0"/>
    <x v="0"/>
  </r>
  <r>
    <x v="3"/>
    <m/>
    <s v="GLAN-60062/26-1"/>
    <s v=""/>
    <x v="25"/>
    <s v="Steam Splash Suit"/>
    <m/>
    <x v="1"/>
    <s v="Pending Delivery"/>
    <m/>
    <m/>
    <s v="PCTC"/>
    <s v="#N/A "/>
    <s v="#N/A "/>
    <x v="0"/>
    <x v="0"/>
  </r>
  <r>
    <x v="3"/>
    <m/>
    <m/>
    <s v=""/>
    <x v="172"/>
    <s v="Chemical Tags"/>
    <m/>
    <x v="1"/>
    <m/>
    <m/>
    <m/>
    <s v="PCTC"/>
    <s v="#N/A "/>
    <s v="#N/A "/>
    <x v="0"/>
    <x v="0"/>
  </r>
  <r>
    <x v="3"/>
    <m/>
    <s v="GLAN-60064/26"/>
    <s v=""/>
    <x v="173"/>
    <s v="Safe Lanes (Trelleborg)"/>
    <m/>
    <x v="1"/>
    <s v="Pending Approval"/>
    <m/>
    <m/>
    <s v="PCTC"/>
    <s v="#N/A "/>
    <s v="#N/A "/>
    <x v="0"/>
    <x v="0"/>
  </r>
  <r>
    <x v="3"/>
    <m/>
    <m/>
    <s v=""/>
    <x v="174"/>
    <s v="Seatab"/>
    <m/>
    <x v="1"/>
    <m/>
    <m/>
    <m/>
    <s v="PCTC"/>
    <s v="#N/A "/>
    <s v="#N/A "/>
    <x v="0"/>
    <x v="0"/>
  </r>
  <r>
    <x v="3"/>
    <m/>
    <m/>
    <s v=""/>
    <x v="175"/>
    <s v="Thermal Camera (FLIR)"/>
    <m/>
    <x v="1"/>
    <m/>
    <m/>
    <m/>
    <s v="PCTC"/>
    <s v="#N/A "/>
    <s v="#N/A "/>
    <x v="0"/>
    <x v="0"/>
  </r>
  <r>
    <x v="3"/>
    <m/>
    <s v="GLAN-60037/26-1"/>
    <s v="Pre-Delivery"/>
    <x v="19"/>
    <s v="Explosion Proof Camera"/>
    <m/>
    <x v="0"/>
    <s v="Pending Delivery"/>
    <d v="2026-03-17T00:00:00"/>
    <m/>
    <s v="PCTC"/>
    <s v="#N/A "/>
    <s v="#N/A "/>
    <x v="0"/>
    <x v="0"/>
  </r>
  <r>
    <x v="3"/>
    <m/>
    <s v="GLAN-60039/26-1"/>
    <s v=""/>
    <x v="109"/>
    <s v="Cryogenic PPE"/>
    <m/>
    <x v="1"/>
    <s v="Pending Delivery"/>
    <m/>
    <m/>
    <s v="PCTC"/>
    <s v="#N/A "/>
    <s v="#N/A "/>
    <x v="0"/>
    <x v="0"/>
  </r>
  <r>
    <x v="3"/>
    <m/>
    <m/>
    <s v=""/>
    <x v="176"/>
    <s v="Temperature &amp; Pressure Calibrators"/>
    <m/>
    <x v="1"/>
    <m/>
    <m/>
    <m/>
    <s v="PCTC"/>
    <s v="#N/A "/>
    <s v="#N/A "/>
    <x v="0"/>
    <x v="0"/>
  </r>
  <r>
    <x v="3"/>
    <m/>
    <s v="GLAN-60035/26-1"/>
    <s v="Pre-Delivery"/>
    <x v="17"/>
    <s v="VISWA Line Samplers"/>
    <m/>
    <x v="1"/>
    <s v="Not Created"/>
    <d v="2026-03-17T00:00:00"/>
    <m/>
    <s v="PCTC"/>
    <s v="#N/A "/>
    <s v="#N/A "/>
    <x v="0"/>
    <x v="0"/>
  </r>
  <r>
    <x v="3"/>
    <m/>
    <m/>
    <s v=""/>
    <x v="177"/>
    <s v="IMPA Stores - Stationery"/>
    <m/>
    <x v="1"/>
    <m/>
    <m/>
    <m/>
    <s v="PCTC"/>
    <s v="#N/A "/>
    <s v="#N/A "/>
    <x v="0"/>
    <x v="0"/>
  </r>
  <r>
    <x v="3"/>
    <m/>
    <m/>
    <s v=""/>
    <x v="178"/>
    <s v="HP Pump (Hydraulic Nuts)"/>
    <m/>
    <x v="1"/>
    <m/>
    <m/>
    <m/>
    <s v="PCTC"/>
    <s v="#N/A "/>
    <s v="#N/A "/>
    <x v="0"/>
    <x v="0"/>
  </r>
  <r>
    <x v="3"/>
    <m/>
    <m/>
    <s v=""/>
    <x v="179"/>
    <s v="Chemicals - General"/>
    <m/>
    <x v="1"/>
    <m/>
    <m/>
    <m/>
    <s v="PCTC"/>
    <s v="#N/A "/>
    <s v="#N/A "/>
    <x v="0"/>
    <x v="0"/>
  </r>
  <r>
    <x v="3"/>
    <m/>
    <m/>
    <s v=""/>
    <x v="180"/>
    <s v="Mooring Ropes"/>
    <m/>
    <x v="1"/>
    <m/>
    <m/>
    <m/>
    <s v="PCTC"/>
    <s v="#N/A "/>
    <s v="#N/A "/>
    <x v="0"/>
    <x v="0"/>
  </r>
  <r>
    <x v="3"/>
    <m/>
    <m/>
    <s v=""/>
    <x v="181"/>
    <s v="UHF Radio"/>
    <m/>
    <x v="1"/>
    <m/>
    <m/>
    <m/>
    <s v="PCTC"/>
    <s v="#N/A "/>
    <s v="#N/A "/>
    <x v="0"/>
    <x v="0"/>
  </r>
  <r>
    <x v="3"/>
    <m/>
    <s v="GLAN-60036/26-1"/>
    <s v=""/>
    <x v="39"/>
    <s v="Soot Treatment"/>
    <m/>
    <x v="1"/>
    <s v="Pending Delivery"/>
    <m/>
    <m/>
    <s v="PCTC"/>
    <s v="#N/A "/>
    <s v="#N/A "/>
    <x v="0"/>
    <x v="0"/>
  </r>
  <r>
    <x v="3"/>
    <m/>
    <m/>
    <s v=""/>
    <x v="182"/>
    <s v="Garbage Refrigerator"/>
    <m/>
    <x v="1"/>
    <m/>
    <m/>
    <m/>
    <s v="PCTC"/>
    <s v="#N/A "/>
    <s v="#N/A "/>
    <x v="0"/>
    <x v="0"/>
  </r>
  <r>
    <x v="3"/>
    <m/>
    <m/>
    <s v=""/>
    <x v="145"/>
    <s v="Dual Fuel Tools"/>
    <m/>
    <x v="1"/>
    <m/>
    <m/>
    <m/>
    <s v="PCTC"/>
    <s v="#N/A "/>
    <s v="#N/A "/>
    <x v="0"/>
    <x v="0"/>
  </r>
  <r>
    <x v="3"/>
    <m/>
    <m/>
    <s v=""/>
    <x v="115"/>
    <s v="UHF Antenna"/>
    <m/>
    <x v="1"/>
    <m/>
    <m/>
    <m/>
    <s v="PCTC"/>
    <s v="#N/A "/>
    <s v="#N/A "/>
    <x v="0"/>
    <x v="0"/>
  </r>
  <r>
    <x v="3"/>
    <m/>
    <s v="GLAN-60069/26"/>
    <s v=""/>
    <x v="52"/>
    <s v="Sample Cooler"/>
    <m/>
    <x v="1"/>
    <s v="Pending Approval"/>
    <m/>
    <m/>
    <s v="PCTC"/>
    <s v="#N/A "/>
    <s v="#N/A "/>
    <x v="0"/>
    <x v="0"/>
  </r>
  <r>
    <x v="3"/>
    <m/>
    <m/>
    <s v=""/>
    <x v="183"/>
    <s v="Citadel VHF/GPS/UHF System"/>
    <m/>
    <x v="1"/>
    <m/>
    <m/>
    <m/>
    <s v="PCTC"/>
    <s v="#N/A "/>
    <s v="#N/A "/>
    <x v="0"/>
    <x v="0"/>
  </r>
  <r>
    <x v="3"/>
    <m/>
    <s v="GLAN-60038/26-1"/>
    <s v="Pre-Delivery"/>
    <x v="13"/>
    <s v="Stanchions"/>
    <m/>
    <x v="0"/>
    <s v="Pending Approval"/>
    <d v="2026-03-20T00:00:00"/>
    <m/>
    <s v="PCTC"/>
    <s v="#N/A "/>
    <s v="#N/A "/>
    <x v="0"/>
    <x v="0"/>
  </r>
  <r>
    <x v="3"/>
    <m/>
    <m/>
    <s v=""/>
    <x v="184"/>
    <s v="Communications - VLINK Cable"/>
    <m/>
    <x v="0"/>
    <m/>
    <m/>
    <m/>
    <s v="PCTC"/>
    <s v="#N/A "/>
    <s v="#N/A "/>
    <x v="0"/>
    <x v="0"/>
  </r>
  <r>
    <x v="3"/>
    <m/>
    <m/>
    <s v=""/>
    <x v="134"/>
    <s v="Stanchions"/>
    <m/>
    <x v="0"/>
    <m/>
    <m/>
    <m/>
    <s v="PCTC"/>
    <s v="#N/A "/>
    <s v="#N/A "/>
    <x v="0"/>
    <x v="0"/>
  </r>
  <r>
    <x v="4"/>
    <m/>
    <s v="GLIN-60016/26-1"/>
    <s v=""/>
    <x v="144"/>
    <s v="IT Equipment - ITBP"/>
    <m/>
    <x v="4"/>
    <s v="Pending Delivery"/>
    <d v="2026-02-11T00:00:00"/>
    <d v="2026-02-26T00:00:00"/>
    <s v="PCTC"/>
    <s v="#N/A "/>
    <s v="#N/A "/>
    <x v="0"/>
    <x v="0"/>
  </r>
  <r>
    <x v="4"/>
    <m/>
    <s v="GLIN-60019/26"/>
    <s v=""/>
    <x v="185"/>
    <s v="IT Equipment - ITBP Cables"/>
    <m/>
    <x v="0"/>
    <s v="Pending Approval"/>
    <d v="2026-02-25T00:00:00"/>
    <m/>
    <s v="PCTC"/>
    <s v="#N/A "/>
    <s v="#N/A "/>
    <x v="0"/>
    <x v="0"/>
  </r>
  <r>
    <x v="4"/>
    <m/>
    <s v="GLIN-60005/26-1"/>
    <s v=""/>
    <x v="186"/>
    <s v="IT Equipment - Sihui Marine"/>
    <m/>
    <x v="4"/>
    <s v="Pending Delivery"/>
    <d v="2026-01-19T00:00:00"/>
    <d v="2026-02-26T00:00:00"/>
    <s v="PCTC"/>
    <s v="#N/A "/>
    <s v="#N/A "/>
    <x v="0"/>
    <x v="0"/>
  </r>
  <r>
    <x v="4"/>
    <m/>
    <s v="GLIN-60013/26-1"/>
    <s v=""/>
    <x v="14"/>
    <s v="IT Equipment - Computers (Lenovo)"/>
    <m/>
    <x v="4"/>
    <s v="Pending Delivery"/>
    <d v="2026-02-10T00:00:00"/>
    <d v="2026-02-26T00:00:00"/>
    <s v="PCTC"/>
    <s v="#N/A "/>
    <s v="#N/A "/>
    <x v="0"/>
    <x v="0"/>
  </r>
  <r>
    <x v="4"/>
    <m/>
    <s v="GLIN-60009/26-1"/>
    <s v=""/>
    <x v="187"/>
    <s v="Safety Integration - SMiG"/>
    <m/>
    <x v="4"/>
    <s v="Pending Delivery"/>
    <d v="2026-01-26T00:00:00"/>
    <d v="2026-02-26T00:00:00"/>
    <s v="PCTC"/>
    <s v="#N/A "/>
    <s v="#N/A "/>
    <x v="0"/>
    <x v="0"/>
  </r>
  <r>
    <x v="4"/>
    <m/>
    <s v="GLIN-60012/26-1"/>
    <s v=""/>
    <x v="188"/>
    <s v="Communications - VLINK"/>
    <m/>
    <x v="4"/>
    <s v="Pending Delivery"/>
    <d v="2026-02-10T00:00:00"/>
    <d v="2026-02-26T00:00:00"/>
    <s v="PCTC"/>
    <s v="#N/A "/>
    <s v="#N/A "/>
    <x v="0"/>
    <x v="0"/>
  </r>
  <r>
    <x v="4"/>
    <m/>
    <s v="GLIN-60011/26-1"/>
    <s v=""/>
    <x v="171"/>
    <s v="IT Equipment - ITBP Additional Items"/>
    <m/>
    <x v="0"/>
    <s v="Pending Delivery"/>
    <d v="2026-02-12T00:00:00"/>
    <m/>
    <s v="PCTC"/>
    <s v="#N/A "/>
    <s v="#N/A "/>
    <x v="0"/>
    <x v="0"/>
  </r>
  <r>
    <x v="4"/>
    <m/>
    <s v="GLIN-60004/26-1"/>
    <s v=""/>
    <x v="189"/>
    <s v="IT Equipment "/>
    <m/>
    <x v="4"/>
    <s v="Pending Delivery"/>
    <d v="2026-01-19T00:00:00"/>
    <d v="2026-02-26T00:00:00"/>
    <s v="PCTC"/>
    <s v="#N/A "/>
    <s v="#N/A "/>
    <x v="0"/>
    <x v="0"/>
  </r>
  <r>
    <x v="4"/>
    <m/>
    <s v="GLIN-60017/26-1"/>
    <s v=""/>
    <x v="8"/>
    <s v="Communications - VLINK Accessories"/>
    <m/>
    <x v="4"/>
    <s v="Pending Delivery"/>
    <d v="2026-02-19T00:00:00"/>
    <d v="2026-02-26T00:00:00"/>
    <s v="PCTC"/>
    <s v="#N/A "/>
    <s v="#N/A "/>
    <x v="0"/>
    <x v="0"/>
  </r>
  <r>
    <x v="4"/>
    <m/>
    <s v="GLIN-60020/26"/>
    <s v=""/>
    <x v="22"/>
    <s v="IT Equipment - Interface / Integration"/>
    <m/>
    <x v="0"/>
    <s v="Not Created"/>
    <d v="2026-02-25T00:00:00"/>
    <m/>
    <s v="PCTC"/>
    <s v="#N/A "/>
    <s v="#N/A "/>
    <x v="0"/>
    <x v="0"/>
  </r>
  <r>
    <x v="4"/>
    <m/>
    <s v="GLIN-60006/26-1"/>
    <s v=""/>
    <x v="143"/>
    <s v="Gas Detection System"/>
    <m/>
    <x v="4"/>
    <s v="Pending Delivery"/>
    <d v="2026-01-21T00:00:00"/>
    <d v="2026-02-26T00:00:00"/>
    <s v="PCTC"/>
    <s v="#N/A "/>
    <s v="#N/A "/>
    <x v="0"/>
    <x v="0"/>
  </r>
  <r>
    <x v="4"/>
    <m/>
    <s v="GLIN-60003/26-1"/>
    <s v=""/>
    <x v="190"/>
    <s v="IT Equipment - X10 System"/>
    <m/>
    <x v="4"/>
    <s v="Pending Delivery"/>
    <d v="2026-01-19T00:00:00"/>
    <d v="2026-02-26T00:00:00"/>
    <s v="PCTC"/>
    <s v="#N/A "/>
    <s v="#N/A "/>
    <x v="0"/>
    <x v="0"/>
  </r>
  <r>
    <x v="4"/>
    <m/>
    <s v="GLIN-60023/26-1"/>
    <s v=""/>
    <x v="6"/>
    <s v="Navigation - HiNAS SVM"/>
    <m/>
    <x v="0"/>
    <s v="Pending Delivery"/>
    <d v="2026-03-06T00:00:00"/>
    <m/>
    <s v="PCTC"/>
    <s v="#N/A "/>
    <s v="#N/A "/>
    <x v="0"/>
    <x v="0"/>
  </r>
  <r>
    <x v="4"/>
    <m/>
    <s v="GLIN-60007/26-1"/>
    <s v=""/>
    <x v="60"/>
    <s v="Communications - VSAT (KVH)"/>
    <m/>
    <x v="4"/>
    <s v="Pending Delivery"/>
    <d v="2026-01-21T00:00:00"/>
    <d v="2026-02-26T00:00:00"/>
    <s v="PCTC"/>
    <s v="#N/A "/>
    <s v="#N/A "/>
    <x v="0"/>
    <x v="0"/>
  </r>
  <r>
    <x v="4"/>
    <m/>
    <s v="GLIN-60015/26-1"/>
    <s v=""/>
    <x v="7"/>
    <s v="IT Equipment - AST"/>
    <m/>
    <x v="0"/>
    <s v="Pending Delivery"/>
    <d v="2026-02-17T00:00:00"/>
    <m/>
    <s v="PCTC"/>
    <s v="#N/A "/>
    <s v="#N/A "/>
    <x v="0"/>
    <x v="0"/>
  </r>
  <r>
    <x v="4"/>
    <m/>
    <s v="GLIN-60010/26-1"/>
    <s v=""/>
    <x v="191"/>
    <s v="Lubricants"/>
    <m/>
    <x v="4"/>
    <s v="Pending Delivery"/>
    <d v="2026-01-26T00:00:00"/>
    <d v="2026-02-26T00:00:00"/>
    <s v="PCTC"/>
    <s v="#N/A "/>
    <s v="#N/A "/>
    <x v="0"/>
    <x v="0"/>
  </r>
  <r>
    <x v="4"/>
    <m/>
    <s v="GLIN-60008/26-1"/>
    <s v=""/>
    <x v="192"/>
    <s v="Fire Detection System"/>
    <m/>
    <x v="4"/>
    <s v="Pending Delivery"/>
    <d v="2026-01-21T00:00:00"/>
    <d v="2026-02-26T00:00:00"/>
    <s v="PCTC"/>
    <s v="#N/A "/>
    <s v="#N/A "/>
    <x v="0"/>
    <x v="0"/>
  </r>
  <r>
    <x v="4"/>
    <m/>
    <s v="GLIN-60002/26-1"/>
    <s v="Pre-Delivery"/>
    <x v="193"/>
    <s v="IT Equipment - ITBP Licenses"/>
    <m/>
    <x v="3"/>
    <s v="Pending Delivery"/>
    <d v="2026-02-19T00:00:00"/>
    <d v="2026-04-15T00:00:00"/>
    <s v="PCTC"/>
    <s v="#N/A "/>
    <s v="#N/A "/>
    <x v="0"/>
    <x v="0"/>
  </r>
  <r>
    <x v="4"/>
    <m/>
    <s v="GLIN-60024/26-1"/>
    <s v=""/>
    <x v="11"/>
    <s v="Communications - Starlink Accessories"/>
    <m/>
    <x v="0"/>
    <s v="Pending Delivery"/>
    <d v="2026-03-06T00:00:00"/>
    <m/>
    <s v="PCTC"/>
    <s v="#N/A "/>
    <s v="#N/A "/>
    <x v="0"/>
    <x v="0"/>
  </r>
  <r>
    <x v="4"/>
    <m/>
    <s v="GLIN-60021/26"/>
    <s v=""/>
    <x v="65"/>
    <s v="Oil Skimmers - Abanaki"/>
    <m/>
    <x v="4"/>
    <s v="Pending Delivery"/>
    <d v="2026-02-25T00:00:00"/>
    <d v="2026-02-26T00:00:00"/>
    <s v="PCTC"/>
    <s v="#N/A "/>
    <s v="#N/A "/>
    <x v="0"/>
    <x v="0"/>
  </r>
  <r>
    <x v="4"/>
    <m/>
    <s v="GLIN-60025/26-1"/>
    <s v=""/>
    <x v="63"/>
    <s v="IT Equipment - ITBP Lab Kit"/>
    <m/>
    <x v="4"/>
    <s v="Pending Delivery"/>
    <d v="2026-03-05T00:00:00"/>
    <d v="2026-02-26T00:00:00"/>
    <s v="PCTC"/>
    <s v="#N/A "/>
    <s v="#N/A "/>
    <x v="0"/>
    <x v="0"/>
  </r>
  <r>
    <x v="4"/>
    <m/>
    <s v="GLIN-60026/26-1"/>
    <s v=""/>
    <x v="69"/>
    <s v="Lubricants"/>
    <m/>
    <x v="0"/>
    <s v="Pending Approval"/>
    <d v="2026-03-10T00:00:00"/>
    <m/>
    <s v="PCTC"/>
    <s v="#N/A "/>
    <s v="#N/A "/>
    <x v="0"/>
    <x v="0"/>
  </r>
  <r>
    <x v="4"/>
    <m/>
    <s v="GLIN-60018/26-1"/>
    <s v=""/>
    <x v="16"/>
    <s v="GVT Electronics"/>
    <m/>
    <x v="4"/>
    <s v="Pending Delivery"/>
    <d v="2026-02-24T00:00:00"/>
    <d v="2026-02-26T00:00:00"/>
    <s v="PCTC"/>
    <s v="#N/A "/>
    <s v="#N/A "/>
    <x v="0"/>
    <x v="0"/>
  </r>
  <r>
    <x v="4"/>
    <m/>
    <s v="GLIN-60022/26-1"/>
    <s v="Pre-Delivery"/>
    <x v="0"/>
    <s v="LNG Operation Manual"/>
    <m/>
    <x v="0"/>
    <s v="Pending Delivery"/>
    <m/>
    <m/>
    <s v="PCTC"/>
    <s v="#N/A "/>
    <s v="#N/A "/>
    <x v="0"/>
    <x v="0"/>
  </r>
  <r>
    <x v="4"/>
    <m/>
    <s v="GLIN-60014/26-2"/>
    <s v=""/>
    <x v="102"/>
    <s v="Citadel VHF/GPS/UHF System"/>
    <m/>
    <x v="0"/>
    <s v="Pending Approval"/>
    <d v="2026-03-31T00:00:00"/>
    <m/>
    <s v="PCTC"/>
    <s v="#N/A "/>
    <s v="#N/A "/>
    <x v="0"/>
    <x v="0"/>
  </r>
  <r>
    <x v="4"/>
    <m/>
    <s v="GLIN-60033/26-1"/>
    <s v=""/>
    <x v="194"/>
    <s v="RO-RO Equipment - Loose Fittings"/>
    <m/>
    <x v="1"/>
    <m/>
    <m/>
    <m/>
    <s v="PCTC"/>
    <s v="#N/A "/>
    <s v="#N/A "/>
    <x v="0"/>
    <x v="0"/>
  </r>
  <r>
    <x v="4"/>
    <m/>
    <m/>
    <s v=""/>
    <x v="88"/>
    <s v="Citadel VHF/GPS/UHF System"/>
    <m/>
    <x v="1"/>
    <m/>
    <m/>
    <m/>
    <s v="PCTC"/>
    <s v="#N/A "/>
    <s v="#N/A "/>
    <x v="0"/>
    <x v="0"/>
  </r>
  <r>
    <x v="4"/>
    <m/>
    <m/>
    <s v=""/>
    <x v="170"/>
    <s v="Navigation - Captains Eye"/>
    <m/>
    <x v="1"/>
    <m/>
    <m/>
    <m/>
    <s v="PCTC"/>
    <s v="#N/A "/>
    <s v="#N/A "/>
    <x v="0"/>
    <x v="0"/>
  </r>
  <r>
    <x v="4"/>
    <m/>
    <m/>
    <s v=""/>
    <x v="45"/>
    <s v="Oil Skimmers - Abanaki"/>
    <m/>
    <x v="1"/>
    <m/>
    <m/>
    <m/>
    <s v="PCTC"/>
    <s v="#N/A "/>
    <s v="#N/A "/>
    <x v="0"/>
    <x v="0"/>
  </r>
  <r>
    <x v="4"/>
    <m/>
    <s v="GLIN-60001/26 "/>
    <s v=""/>
    <x v="10"/>
    <s v="Garbage Compactor"/>
    <m/>
    <x v="0"/>
    <m/>
    <m/>
    <m/>
    <s v="PCTC"/>
    <s v="#N/A "/>
    <s v="#N/A "/>
    <x v="0"/>
    <x v="0"/>
  </r>
  <r>
    <x v="4"/>
    <m/>
    <s v="GLIN-60026/26-1"/>
    <s v=""/>
    <x v="69"/>
    <s v="IMPA Stores - Stationery"/>
    <m/>
    <x v="0"/>
    <s v="Pending Supplier Confirmation"/>
    <d v="2026-03-10T00:00:00"/>
    <m/>
    <s v="PCTC"/>
    <s v="#N/A "/>
    <s v="#N/A "/>
    <x v="0"/>
    <x v="0"/>
  </r>
  <r>
    <x v="4"/>
    <m/>
    <s v="GLIN-60027/26-1"/>
    <s v="Pre-Delivery"/>
    <x v="20"/>
    <s v="IMPA Stores - SOPEP"/>
    <m/>
    <x v="1"/>
    <s v="Pending Delivery"/>
    <d v="2026-03-13T00:00:00"/>
    <m/>
    <s v="PCTC"/>
    <s v="#N/A "/>
    <s v="#N/A "/>
    <x v="0"/>
    <x v="0"/>
  </r>
  <r>
    <x v="4"/>
    <m/>
    <m/>
    <s v=""/>
    <x v="101"/>
    <s v="IMPA Stores - Deck"/>
    <m/>
    <x v="1"/>
    <m/>
    <m/>
    <m/>
    <s v="PCTC"/>
    <s v="#N/A "/>
    <s v="#N/A "/>
    <x v="0"/>
    <x v="0"/>
  </r>
  <r>
    <x v="4"/>
    <m/>
    <m/>
    <s v=""/>
    <x v="122"/>
    <s v="IMPA Stores - Bridge"/>
    <m/>
    <x v="1"/>
    <m/>
    <m/>
    <m/>
    <s v="PCTC"/>
    <s v="#N/A "/>
    <s v="#N/A "/>
    <x v="0"/>
    <x v="0"/>
  </r>
  <r>
    <x v="4"/>
    <m/>
    <m/>
    <s v=""/>
    <x v="119"/>
    <s v="IMPA Stores - Gym"/>
    <m/>
    <x v="1"/>
    <m/>
    <m/>
    <m/>
    <s v="PCTC"/>
    <s v="#N/A "/>
    <s v="#N/A "/>
    <x v="0"/>
    <x v="0"/>
  </r>
  <r>
    <x v="4"/>
    <m/>
    <m/>
    <s v=""/>
    <x v="111"/>
    <s v="IMPA Stores - Crew"/>
    <m/>
    <x v="1"/>
    <m/>
    <m/>
    <m/>
    <s v="PCTC"/>
    <s v="#N/A "/>
    <s v="#N/A "/>
    <x v="0"/>
    <x v="0"/>
  </r>
  <r>
    <x v="4"/>
    <m/>
    <m/>
    <s v=""/>
    <x v="118"/>
    <s v="IMPA Stores - Firefighting Equipment"/>
    <m/>
    <x v="1"/>
    <m/>
    <m/>
    <m/>
    <s v="PCTC"/>
    <s v="#N/A "/>
    <s v="#N/A "/>
    <x v="0"/>
    <x v="0"/>
  </r>
  <r>
    <x v="4"/>
    <m/>
    <m/>
    <s v=""/>
    <x v="121"/>
    <s v="IMPA Stores - Company Stationery"/>
    <m/>
    <x v="1"/>
    <m/>
    <m/>
    <m/>
    <s v="PCTC"/>
    <s v="#N/A "/>
    <s v="#N/A "/>
    <x v="0"/>
    <x v="0"/>
  </r>
  <r>
    <x v="4"/>
    <m/>
    <m/>
    <s v=""/>
    <x v="114"/>
    <s v="IMPA Stores - BA Compressor"/>
    <m/>
    <x v="1"/>
    <m/>
    <m/>
    <m/>
    <s v="PCTC"/>
    <s v="#N/A "/>
    <s v="#N/A "/>
    <x v="0"/>
    <x v="0"/>
  </r>
  <r>
    <x v="4"/>
    <m/>
    <m/>
    <s v=""/>
    <x v="112"/>
    <s v="IMPA Stores - Accommodation"/>
    <m/>
    <x v="1"/>
    <m/>
    <m/>
    <m/>
    <s v="PCTC"/>
    <s v="#N/A "/>
    <s v="#N/A "/>
    <x v="0"/>
    <x v="0"/>
  </r>
  <r>
    <x v="4"/>
    <m/>
    <m/>
    <s v=""/>
    <x v="74"/>
    <s v="IMPA Stores - Galley"/>
    <m/>
    <x v="1"/>
    <m/>
    <m/>
    <m/>
    <s v="PCTC"/>
    <s v="#N/A "/>
    <s v="#N/A "/>
    <x v="0"/>
    <x v="0"/>
  </r>
  <r>
    <x v="4"/>
    <m/>
    <m/>
    <s v=""/>
    <x v="83"/>
    <s v="IMPA Stores - Engine"/>
    <m/>
    <x v="1"/>
    <m/>
    <m/>
    <m/>
    <s v="PCTC"/>
    <s v="#N/A "/>
    <s v="#N/A "/>
    <x v="0"/>
    <x v="0"/>
  </r>
  <r>
    <x v="4"/>
    <m/>
    <m/>
    <s v=""/>
    <x v="110"/>
    <s v="IMPA Stores - Engine"/>
    <m/>
    <x v="1"/>
    <m/>
    <m/>
    <m/>
    <s v="PCTC"/>
    <s v="#N/A "/>
    <s v="#N/A "/>
    <x v="0"/>
    <x v="0"/>
  </r>
  <r>
    <x v="4"/>
    <m/>
    <m/>
    <s v=""/>
    <x v="76"/>
    <s v="IMPA Stores - Engine"/>
    <m/>
    <x v="1"/>
    <m/>
    <m/>
    <m/>
    <s v="PCTC"/>
    <s v="#N/A "/>
    <s v="#N/A "/>
    <x v="0"/>
    <x v="0"/>
  </r>
  <r>
    <x v="4"/>
    <m/>
    <m/>
    <s v=""/>
    <x v="76"/>
    <s v="IMPA Stores - Engine"/>
    <m/>
    <x v="1"/>
    <m/>
    <m/>
    <m/>
    <s v="PCTC"/>
    <s v="#N/A "/>
    <s v="#N/A "/>
    <x v="0"/>
    <x v="0"/>
  </r>
  <r>
    <x v="4"/>
    <m/>
    <m/>
    <s v=""/>
    <x v="76"/>
    <s v="IMPA Stores - Electrical"/>
    <m/>
    <x v="1"/>
    <m/>
    <m/>
    <m/>
    <s v="PCTC"/>
    <s v="#N/A "/>
    <s v="#N/A "/>
    <x v="0"/>
    <x v="0"/>
  </r>
  <r>
    <x v="4"/>
    <m/>
    <m/>
    <s v=""/>
    <x v="76"/>
    <s v="IMPA Stores - General"/>
    <m/>
    <x v="1"/>
    <m/>
    <m/>
    <m/>
    <s v="PCTC"/>
    <s v="#N/A "/>
    <s v="#N/A "/>
    <x v="0"/>
    <x v="0"/>
  </r>
  <r>
    <x v="4"/>
    <m/>
    <m/>
    <s v=""/>
    <x v="120"/>
    <s v="Ultrasonic Cleaner"/>
    <m/>
    <x v="1"/>
    <m/>
    <m/>
    <m/>
    <s v="PCTC"/>
    <s v="#N/A "/>
    <s v="#N/A "/>
    <x v="0"/>
    <x v="0"/>
  </r>
  <r>
    <x v="4"/>
    <m/>
    <m/>
    <s v=""/>
    <x v="123"/>
    <s v="OPA 90 Kit"/>
    <m/>
    <x v="1"/>
    <m/>
    <m/>
    <m/>
    <s v="PCTC"/>
    <s v="#N/A "/>
    <s v="#N/A "/>
    <x v="0"/>
    <x v="0"/>
  </r>
  <r>
    <x v="4"/>
    <m/>
    <s v="GLIN-60034/26"/>
    <s v=""/>
    <x v="106"/>
    <s v="High Pressure Washer"/>
    <m/>
    <x v="1"/>
    <s v="Pending Approval"/>
    <m/>
    <m/>
    <s v="PCTC"/>
    <s v="#N/A "/>
    <s v="#N/A "/>
    <x v="0"/>
    <x v="0"/>
  </r>
  <r>
    <x v="4"/>
    <m/>
    <s v="GLIN-60035/26"/>
    <s v=""/>
    <x v="24"/>
    <s v="LOTO Stickers"/>
    <m/>
    <x v="1"/>
    <s v="Pending Approval"/>
    <m/>
    <m/>
    <s v="PCTC"/>
    <s v="#N/A "/>
    <s v="#N/A "/>
    <x v="0"/>
    <x v="0"/>
  </r>
  <r>
    <x v="4"/>
    <m/>
    <s v="GLIN-60036/26"/>
    <s v=""/>
    <x v="25"/>
    <s v="Steam Splash Suit"/>
    <m/>
    <x v="1"/>
    <m/>
    <m/>
    <m/>
    <s v="PCTC"/>
    <s v="#N/A "/>
    <s v="#N/A "/>
    <x v="0"/>
    <x v="0"/>
  </r>
  <r>
    <x v="4"/>
    <m/>
    <m/>
    <s v=""/>
    <x v="172"/>
    <s v="Chemical Tags"/>
    <m/>
    <x v="1"/>
    <m/>
    <m/>
    <m/>
    <s v="PCTC"/>
    <s v="#N/A "/>
    <s v="#N/A "/>
    <x v="0"/>
    <x v="0"/>
  </r>
  <r>
    <x v="4"/>
    <m/>
    <s v="GLIN-60037/26"/>
    <s v=""/>
    <x v="173"/>
    <s v="Safe Lanes (Trelleborg)"/>
    <m/>
    <x v="1"/>
    <s v="Pending Approval"/>
    <m/>
    <m/>
    <s v="PCTC"/>
    <s v="#N/A "/>
    <s v="#N/A "/>
    <x v="0"/>
    <x v="0"/>
  </r>
  <r>
    <x v="4"/>
    <m/>
    <m/>
    <s v=""/>
    <x v="174"/>
    <s v="Seatab"/>
    <m/>
    <x v="1"/>
    <m/>
    <m/>
    <m/>
    <s v="PCTC"/>
    <s v="#N/A "/>
    <s v="#N/A "/>
    <x v="0"/>
    <x v="0"/>
  </r>
  <r>
    <x v="4"/>
    <m/>
    <m/>
    <s v=""/>
    <x v="175"/>
    <s v="Thermal Camera (FLIR)"/>
    <m/>
    <x v="1"/>
    <m/>
    <m/>
    <m/>
    <s v="PCTC"/>
    <s v="#N/A "/>
    <s v="#N/A "/>
    <x v="0"/>
    <x v="0"/>
  </r>
  <r>
    <x v="4"/>
    <m/>
    <s v="GLIN-60029/26-1"/>
    <s v="Pre-Delivery"/>
    <x v="19"/>
    <s v="Explosion Proof Camera"/>
    <m/>
    <x v="1"/>
    <m/>
    <s v="3/17/2026"/>
    <m/>
    <s v="PCTC"/>
    <s v="#N/A "/>
    <s v="#N/A "/>
    <x v="0"/>
    <x v="0"/>
  </r>
  <r>
    <x v="4"/>
    <m/>
    <s v="GLIN-60032/26-1"/>
    <s v=""/>
    <x v="109"/>
    <s v="Cryogenic PPE"/>
    <m/>
    <x v="1"/>
    <s v="Pending Delivery"/>
    <m/>
    <m/>
    <s v="PCTC"/>
    <s v="#N/A "/>
    <s v="#N/A "/>
    <x v="0"/>
    <x v="0"/>
  </r>
  <r>
    <x v="4"/>
    <m/>
    <m/>
    <s v=""/>
    <x v="176"/>
    <s v="Temperature &amp; Pressure Calibrators"/>
    <m/>
    <x v="1"/>
    <m/>
    <m/>
    <m/>
    <s v="PCTC"/>
    <s v="#N/A "/>
    <s v="#N/A "/>
    <x v="0"/>
    <x v="0"/>
  </r>
  <r>
    <x v="4"/>
    <m/>
    <s v="GLIN-60028/26-1"/>
    <s v="Pre-Delivery"/>
    <x v="17"/>
    <s v="VISWA Line Samplers"/>
    <m/>
    <x v="1"/>
    <s v="Pending Supplier Confirmation"/>
    <d v="2026-03-20T00:00:00"/>
    <m/>
    <s v="PCTC"/>
    <s v="#N/A "/>
    <s v="#N/A "/>
    <x v="0"/>
    <x v="0"/>
  </r>
  <r>
    <x v="4"/>
    <m/>
    <m/>
    <s v=""/>
    <x v="177"/>
    <s v="IMPA Stores - Stationery"/>
    <m/>
    <x v="1"/>
    <m/>
    <m/>
    <m/>
    <s v="PCTC"/>
    <s v="#N/A "/>
    <s v="#N/A "/>
    <x v="0"/>
    <x v="0"/>
  </r>
  <r>
    <x v="4"/>
    <m/>
    <m/>
    <s v=""/>
    <x v="178"/>
    <s v="HP Pump (Hydraulic Nuts)"/>
    <m/>
    <x v="1"/>
    <m/>
    <m/>
    <m/>
    <s v="PCTC"/>
    <s v="#N/A "/>
    <s v="#N/A "/>
    <x v="0"/>
    <x v="0"/>
  </r>
  <r>
    <x v="4"/>
    <m/>
    <m/>
    <s v=""/>
    <x v="179"/>
    <s v="Chemicals - General"/>
    <m/>
    <x v="1"/>
    <m/>
    <m/>
    <m/>
    <s v="PCTC"/>
    <s v="#N/A "/>
    <s v="#N/A "/>
    <x v="0"/>
    <x v="0"/>
  </r>
  <r>
    <x v="4"/>
    <m/>
    <m/>
    <s v=""/>
    <x v="180"/>
    <s v="Mooring Ropes"/>
    <m/>
    <x v="1"/>
    <m/>
    <m/>
    <m/>
    <s v="PCTC"/>
    <s v="#N/A "/>
    <s v="#N/A "/>
    <x v="0"/>
    <x v="0"/>
  </r>
  <r>
    <x v="4"/>
    <m/>
    <m/>
    <s v=""/>
    <x v="181"/>
    <s v="UHF Radio"/>
    <m/>
    <x v="1"/>
    <m/>
    <m/>
    <m/>
    <s v="PCTC"/>
    <s v="#N/A "/>
    <s v="#N/A "/>
    <x v="0"/>
    <x v="0"/>
  </r>
  <r>
    <x v="4"/>
    <m/>
    <m/>
    <s v=""/>
    <x v="39"/>
    <s v="Soot Treatment"/>
    <m/>
    <x v="1"/>
    <m/>
    <m/>
    <m/>
    <s v="PCTC"/>
    <s v="#N/A "/>
    <s v="#N/A "/>
    <x v="0"/>
    <x v="0"/>
  </r>
  <r>
    <x v="4"/>
    <m/>
    <m/>
    <s v=""/>
    <x v="182"/>
    <s v="Garbage Refrigerator"/>
    <m/>
    <x v="1"/>
    <m/>
    <m/>
    <m/>
    <s v="PCTC"/>
    <s v="#N/A "/>
    <s v="#N/A "/>
    <x v="0"/>
    <x v="0"/>
  </r>
  <r>
    <x v="4"/>
    <m/>
    <m/>
    <s v=""/>
    <x v="145"/>
    <s v="Dual Fuel Tools"/>
    <m/>
    <x v="1"/>
    <m/>
    <m/>
    <m/>
    <s v="PCTC"/>
    <s v="#N/A "/>
    <s v="#N/A "/>
    <x v="0"/>
    <x v="0"/>
  </r>
  <r>
    <x v="4"/>
    <m/>
    <m/>
    <s v=""/>
    <x v="115"/>
    <s v="UHF Antenna"/>
    <m/>
    <x v="1"/>
    <m/>
    <m/>
    <m/>
    <s v="PCTC"/>
    <s v="#N/A "/>
    <s v="#N/A "/>
    <x v="0"/>
    <x v="0"/>
  </r>
  <r>
    <x v="4"/>
    <m/>
    <m/>
    <s v=""/>
    <x v="52"/>
    <s v="Sample Cooler"/>
    <m/>
    <x v="1"/>
    <m/>
    <m/>
    <m/>
    <s v="PCTC"/>
    <s v="#N/A "/>
    <s v="#N/A "/>
    <x v="0"/>
    <x v="0"/>
  </r>
  <r>
    <x v="4"/>
    <m/>
    <m/>
    <s v=""/>
    <x v="183"/>
    <s v="Citadel VHF/GPS/UHF System"/>
    <m/>
    <x v="1"/>
    <m/>
    <m/>
    <m/>
    <s v="PCTC"/>
    <s v="#N/A "/>
    <s v="#N/A "/>
    <x v="0"/>
    <x v="0"/>
  </r>
  <r>
    <x v="4"/>
    <m/>
    <s v="GLIN-60030/26-1"/>
    <s v="Pre-Delivery"/>
    <x v="13"/>
    <s v="Stanchions"/>
    <m/>
    <x v="0"/>
    <s v="Pending Approval"/>
    <d v="2026-03-20T00:00:00"/>
    <m/>
    <s v="PCTC"/>
    <s v="#N/A "/>
    <s v="#N/A "/>
    <x v="0"/>
    <x v="0"/>
  </r>
  <r>
    <x v="4"/>
    <m/>
    <m/>
    <s v=""/>
    <x v="184"/>
    <s v="Engine Spares - Main Engine"/>
    <m/>
    <x v="0"/>
    <m/>
    <m/>
    <m/>
    <s v="PCTC"/>
    <s v="#N/A "/>
    <s v="#N/A "/>
    <x v="0"/>
    <x v="0"/>
  </r>
  <r>
    <x v="4"/>
    <m/>
    <m/>
    <s v=""/>
    <x v="134"/>
    <s v="Engine Spares - Auxiliary Engine"/>
    <m/>
    <x v="0"/>
    <m/>
    <m/>
    <m/>
    <s v="PCTC"/>
    <s v="#N/A "/>
    <s v="#N/A "/>
    <x v="0"/>
    <x v="0"/>
  </r>
  <r>
    <x v="4"/>
    <m/>
    <m/>
    <s v=""/>
    <x v="195"/>
    <s v="RO-RO Equipment - Ramp Spares"/>
    <m/>
    <x v="0"/>
    <m/>
    <m/>
    <m/>
    <s v="PCTC"/>
    <s v="#N/A "/>
    <s v="#N/A "/>
    <x v="0"/>
    <x v="0"/>
  </r>
  <r>
    <x v="4"/>
    <m/>
    <m/>
    <s v=""/>
    <x v="196"/>
    <s v="Engine Spares - Auxiliary Engine"/>
    <m/>
    <x v="0"/>
    <m/>
    <m/>
    <m/>
    <s v="PCTC"/>
    <s v="#N/A "/>
    <s v="#N/A "/>
    <x v="0"/>
    <x v="0"/>
  </r>
  <r>
    <x v="4"/>
    <m/>
    <m/>
    <s v=""/>
    <x v="197"/>
    <s v="BOG Compressor Spares"/>
    <m/>
    <x v="0"/>
    <m/>
    <m/>
    <m/>
    <s v="PCTC"/>
    <s v="#N/A "/>
    <s v="#N/A "/>
    <x v="0"/>
    <x v="0"/>
  </r>
  <r>
    <x v="4"/>
    <m/>
    <m/>
    <s v=""/>
    <x v="198"/>
    <s v="Nitrogen Generator"/>
    <m/>
    <x v="0"/>
    <m/>
    <m/>
    <m/>
    <s v="PCTC"/>
    <s v="#N/A "/>
    <s v="#N/A "/>
    <x v="0"/>
    <x v="0"/>
  </r>
  <r>
    <x v="4"/>
    <m/>
    <s v="GLIN-60031/26-1"/>
    <s v=""/>
    <x v="73"/>
    <s v="BOG Compressor Spares"/>
    <m/>
    <x v="0"/>
    <s v="Pending Approval"/>
    <d v="2026-03-30T00:00:00"/>
    <m/>
    <s v="PCTC"/>
    <s v="#N/A "/>
    <s v="#N/A "/>
    <x v="0"/>
    <x v="0"/>
  </r>
  <r>
    <x v="4"/>
    <m/>
    <m/>
    <s v=""/>
    <x v="199"/>
    <s v="Lubricants"/>
    <m/>
    <x v="0"/>
    <m/>
    <m/>
    <m/>
    <s v="PCTC"/>
    <s v="#N/A "/>
    <s v="#N/A "/>
    <x v="0"/>
    <x v="0"/>
  </r>
  <r>
    <x v="4"/>
    <m/>
    <m/>
    <s v=""/>
    <x v="87"/>
    <s v="IT Equipment - Computers (Lenovo)"/>
    <m/>
    <x v="0"/>
    <m/>
    <m/>
    <m/>
    <s v="PCTC"/>
    <s v="#N/A "/>
    <s v="#N/A "/>
    <x v="0"/>
    <x v="0"/>
  </r>
  <r>
    <x v="4"/>
    <m/>
    <m/>
    <s v=""/>
    <x v="200"/>
    <s v="BWTS Spares"/>
    <m/>
    <x v="0"/>
    <m/>
    <m/>
    <m/>
    <s v="PCTC"/>
    <s v="#N/A "/>
    <s v="#N/A "/>
    <x v="0"/>
    <x v="0"/>
  </r>
  <r>
    <x v="4"/>
    <m/>
    <m/>
    <s v=""/>
    <x v="201"/>
    <s v="Crew Welfare - Refrigerators"/>
    <m/>
    <x v="0"/>
    <m/>
    <m/>
    <m/>
    <s v="PCTC"/>
    <s v="#N/A "/>
    <s v="#N/A "/>
    <x v="0"/>
    <x v="0"/>
  </r>
  <r>
    <x v="4"/>
    <m/>
    <m/>
    <s v=""/>
    <x v="152"/>
    <s v="Breathing Air Compressor"/>
    <m/>
    <x v="0"/>
    <m/>
    <m/>
    <m/>
    <s v="PCTC"/>
    <s v="#N/A "/>
    <s v="#N/A "/>
    <x v="0"/>
    <x v="0"/>
  </r>
  <r>
    <x v="4"/>
    <m/>
    <m/>
    <s v=""/>
    <x v="125"/>
    <s v="Ozone Steriliser"/>
    <m/>
    <x v="0"/>
    <m/>
    <m/>
    <m/>
    <s v="PCTC"/>
    <s v="#N/A "/>
    <s v="#N/A "/>
    <x v="0"/>
    <x v="0"/>
  </r>
  <r>
    <x v="4"/>
    <m/>
    <m/>
    <s v=""/>
    <x v="202"/>
    <s v="Suez Light"/>
    <m/>
    <x v="0"/>
    <m/>
    <m/>
    <m/>
    <s v="PCTC"/>
    <s v="#N/A "/>
    <s v="#N/A "/>
    <x v="0"/>
    <x v="0"/>
  </r>
  <r>
    <x v="4"/>
    <m/>
    <m/>
    <s v=""/>
    <x v="126"/>
    <s v="RO-RO Equipment - Ramp Spares"/>
    <m/>
    <x v="0"/>
    <m/>
    <m/>
    <m/>
    <s v="PCTC"/>
    <s v="#N/A "/>
    <s v="#N/A "/>
    <x v="0"/>
    <x v="0"/>
  </r>
  <r>
    <x v="4"/>
    <m/>
    <m/>
    <s v=""/>
    <x v="127"/>
    <s v="Reefer Cables &amp; Plugs"/>
    <m/>
    <x v="0"/>
    <m/>
    <m/>
    <m/>
    <s v="PCTC"/>
    <s v="#N/A "/>
    <s v="#N/A "/>
    <x v="0"/>
    <x v="0"/>
  </r>
  <r>
    <x v="4"/>
    <m/>
    <m/>
    <s v=""/>
    <x v="203"/>
    <s v="Chain Blocks"/>
    <m/>
    <x v="0"/>
    <m/>
    <m/>
    <m/>
    <s v="PCTC"/>
    <s v="#N/A "/>
    <s v="#N/A "/>
    <x v="0"/>
    <x v="0"/>
  </r>
  <r>
    <x v="4"/>
    <m/>
    <m/>
    <s v=""/>
    <x v="92"/>
    <s v="Glycol"/>
    <m/>
    <x v="0"/>
    <m/>
    <m/>
    <m/>
    <s v="PCTC"/>
    <s v="#N/A "/>
    <s v="#N/A "/>
    <x v="0"/>
    <x v="0"/>
  </r>
  <r>
    <x v="4"/>
    <m/>
    <m/>
    <s v=""/>
    <x v="128"/>
    <s v="Gas Meters"/>
    <m/>
    <x v="0"/>
    <m/>
    <m/>
    <m/>
    <s v="PCTC"/>
    <s v="#N/A "/>
    <s v="#N/A "/>
    <x v="0"/>
    <x v="0"/>
  </r>
  <r>
    <x v="4"/>
    <m/>
    <m/>
    <s v=""/>
    <x v="104"/>
    <s v="Welding Equipment"/>
    <m/>
    <x v="0"/>
    <m/>
    <m/>
    <m/>
    <s v="PCTC"/>
    <s v="#N/A "/>
    <s v="#N/A "/>
    <x v="0"/>
    <x v="0"/>
  </r>
  <r>
    <x v="4"/>
    <m/>
    <s v="GLIN-60042/26"/>
    <s v=""/>
    <x v="103"/>
    <s v="Service Car &amp; Forklift"/>
    <m/>
    <x v="0"/>
    <s v="Pending Approval"/>
    <m/>
    <m/>
    <s v="PCTC"/>
    <s v="#N/A "/>
    <s v="#N/A "/>
    <x v="0"/>
    <x v="0"/>
  </r>
  <r>
    <x v="4"/>
    <m/>
    <m/>
    <s v=""/>
    <x v="129"/>
    <s v="Dual Fuel Tools"/>
    <m/>
    <x v="0"/>
    <m/>
    <m/>
    <m/>
    <s v="PCTC"/>
    <s v="#N/A "/>
    <s v="#N/A "/>
    <x v="0"/>
    <x v="0"/>
  </r>
  <r>
    <x v="4"/>
    <m/>
    <m/>
    <s v=""/>
    <x v="204"/>
    <s v="Dual Fuel Tools - Methanol"/>
    <m/>
    <x v="0"/>
    <m/>
    <m/>
    <m/>
    <s v="PCTC"/>
    <s v="#N/A "/>
    <s v="#N/A "/>
    <x v="0"/>
    <x v="0"/>
  </r>
  <r>
    <x v="4"/>
    <m/>
    <m/>
    <s v=""/>
    <x v="52"/>
    <s v="Publications &amp; Manuals"/>
    <m/>
    <x v="0"/>
    <m/>
    <m/>
    <m/>
    <s v="PCTC"/>
    <s v="#N/A "/>
    <s v="#N/A "/>
    <x v="0"/>
    <x v="0"/>
  </r>
  <r>
    <x v="4"/>
    <m/>
    <m/>
    <s v=""/>
    <x v="205"/>
    <s v="Thermal Stop"/>
    <m/>
    <x v="0"/>
    <m/>
    <m/>
    <m/>
    <s v="PCTC"/>
    <s v="#N/A "/>
    <s v="#N/A "/>
    <x v="0"/>
    <x v="0"/>
  </r>
  <r>
    <x v="4"/>
    <m/>
    <m/>
    <s v=""/>
    <x v="71"/>
    <s v="Alcometer"/>
    <m/>
    <x v="0"/>
    <m/>
    <m/>
    <m/>
    <s v="PCTC"/>
    <s v="#N/A "/>
    <s v="#N/A "/>
    <x v="0"/>
    <x v="0"/>
  </r>
  <r>
    <x v="4"/>
    <m/>
    <m/>
    <s v=""/>
    <x v="94"/>
    <s v="Laser Distance Measurer"/>
    <m/>
    <x v="0"/>
    <m/>
    <m/>
    <m/>
    <s v="PCTC"/>
    <s v="#N/A "/>
    <s v="#N/A "/>
    <x v="0"/>
    <x v="0"/>
  </r>
  <r>
    <x v="4"/>
    <m/>
    <m/>
    <s v=""/>
    <x v="132"/>
    <s v="EV Lance"/>
    <m/>
    <x v="0"/>
    <m/>
    <m/>
    <m/>
    <s v="PCTC"/>
    <s v="#N/A "/>
    <s v="#N/A "/>
    <x v="0"/>
    <x v="0"/>
  </r>
  <r>
    <x v="4"/>
    <m/>
    <m/>
    <s v=""/>
    <x v="133"/>
    <s v="Receptacles"/>
    <m/>
    <x v="0"/>
    <m/>
    <m/>
    <m/>
    <s v="PCTC"/>
    <s v="#N/A "/>
    <s v="#N/A "/>
    <x v="0"/>
    <x v="0"/>
  </r>
  <r>
    <x v="4"/>
    <m/>
    <m/>
    <s v=""/>
    <x v="30"/>
    <s v="Navigation - Captains Eye"/>
    <m/>
    <x v="0"/>
    <m/>
    <m/>
    <m/>
    <s v="PCTC"/>
    <s v="#N/A "/>
    <s v="#N/A "/>
    <x v="0"/>
    <x v="0"/>
  </r>
  <r>
    <x v="4"/>
    <m/>
    <m/>
    <s v=""/>
    <x v="95"/>
    <s v="Communications - VSAT (KVH)"/>
    <m/>
    <x v="0"/>
    <m/>
    <m/>
    <m/>
    <s v="PCTC"/>
    <s v="#N/A "/>
    <s v="#N/A "/>
    <x v="0"/>
    <x v="0"/>
  </r>
  <r>
    <x v="5"/>
    <m/>
    <s v="GLOG-60001/26-1"/>
    <s v=""/>
    <x v="10"/>
    <s v="IT Equipment - AST"/>
    <m/>
    <x v="0"/>
    <s v="Pending Delivery"/>
    <d v="2026-01-15T00:00:00"/>
    <m/>
    <s v="PCTC"/>
    <s v="#N/A "/>
    <s v="#N/A "/>
    <x v="0"/>
    <x v="0"/>
  </r>
  <r>
    <x v="5"/>
    <m/>
    <s v="GLOG-60002/26-1"/>
    <s v=""/>
    <x v="206"/>
    <s v="IT Equipment - AST"/>
    <m/>
    <x v="4"/>
    <s v="Pending Delivery"/>
    <d v="2026-01-26T00:00:00"/>
    <m/>
    <s v="PCTC"/>
    <s v="#N/A "/>
    <s v="#N/A "/>
    <x v="0"/>
    <x v="0"/>
  </r>
  <r>
    <x v="5"/>
    <m/>
    <s v="GLOG-60003/26"/>
    <s v=""/>
    <x v="207"/>
    <s v="IT Equipment - ITBP"/>
    <m/>
    <x v="4"/>
    <s v="Pending Delivery"/>
    <d v="2026-01-26T00:00:00"/>
    <m/>
    <s v="PCTC"/>
    <s v="#N/A "/>
    <s v="#N/A "/>
    <x v="0"/>
    <x v="0"/>
  </r>
  <r>
    <x v="5"/>
    <m/>
    <s v="GLOG-60005/26-1"/>
    <s v=""/>
    <x v="208"/>
    <s v="Safety Integration - SMiG"/>
    <m/>
    <x v="4"/>
    <s v="Pending Delivery"/>
    <d v="2026-01-27T00:00:00"/>
    <d v="2026-02-26T00:00:00"/>
    <s v="PCTC"/>
    <s v="#N/A "/>
    <s v="#N/A "/>
    <x v="0"/>
    <x v="0"/>
  </r>
  <r>
    <x v="5"/>
    <m/>
    <s v="GLOG-60006/26-1"/>
    <s v=""/>
    <x v="209"/>
    <s v="IT Equipment - Computers (Lenovo)"/>
    <m/>
    <x v="4"/>
    <s v="Pending Delivery"/>
    <d v="2026-01-27T00:00:00"/>
    <m/>
    <s v="PCTC"/>
    <s v="#N/A "/>
    <s v="#N/A "/>
    <x v="0"/>
    <x v="0"/>
  </r>
  <r>
    <x v="5"/>
    <m/>
    <s v="GLOG-60007/26-1"/>
    <s v=""/>
    <x v="210"/>
    <s v="GVT Electronics"/>
    <m/>
    <x v="0"/>
    <s v="Pending Delivery"/>
    <d v="2026-02-12T00:00:00"/>
    <m/>
    <s v="PCTC"/>
    <s v="#N/A "/>
    <s v="#N/A "/>
    <x v="0"/>
    <x v="0"/>
  </r>
  <r>
    <x v="5"/>
    <m/>
    <s v="GLOG-60008/26-1"/>
    <s v=""/>
    <x v="211"/>
    <s v="Navigation - HiNAS SVM"/>
    <m/>
    <x v="4"/>
    <s v="Pending Delivery"/>
    <d v="2026-02-11T00:00:00"/>
    <d v="2026-02-26T00:00:00"/>
    <s v="PCTC"/>
    <s v="#N/A "/>
    <s v="#N/A "/>
    <x v="0"/>
    <x v="0"/>
  </r>
  <r>
    <x v="5"/>
    <m/>
    <s v="GLOG-60009/26-1"/>
    <s v=""/>
    <x v="102"/>
    <s v="Communications - VLINK Cable"/>
    <m/>
    <x v="0"/>
    <s v="Pending Delivery"/>
    <d v="2026-03-03T00:00:00"/>
    <m/>
    <s v="PCTC"/>
    <s v="#N/A "/>
    <s v="#N/A "/>
    <x v="0"/>
    <x v="0"/>
  </r>
  <r>
    <x v="5"/>
    <m/>
    <s v="GLOG-60010/26-1"/>
    <s v=""/>
    <x v="7"/>
    <s v="IT Equipment - ITBP Cables"/>
    <m/>
    <x v="0"/>
    <s v="Pending Delivery"/>
    <d v="2026-02-17T00:00:00"/>
    <m/>
    <s v="PCTC"/>
    <s v="#N/A "/>
    <s v="#N/A "/>
    <x v="0"/>
    <x v="0"/>
  </r>
  <r>
    <x v="5"/>
    <m/>
    <s v="GLOG-60011/26-1"/>
    <s v=""/>
    <x v="144"/>
    <s v="IT Equipment - ITBP Additional Items"/>
    <m/>
    <x v="4"/>
    <s v="Pending Delivery"/>
    <d v="2026-02-11T00:00:00"/>
    <d v="2026-02-26T00:00:00"/>
    <s v="PCTC"/>
    <s v="#N/A "/>
    <s v="#N/A "/>
    <x v="0"/>
    <x v="0"/>
  </r>
  <r>
    <x v="5"/>
    <m/>
    <s v="GLOG-60012/26-1"/>
    <s v=""/>
    <x v="14"/>
    <s v="IT Equipment - ITBP Lab Kit"/>
    <m/>
    <x v="4"/>
    <s v="Pending Delivery"/>
    <d v="2026-02-18T00:00:00"/>
    <m/>
    <s v="PCTC"/>
    <s v="#N/A "/>
    <s v="#N/A "/>
    <x v="0"/>
    <x v="0"/>
  </r>
  <r>
    <x v="5"/>
    <m/>
    <s v="GLOG-60013/26-1"/>
    <s v=""/>
    <x v="8"/>
    <s v="IT Equipment - ITBP Additional Items"/>
    <m/>
    <x v="4"/>
    <s v="Pending Delivery"/>
    <d v="2026-02-19T00:00:00"/>
    <m/>
    <s v="PCTC"/>
    <s v="#N/A "/>
    <s v="#N/A "/>
    <x v="0"/>
    <x v="0"/>
  </r>
  <r>
    <x v="5"/>
    <m/>
    <s v="GLOG-60014/26-1"/>
    <s v=""/>
    <x v="16"/>
    <s v="Lubricants"/>
    <m/>
    <x v="4"/>
    <s v="Pending Delivery"/>
    <d v="2026-02-24T00:00:00"/>
    <m/>
    <s v="PCTC"/>
    <s v="#N/A "/>
    <s v="#N/A "/>
    <x v="0"/>
    <x v="0"/>
  </r>
  <r>
    <x v="5"/>
    <m/>
    <s v="GLOG-60016/26"/>
    <s v=""/>
    <x v="22"/>
    <s v="Gas Detection System"/>
    <m/>
    <x v="0"/>
    <s v="Pending Approval"/>
    <d v="2026-02-25T00:00:00"/>
    <m/>
    <s v="PCTC"/>
    <s v="#N/A "/>
    <s v="#N/A "/>
    <x v="0"/>
    <x v="0"/>
  </r>
  <r>
    <x v="5"/>
    <m/>
    <s v="GLOG-60017/26-1"/>
    <s v="Pre-Delivery"/>
    <x v="0"/>
    <s v="Fire Detection System"/>
    <m/>
    <x v="0"/>
    <s v="Pending Delivery"/>
    <m/>
    <m/>
    <s v="PCTC"/>
    <s v="#N/A "/>
    <s v="#N/A "/>
    <x v="0"/>
    <x v="0"/>
  </r>
  <r>
    <x v="5"/>
    <m/>
    <s v="GLOG-60018/26-1"/>
    <s v=""/>
    <x v="6"/>
    <s v="Oil Skimmers - Abanaki"/>
    <m/>
    <x v="0"/>
    <s v="Pending Delivery"/>
    <d v="2026-03-06T00:00:00"/>
    <m/>
    <s v="PCTC"/>
    <s v="#N/A "/>
    <s v="#N/A "/>
    <x v="0"/>
    <x v="0"/>
  </r>
  <r>
    <x v="5"/>
    <m/>
    <s v="GLOG-60019/26-1"/>
    <s v=""/>
    <x v="11"/>
    <s v="Oil Skimmers - Abanaki"/>
    <m/>
    <x v="0"/>
    <s v="Pending Delivery"/>
    <d v="2026-03-06T00:00:00"/>
    <m/>
    <s v="PCTC"/>
    <s v="#N/A "/>
    <s v="#N/A "/>
    <x v="0"/>
    <x v="0"/>
  </r>
  <r>
    <x v="5"/>
    <m/>
    <s v="GLOG-60020/26-1"/>
    <s v=""/>
    <x v="69"/>
    <s v="Garbage Compactor"/>
    <m/>
    <x v="0"/>
    <s v="Pending Delivery"/>
    <d v="2026-03-10T00:00:00"/>
    <m/>
    <s v="PCTC"/>
    <s v="#N/A "/>
    <s v="#N/A "/>
    <x v="0"/>
    <x v="0"/>
  </r>
  <r>
    <x v="5"/>
    <m/>
    <s v="GLOG-60020/26-1"/>
    <s v=""/>
    <x v="69"/>
    <s v="Cryogenic PPE"/>
    <m/>
    <x v="0"/>
    <s v="Pending Supplier Confirmation"/>
    <d v="2026-03-10T00:00:00"/>
    <m/>
    <s v="PCTC"/>
    <s v="#N/A "/>
    <s v="#N/A "/>
    <x v="0"/>
    <x v="0"/>
  </r>
  <r>
    <x v="5"/>
    <m/>
    <s v="GLOG-60021/26-1"/>
    <s v="Pre-Delivery"/>
    <x v="20"/>
    <s v="Sample Cooler"/>
    <m/>
    <x v="0"/>
    <s v="Pending Delivery"/>
    <d v="2026-03-13T00:00:00"/>
    <m/>
    <s v="PCTC"/>
    <s v="#N/A "/>
    <s v="#N/A "/>
    <x v="0"/>
    <x v="0"/>
  </r>
  <r>
    <x v="5"/>
    <m/>
    <s v="GLOG-60022/26-1"/>
    <s v="Pre-Delivery"/>
    <x v="17"/>
    <s v="BOG Compressor Spares"/>
    <m/>
    <x v="1"/>
    <s v="Pending Supplier Confirmation"/>
    <d v="2026-03-20T00:00:00"/>
    <m/>
    <s v="PCTC"/>
    <s v="#N/A "/>
    <s v="#N/A "/>
    <x v="0"/>
    <x v="0"/>
  </r>
  <r>
    <x v="5"/>
    <m/>
    <s v="GLOG-60024/26-1"/>
    <s v="Pre-Delivery"/>
    <x v="13"/>
    <s v="Thermal Camera (FLIR)"/>
    <m/>
    <x v="0"/>
    <s v="Pending Approval"/>
    <d v="2026-03-20T00:00:00"/>
    <m/>
    <s v="PCTC"/>
    <s v="#N/A "/>
    <s v="#N/A "/>
    <x v="0"/>
    <x v="0"/>
  </r>
  <r>
    <x v="5"/>
    <m/>
    <s v="GLOG-60025/26-1"/>
    <s v=""/>
    <x v="73"/>
    <s v="LNG Operation Manual"/>
    <m/>
    <x v="0"/>
    <s v="Pending Supplier Confirmation"/>
    <d v="2026-03-30T00:00:00"/>
    <m/>
    <s v="PCTC"/>
    <s v="#N/A "/>
    <s v="#N/A "/>
    <x v="0"/>
    <x v="0"/>
  </r>
  <r>
    <x v="5"/>
    <m/>
    <s v="GLOG-60026/26-1"/>
    <s v=""/>
    <x v="109"/>
    <s v="Citadel VHF/GPS/UHF System"/>
    <m/>
    <x v="1"/>
    <s v="Pending Delivery"/>
    <m/>
    <m/>
    <s v="PCTC"/>
    <s v="#N/A "/>
    <s v="#N/A "/>
    <x v="0"/>
    <x v="0"/>
  </r>
  <r>
    <x v="5"/>
    <m/>
    <s v="GLOG-60027/26-1"/>
    <s v=""/>
    <x v="3"/>
    <s v="RO-RO Equipment - Loose Fittings"/>
    <m/>
    <x v="1"/>
    <m/>
    <m/>
    <m/>
    <s v="PCTC"/>
    <s v="#N/A "/>
    <s v="#N/A "/>
    <x v="0"/>
    <x v="0"/>
  </r>
  <r>
    <x v="5"/>
    <m/>
    <m/>
    <s v=""/>
    <x v="88"/>
    <s v="Citadel VHF/GPS/UHF System"/>
    <m/>
    <x v="1"/>
    <m/>
    <m/>
    <m/>
    <s v="PCTC"/>
    <s v="#N/A "/>
    <s v="#N/A "/>
    <x v="0"/>
    <x v="0"/>
  </r>
  <r>
    <x v="5"/>
    <m/>
    <m/>
    <s v=""/>
    <x v="170"/>
    <s v="IMPA Stores - Stationery"/>
    <m/>
    <x v="1"/>
    <m/>
    <m/>
    <m/>
    <s v="PCTC"/>
    <s v="#N/A "/>
    <s v="#N/A "/>
    <x v="0"/>
    <x v="0"/>
  </r>
  <r>
    <x v="5"/>
    <m/>
    <m/>
    <s v=""/>
    <x v="45"/>
    <s v="IMPA Stores - SOPEP"/>
    <m/>
    <x v="1"/>
    <m/>
    <m/>
    <m/>
    <s v="PCTC"/>
    <s v="#N/A "/>
    <s v="#N/A "/>
    <x v="0"/>
    <x v="0"/>
  </r>
  <r>
    <x v="5"/>
    <m/>
    <m/>
    <s v=""/>
    <x v="101"/>
    <s v="IMPA Stores - Deck"/>
    <m/>
    <x v="1"/>
    <m/>
    <m/>
    <m/>
    <s v="PCTC"/>
    <s v="#N/A "/>
    <s v="#N/A "/>
    <x v="0"/>
    <x v="0"/>
  </r>
  <r>
    <x v="5"/>
    <m/>
    <m/>
    <s v=""/>
    <x v="122"/>
    <s v="IMPA Stores - Bridge"/>
    <m/>
    <x v="1"/>
    <m/>
    <m/>
    <m/>
    <s v="PCTC"/>
    <s v="#N/A "/>
    <s v="#N/A "/>
    <x v="0"/>
    <x v="0"/>
  </r>
  <r>
    <x v="5"/>
    <m/>
    <m/>
    <s v=""/>
    <x v="119"/>
    <s v="IMPA Stores - Gym"/>
    <m/>
    <x v="1"/>
    <m/>
    <m/>
    <m/>
    <s v="PCTC"/>
    <s v="#N/A "/>
    <s v="#N/A "/>
    <x v="0"/>
    <x v="0"/>
  </r>
  <r>
    <x v="5"/>
    <m/>
    <m/>
    <s v=""/>
    <x v="111"/>
    <s v="IMPA Stores - Crew"/>
    <m/>
    <x v="1"/>
    <m/>
    <m/>
    <m/>
    <s v="PCTC"/>
    <s v="#N/A "/>
    <s v="#N/A "/>
    <x v="0"/>
    <x v="0"/>
  </r>
  <r>
    <x v="5"/>
    <m/>
    <m/>
    <s v=""/>
    <x v="118"/>
    <s v="IMPA Stores - Firefighting Equipment"/>
    <m/>
    <x v="1"/>
    <m/>
    <m/>
    <m/>
    <s v="PCTC"/>
    <s v="#N/A "/>
    <s v="#N/A "/>
    <x v="0"/>
    <x v="0"/>
  </r>
  <r>
    <x v="5"/>
    <m/>
    <m/>
    <s v=""/>
    <x v="121"/>
    <s v="IMPA Stores - Company Stationery"/>
    <m/>
    <x v="1"/>
    <m/>
    <m/>
    <m/>
    <s v="PCTC"/>
    <s v="#N/A "/>
    <s v="#N/A "/>
    <x v="0"/>
    <x v="0"/>
  </r>
  <r>
    <x v="5"/>
    <m/>
    <m/>
    <s v=""/>
    <x v="114"/>
    <s v="IMPA Stores - BA Compressor"/>
    <m/>
    <x v="1"/>
    <m/>
    <m/>
    <m/>
    <s v="PCTC"/>
    <s v="#N/A "/>
    <s v="#N/A "/>
    <x v="0"/>
    <x v="0"/>
  </r>
  <r>
    <x v="5"/>
    <m/>
    <m/>
    <s v=""/>
    <x v="112"/>
    <s v="IMPA Stores - Accommodation"/>
    <m/>
    <x v="1"/>
    <m/>
    <m/>
    <m/>
    <s v="PCTC"/>
    <s v="#N/A "/>
    <s v="#N/A "/>
    <x v="0"/>
    <x v="0"/>
  </r>
  <r>
    <x v="5"/>
    <m/>
    <m/>
    <s v=""/>
    <x v="74"/>
    <s v="IMPA Stores - Galley"/>
    <m/>
    <x v="1"/>
    <m/>
    <m/>
    <m/>
    <s v="PCTC"/>
    <s v="#N/A "/>
    <s v="#N/A "/>
    <x v="0"/>
    <x v="0"/>
  </r>
  <r>
    <x v="5"/>
    <m/>
    <m/>
    <s v=""/>
    <x v="83"/>
    <s v="IMPA Stores - Engine"/>
    <m/>
    <x v="1"/>
    <m/>
    <m/>
    <m/>
    <s v="PCTC"/>
    <s v="#N/A "/>
    <s v="#N/A "/>
    <x v="0"/>
    <x v="0"/>
  </r>
  <r>
    <x v="5"/>
    <m/>
    <m/>
    <s v=""/>
    <x v="110"/>
    <s v="IMPA Stores - Engine"/>
    <m/>
    <x v="1"/>
    <m/>
    <m/>
    <m/>
    <s v="PCTC"/>
    <s v="#N/A "/>
    <s v="#N/A "/>
    <x v="0"/>
    <x v="0"/>
  </r>
  <r>
    <x v="5"/>
    <m/>
    <m/>
    <s v=""/>
    <x v="76"/>
    <s v="IMPA Stores - Engine"/>
    <m/>
    <x v="1"/>
    <m/>
    <m/>
    <m/>
    <s v="PCTC"/>
    <s v="#N/A "/>
    <s v="#N/A "/>
    <x v="0"/>
    <x v="0"/>
  </r>
  <r>
    <x v="5"/>
    <m/>
    <m/>
    <s v=""/>
    <x v="76"/>
    <s v="IMPA Stores - Engine"/>
    <m/>
    <x v="1"/>
    <m/>
    <m/>
    <m/>
    <s v="PCTC"/>
    <s v="#N/A "/>
    <s v="#N/A "/>
    <x v="0"/>
    <x v="0"/>
  </r>
  <r>
    <x v="5"/>
    <m/>
    <m/>
    <s v=""/>
    <x v="76"/>
    <s v="IMPA Stores - Electrical"/>
    <m/>
    <x v="1"/>
    <m/>
    <m/>
    <m/>
    <s v="PCTC"/>
    <s v="#N/A "/>
    <s v="#N/A "/>
    <x v="0"/>
    <x v="0"/>
  </r>
  <r>
    <x v="5"/>
    <m/>
    <m/>
    <s v=""/>
    <x v="76"/>
    <s v="IMPA Stores - General"/>
    <m/>
    <x v="1"/>
    <m/>
    <m/>
    <m/>
    <s v="PCTC"/>
    <s v="#N/A "/>
    <s v="#N/A "/>
    <x v="0"/>
    <x v="0"/>
  </r>
  <r>
    <x v="5"/>
    <m/>
    <m/>
    <s v=""/>
    <x v="120"/>
    <s v="Ultrasonic Cleaner"/>
    <m/>
    <x v="1"/>
    <m/>
    <m/>
    <m/>
    <s v="PCTC"/>
    <s v="#N/A "/>
    <s v="#N/A "/>
    <x v="0"/>
    <x v="0"/>
  </r>
  <r>
    <x v="5"/>
    <m/>
    <m/>
    <s v=""/>
    <x v="123"/>
    <s v="OPA 90 Kit"/>
    <m/>
    <x v="1"/>
    <m/>
    <m/>
    <m/>
    <s v="PCTC"/>
    <s v="#N/A "/>
    <s v="#N/A "/>
    <x v="0"/>
    <x v="0"/>
  </r>
  <r>
    <x v="5"/>
    <m/>
    <s v="GLOG-60028/26"/>
    <s v=""/>
    <x v="106"/>
    <s v="High Pressure Washer"/>
    <m/>
    <x v="1"/>
    <s v="Pending Approval"/>
    <m/>
    <m/>
    <s v="PCTC"/>
    <s v="#N/A "/>
    <s v="#N/A "/>
    <x v="0"/>
    <x v="0"/>
  </r>
  <r>
    <x v="5"/>
    <m/>
    <s v="GLOG-60029/26"/>
    <s v=""/>
    <x v="24"/>
    <s v="LOTO Stickers"/>
    <m/>
    <x v="1"/>
    <s v="Pending Approval"/>
    <m/>
    <m/>
    <s v="PCTC"/>
    <s v="#N/A "/>
    <s v="#N/A "/>
    <x v="0"/>
    <x v="0"/>
  </r>
  <r>
    <x v="5"/>
    <m/>
    <s v="GLOG-60030/26"/>
    <s v=""/>
    <x v="25"/>
    <s v="Steam Splash Suit"/>
    <m/>
    <x v="1"/>
    <s v="Pending Approval"/>
    <m/>
    <m/>
    <s v="PCTC"/>
    <s v="#N/A "/>
    <s v="#N/A "/>
    <x v="0"/>
    <x v="0"/>
  </r>
  <r>
    <x v="5"/>
    <m/>
    <m/>
    <s v=""/>
    <x v="172"/>
    <s v="Chemical Tags"/>
    <m/>
    <x v="1"/>
    <m/>
    <m/>
    <m/>
    <s v="PCTC"/>
    <s v="#N/A "/>
    <s v="#N/A "/>
    <x v="0"/>
    <x v="0"/>
  </r>
  <r>
    <x v="5"/>
    <m/>
    <s v="GLOG-60031/26"/>
    <s v=""/>
    <x v="173"/>
    <s v="Safe Lanes (Trelleborg)"/>
    <m/>
    <x v="1"/>
    <s v="Pending Approval"/>
    <m/>
    <m/>
    <s v="PCTC"/>
    <s v="#N/A "/>
    <s v="#N/A "/>
    <x v="0"/>
    <x v="0"/>
  </r>
  <r>
    <x v="5"/>
    <m/>
    <m/>
    <s v=""/>
    <x v="174"/>
    <s v="Seatab"/>
    <m/>
    <x v="1"/>
    <m/>
    <m/>
    <m/>
    <s v="PCTC"/>
    <s v="#N/A "/>
    <s v="#N/A "/>
    <x v="0"/>
    <x v="0"/>
  </r>
  <r>
    <x v="5"/>
    <m/>
    <m/>
    <s v=""/>
    <x v="175"/>
    <s v="Explosion Proof Camera"/>
    <m/>
    <x v="1"/>
    <m/>
    <m/>
    <m/>
    <s v="PCTC"/>
    <s v="#N/A "/>
    <s v="#N/A "/>
    <x v="0"/>
    <x v="0"/>
  </r>
  <r>
    <x v="5"/>
    <m/>
    <s v="GLOG-60023/26-1"/>
    <s v="Pre-Delivery"/>
    <x v="19"/>
    <s v="Temperature &amp; Pressure Calibrators"/>
    <m/>
    <x v="1"/>
    <m/>
    <s v="3/17/2026"/>
    <m/>
    <s v="PCTC"/>
    <s v="#N/A "/>
    <s v="#N/A "/>
    <x v="0"/>
    <x v="0"/>
  </r>
  <r>
    <x v="5"/>
    <m/>
    <m/>
    <s v=""/>
    <x v="176"/>
    <s v="VISWA Line Samplers"/>
    <m/>
    <x v="1"/>
    <m/>
    <m/>
    <m/>
    <s v="PCTC"/>
    <s v="#N/A "/>
    <s v="#N/A "/>
    <x v="0"/>
    <x v="0"/>
  </r>
  <r>
    <x v="5"/>
    <m/>
    <m/>
    <s v=""/>
    <x v="177"/>
    <s v="IMPA Stores - Stationery"/>
    <m/>
    <x v="1"/>
    <m/>
    <m/>
    <m/>
    <s v="PCTC"/>
    <s v="#N/A "/>
    <s v="#N/A "/>
    <x v="0"/>
    <x v="0"/>
  </r>
  <r>
    <x v="5"/>
    <m/>
    <m/>
    <s v=""/>
    <x v="178"/>
    <s v="HP Pump (Hydraulic Nuts)"/>
    <m/>
    <x v="1"/>
    <m/>
    <m/>
    <m/>
    <s v="PCTC"/>
    <s v="#N/A "/>
    <s v="#N/A "/>
    <x v="0"/>
    <x v="0"/>
  </r>
  <r>
    <x v="5"/>
    <m/>
    <m/>
    <s v=""/>
    <x v="179"/>
    <s v="Chemicals - General"/>
    <m/>
    <x v="1"/>
    <m/>
    <m/>
    <m/>
    <s v="PCTC"/>
    <s v="#N/A "/>
    <s v="#N/A "/>
    <x v="0"/>
    <x v="0"/>
  </r>
  <r>
    <x v="5"/>
    <m/>
    <m/>
    <s v=""/>
    <x v="180"/>
    <s v="Mooring Ropes"/>
    <m/>
    <x v="1"/>
    <m/>
    <m/>
    <m/>
    <s v="PCTC"/>
    <s v="#N/A "/>
    <s v="#N/A "/>
    <x v="0"/>
    <x v="0"/>
  </r>
  <r>
    <x v="5"/>
    <m/>
    <m/>
    <s v=""/>
    <x v="181"/>
    <s v="UHF Radio"/>
    <m/>
    <x v="1"/>
    <m/>
    <m/>
    <m/>
    <s v="PCTC"/>
    <s v="#N/A "/>
    <s v="#N/A "/>
    <x v="0"/>
    <x v="0"/>
  </r>
  <r>
    <x v="5"/>
    <m/>
    <m/>
    <s v=""/>
    <x v="39"/>
    <s v="Soot Treatment"/>
    <m/>
    <x v="1"/>
    <m/>
    <m/>
    <m/>
    <s v="PCTC"/>
    <s v="#N/A "/>
    <s v="#N/A "/>
    <x v="0"/>
    <x v="0"/>
  </r>
  <r>
    <x v="5"/>
    <m/>
    <m/>
    <s v=""/>
    <x v="182"/>
    <s v="Garbage Refrigerator"/>
    <m/>
    <x v="1"/>
    <m/>
    <m/>
    <m/>
    <s v="PCTC"/>
    <s v="#N/A "/>
    <s v="#N/A "/>
    <x v="0"/>
    <x v="0"/>
  </r>
  <r>
    <x v="5"/>
    <m/>
    <m/>
    <s v=""/>
    <x v="145"/>
    <s v="Dual Fuel Tools"/>
    <m/>
    <x v="1"/>
    <m/>
    <m/>
    <m/>
    <s v="PCTC"/>
    <s v="#N/A "/>
    <s v="#N/A "/>
    <x v="0"/>
    <x v="0"/>
  </r>
  <r>
    <x v="5"/>
    <m/>
    <m/>
    <s v=""/>
    <x v="115"/>
    <s v="UHF Antenna"/>
    <m/>
    <x v="1"/>
    <m/>
    <m/>
    <m/>
    <s v="PCTC"/>
    <s v="#N/A "/>
    <s v="#N/A "/>
    <x v="0"/>
    <x v="0"/>
  </r>
  <r>
    <x v="5"/>
    <m/>
    <m/>
    <s v=""/>
    <x v="52"/>
    <s v="Citadel VHF/GPS/UHF System"/>
    <m/>
    <x v="1"/>
    <m/>
    <m/>
    <m/>
    <s v="PCTC"/>
    <s v="#N/A "/>
    <s v="#N/A "/>
    <x v="0"/>
    <x v="0"/>
  </r>
  <r>
    <x v="5"/>
    <m/>
    <m/>
    <s v=""/>
    <x v="183"/>
    <s v="Stanchions"/>
    <m/>
    <x v="1"/>
    <m/>
    <m/>
    <m/>
    <s v="PCTC"/>
    <s v="#N/A "/>
    <s v="#N/A "/>
    <x v="0"/>
    <x v="0"/>
  </r>
  <r>
    <x v="5"/>
    <m/>
    <m/>
    <s v=""/>
    <x v="184"/>
    <s v="Engine Spares - Main Engine"/>
    <m/>
    <x v="1"/>
    <m/>
    <m/>
    <m/>
    <s v="PCTC"/>
    <s v="#N/A "/>
    <s v="#N/A "/>
    <x v="0"/>
    <x v="0"/>
  </r>
  <r>
    <x v="5"/>
    <m/>
    <m/>
    <s v=""/>
    <x v="134"/>
    <s v="Engine Spares - Auxiliary Engine"/>
    <m/>
    <x v="1"/>
    <m/>
    <m/>
    <m/>
    <s v="PCTC"/>
    <s v="#N/A "/>
    <s v="#N/A "/>
    <x v="0"/>
    <x v="0"/>
  </r>
  <r>
    <x v="5"/>
    <m/>
    <m/>
    <s v=""/>
    <x v="195"/>
    <s v="RO-RO Equipment - Ramp Spares"/>
    <m/>
    <x v="1"/>
    <m/>
    <m/>
    <m/>
    <s v="PCTC"/>
    <s v="#N/A "/>
    <s v="#N/A "/>
    <x v="0"/>
    <x v="0"/>
  </r>
  <r>
    <x v="5"/>
    <m/>
    <m/>
    <s v=""/>
    <x v="196"/>
    <s v="Engine Spares - Auxiliary Engine"/>
    <m/>
    <x v="1"/>
    <m/>
    <m/>
    <m/>
    <s v="PCTC"/>
    <s v="#N/A "/>
    <s v="#N/A "/>
    <x v="0"/>
    <x v="0"/>
  </r>
  <r>
    <x v="5"/>
    <m/>
    <m/>
    <s v=""/>
    <x v="197"/>
    <s v="Nitrogen Generator"/>
    <m/>
    <x v="1"/>
    <m/>
    <m/>
    <m/>
    <s v="PCTC"/>
    <s v="#N/A "/>
    <s v="#N/A "/>
    <x v="0"/>
    <x v="0"/>
  </r>
  <r>
    <x v="5"/>
    <m/>
    <m/>
    <s v=""/>
    <x v="198"/>
    <s v="HP Pump Skid"/>
    <m/>
    <x v="1"/>
    <m/>
    <m/>
    <m/>
    <s v="PCTC"/>
    <s v="#N/A "/>
    <s v="#N/A "/>
    <x v="0"/>
    <x v="0"/>
  </r>
  <r>
    <x v="5"/>
    <m/>
    <m/>
    <s v=""/>
    <x v="199"/>
    <s v="Lubricants"/>
    <m/>
    <x v="1"/>
    <m/>
    <m/>
    <m/>
    <s v="PCTC"/>
    <s v="#N/A "/>
    <s v="#N/A "/>
    <x v="0"/>
    <x v="0"/>
  </r>
  <r>
    <x v="5"/>
    <m/>
    <m/>
    <s v=""/>
    <x v="87"/>
    <s v="IT Equipment - Computers (Lenovo)"/>
    <m/>
    <x v="1"/>
    <m/>
    <m/>
    <m/>
    <s v="PCTC"/>
    <s v="#N/A "/>
    <s v="#N/A "/>
    <x v="0"/>
    <x v="0"/>
  </r>
  <r>
    <x v="5"/>
    <m/>
    <m/>
    <s v=""/>
    <x v="200"/>
    <s v="BWTS Spares"/>
    <m/>
    <x v="1"/>
    <m/>
    <m/>
    <m/>
    <s v="PCTC"/>
    <s v="#N/A "/>
    <s v="#N/A "/>
    <x v="0"/>
    <x v="0"/>
  </r>
  <r>
    <x v="5"/>
    <m/>
    <m/>
    <s v=""/>
    <x v="201"/>
    <s v="Crew Welfare - Refrigerators"/>
    <m/>
    <x v="1"/>
    <m/>
    <m/>
    <m/>
    <s v="PCTC"/>
    <s v="#N/A "/>
    <s v="#N/A "/>
    <x v="0"/>
    <x v="0"/>
  </r>
  <r>
    <x v="5"/>
    <m/>
    <m/>
    <s v=""/>
    <x v="152"/>
    <s v="Breathing Air Compressor"/>
    <m/>
    <x v="1"/>
    <m/>
    <m/>
    <m/>
    <s v="PCTC"/>
    <s v="#N/A "/>
    <s v="#N/A "/>
    <x v="0"/>
    <x v="0"/>
  </r>
  <r>
    <x v="5"/>
    <m/>
    <m/>
    <s v=""/>
    <x v="125"/>
    <s v="Ozone Steriliser"/>
    <m/>
    <x v="1"/>
    <m/>
    <m/>
    <m/>
    <s v="PCTC"/>
    <s v="#N/A "/>
    <s v="#N/A "/>
    <x v="0"/>
    <x v="0"/>
  </r>
  <r>
    <x v="5"/>
    <m/>
    <m/>
    <s v=""/>
    <x v="202"/>
    <s v="Suez Light"/>
    <m/>
    <x v="1"/>
    <m/>
    <m/>
    <m/>
    <s v="PCTC"/>
    <s v="#N/A "/>
    <s v="#N/A "/>
    <x v="0"/>
    <x v="0"/>
  </r>
  <r>
    <x v="5"/>
    <m/>
    <m/>
    <s v=""/>
    <x v="126"/>
    <s v="RO-RO Equipment - Ramp Spares"/>
    <m/>
    <x v="1"/>
    <m/>
    <m/>
    <m/>
    <s v="PCTC"/>
    <s v="#N/A "/>
    <s v="#N/A "/>
    <x v="0"/>
    <x v="0"/>
  </r>
  <r>
    <x v="5"/>
    <m/>
    <m/>
    <s v=""/>
    <x v="127"/>
    <s v="Reefer Cables &amp; Plugs"/>
    <m/>
    <x v="1"/>
    <m/>
    <m/>
    <m/>
    <s v="PCTC"/>
    <s v="#N/A "/>
    <s v="#N/A "/>
    <x v="0"/>
    <x v="0"/>
  </r>
  <r>
    <x v="5"/>
    <m/>
    <m/>
    <s v=""/>
    <x v="203"/>
    <s v="Chain Blocks"/>
    <m/>
    <x v="1"/>
    <m/>
    <m/>
    <m/>
    <s v="PCTC"/>
    <s v="#N/A "/>
    <s v="#N/A "/>
    <x v="0"/>
    <x v="0"/>
  </r>
  <r>
    <x v="5"/>
    <m/>
    <m/>
    <s v=""/>
    <x v="92"/>
    <s v="Glycol"/>
    <m/>
    <x v="1"/>
    <m/>
    <m/>
    <m/>
    <s v="PCTC"/>
    <s v="#N/A "/>
    <s v="#N/A "/>
    <x v="0"/>
    <x v="0"/>
  </r>
  <r>
    <x v="5"/>
    <m/>
    <m/>
    <s v=""/>
    <x v="128"/>
    <s v="Gas Meters"/>
    <m/>
    <x v="1"/>
    <m/>
    <m/>
    <m/>
    <s v="PCTC"/>
    <s v="#N/A "/>
    <s v="#N/A "/>
    <x v="0"/>
    <x v="0"/>
  </r>
  <r>
    <x v="5"/>
    <m/>
    <m/>
    <s v=""/>
    <x v="104"/>
    <s v="Welding Equipment"/>
    <m/>
    <x v="1"/>
    <m/>
    <m/>
    <m/>
    <s v="PCTC"/>
    <s v="#N/A "/>
    <s v="#N/A "/>
    <x v="0"/>
    <x v="0"/>
  </r>
  <r>
    <x v="5"/>
    <m/>
    <s v="GLOG-60035/26"/>
    <s v=""/>
    <x v="103"/>
    <s v="Service Car &amp; Forklift"/>
    <m/>
    <x v="1"/>
    <m/>
    <m/>
    <m/>
    <s v="PCTC"/>
    <s v="#N/A "/>
    <s v="#N/A "/>
    <x v="0"/>
    <x v="0"/>
  </r>
  <r>
    <x v="5"/>
    <m/>
    <m/>
    <s v=""/>
    <x v="129"/>
    <s v="Navigation - Captains Eye"/>
    <m/>
    <x v="1"/>
    <m/>
    <m/>
    <m/>
    <s v="PCTC"/>
    <s v="#N/A "/>
    <s v="#N/A "/>
    <x v="0"/>
    <x v="0"/>
  </r>
  <r>
    <x v="5"/>
    <m/>
    <m/>
    <s v=""/>
    <x v="204"/>
    <s v="Communications - VSAT (KVH)"/>
    <m/>
    <x v="1"/>
    <m/>
    <m/>
    <m/>
    <s v="PCTC"/>
    <s v="#N/A "/>
    <s v="#N/A "/>
    <x v="0"/>
    <x v="0"/>
  </r>
  <r>
    <x v="6"/>
    <m/>
    <s v="GLOY-60001/26-1"/>
    <s v=""/>
    <x v="10"/>
    <s v="IT Equipment - AST"/>
    <m/>
    <x v="0"/>
    <m/>
    <m/>
    <m/>
    <s v="PCTC"/>
    <s v="#N/A "/>
    <s v="#N/A "/>
    <x v="0"/>
    <x v="0"/>
  </r>
  <r>
    <x v="6"/>
    <m/>
    <s v="GLOY-60002/26-1"/>
    <s v=""/>
    <x v="212"/>
    <s v="IT Equipment - ITBP"/>
    <m/>
    <x v="0"/>
    <m/>
    <m/>
    <m/>
    <s v="PCTC"/>
    <s v="#N/A "/>
    <s v="#N/A "/>
    <x v="0"/>
    <x v="0"/>
  </r>
  <r>
    <x v="6"/>
    <m/>
    <s v="GLOY-60004/26-1"/>
    <s v=""/>
    <x v="213"/>
    <s v="Safety Integration - SMiG"/>
    <m/>
    <x v="0"/>
    <m/>
    <m/>
    <m/>
    <s v="PCTC"/>
    <s v="#N/A "/>
    <s v="#N/A "/>
    <x v="0"/>
    <x v="0"/>
  </r>
  <r>
    <x v="6"/>
    <m/>
    <s v="GLOY-60005/26-1"/>
    <s v=""/>
    <x v="214"/>
    <s v="IT Equipment - Computers (Lenovo)"/>
    <m/>
    <x v="0"/>
    <m/>
    <m/>
    <m/>
    <s v="PCTC"/>
    <s v="#N/A "/>
    <s v="#N/A "/>
    <x v="0"/>
    <x v="0"/>
  </r>
  <r>
    <x v="6"/>
    <m/>
    <s v="GLOY-60006/26-1"/>
    <s v=""/>
    <x v="215"/>
    <s v="GVT Electronics"/>
    <m/>
    <x v="0"/>
    <m/>
    <m/>
    <m/>
    <s v="PCTC"/>
    <s v="#N/A "/>
    <s v="#N/A "/>
    <x v="0"/>
    <x v="0"/>
  </r>
  <r>
    <x v="6"/>
    <m/>
    <s v="GLOY-60007/26-1"/>
    <s v=""/>
    <x v="216"/>
    <s v="Navigation - HiNAS SVM"/>
    <m/>
    <x v="0"/>
    <m/>
    <m/>
    <m/>
    <s v="PCTC"/>
    <s v="#N/A "/>
    <s v="#N/A "/>
    <x v="0"/>
    <x v="0"/>
  </r>
  <r>
    <x v="6"/>
    <m/>
    <s v="GLOY-60008/26-1"/>
    <s v=""/>
    <x v="102"/>
    <s v="Communications - VLINK Cable"/>
    <m/>
    <x v="0"/>
    <m/>
    <m/>
    <m/>
    <s v="PCTC"/>
    <s v="#N/A "/>
    <s v="#N/A "/>
    <x v="0"/>
    <x v="0"/>
  </r>
  <r>
    <x v="6"/>
    <m/>
    <s v="GLOY-60009/26-1"/>
    <s v=""/>
    <x v="7"/>
    <s v="IT Equipment - ITBP Cables"/>
    <m/>
    <x v="0"/>
    <m/>
    <m/>
    <m/>
    <s v="PCTC"/>
    <s v="#N/A "/>
    <s v="#N/A "/>
    <x v="0"/>
    <x v="0"/>
  </r>
  <r>
    <x v="6"/>
    <m/>
    <s v="GLOY-60010/26-1"/>
    <s v=""/>
    <x v="144"/>
    <s v="IT Equipment - ITBP Additional Items"/>
    <m/>
    <x v="0"/>
    <m/>
    <m/>
    <m/>
    <s v="PCTC"/>
    <s v="#N/A "/>
    <s v="#N/A "/>
    <x v="0"/>
    <x v="0"/>
  </r>
  <r>
    <x v="6"/>
    <m/>
    <s v="GLOY-60012/26-1"/>
    <s v=""/>
    <x v="14"/>
    <s v="IT Equipment - ITBP Lab Kit"/>
    <m/>
    <x v="0"/>
    <m/>
    <m/>
    <m/>
    <s v="PCTC"/>
    <s v="#N/A "/>
    <s v="#N/A "/>
    <x v="0"/>
    <x v="0"/>
  </r>
  <r>
    <x v="6"/>
    <m/>
    <s v="GLOY-60013/26-1"/>
    <s v=""/>
    <x v="8"/>
    <s v="IT Equipment - ITBP Additional Items"/>
    <m/>
    <x v="0"/>
    <m/>
    <m/>
    <m/>
    <s v="PCTC"/>
    <s v="#N/A "/>
    <s v="#N/A "/>
    <x v="0"/>
    <x v="0"/>
  </r>
  <r>
    <x v="6"/>
    <m/>
    <s v="GLOY-60014/26-1"/>
    <s v=""/>
    <x v="16"/>
    <s v="Lubricants"/>
    <m/>
    <x v="0"/>
    <m/>
    <m/>
    <m/>
    <s v="PCTC"/>
    <s v="#N/A "/>
    <s v="#N/A "/>
    <x v="0"/>
    <x v="0"/>
  </r>
  <r>
    <x v="6"/>
    <m/>
    <s v="GLOY-60016/26"/>
    <s v=""/>
    <x v="22"/>
    <s v="Gas Detection System"/>
    <m/>
    <x v="0"/>
    <m/>
    <m/>
    <m/>
    <s v="PCTC"/>
    <s v="#N/A "/>
    <s v="#N/A "/>
    <x v="0"/>
    <x v="0"/>
  </r>
  <r>
    <x v="6"/>
    <m/>
    <s v="GLOY-60017/26-1"/>
    <s v="Pre-Delivery"/>
    <x v="0"/>
    <s v="Fire Detection System"/>
    <m/>
    <x v="0"/>
    <m/>
    <m/>
    <m/>
    <s v="PCTC"/>
    <s v="#N/A "/>
    <s v="#N/A "/>
    <x v="0"/>
    <x v="0"/>
  </r>
  <r>
    <x v="6"/>
    <m/>
    <s v="GLOY-60018/26-1"/>
    <s v=""/>
    <x v="6"/>
    <s v="Oil Skimmers - Abanaki"/>
    <m/>
    <x v="0"/>
    <m/>
    <m/>
    <m/>
    <s v="PCTC"/>
    <s v="#N/A "/>
    <s v="#N/A "/>
    <x v="0"/>
    <x v="0"/>
  </r>
  <r>
    <x v="6"/>
    <m/>
    <s v="GLOY-60019/26-1"/>
    <s v=""/>
    <x v="11"/>
    <s v="Garbage Compactor"/>
    <m/>
    <x v="0"/>
    <m/>
    <m/>
    <m/>
    <s v="PCTC"/>
    <s v="#N/A "/>
    <s v="#N/A "/>
    <x v="0"/>
    <x v="0"/>
  </r>
  <r>
    <x v="6"/>
    <m/>
    <s v="GLOY-60020/26-1"/>
    <s v=""/>
    <x v="69"/>
    <s v="Cryogenic PPE"/>
    <m/>
    <x v="0"/>
    <m/>
    <m/>
    <m/>
    <s v="PCTC"/>
    <s v="#N/A "/>
    <s v="#N/A "/>
    <x v="0"/>
    <x v="0"/>
  </r>
  <r>
    <x v="6"/>
    <m/>
    <s v="GLOY-60021/26-1"/>
    <s v="Pre-Delivery"/>
    <x v="20"/>
    <s v="Sample Cooler"/>
    <m/>
    <x v="0"/>
    <m/>
    <m/>
    <m/>
    <s v="PCTC"/>
    <s v="#N/A "/>
    <s v="#N/A "/>
    <x v="0"/>
    <x v="0"/>
  </r>
  <r>
    <x v="6"/>
    <m/>
    <s v="GLOY-60022/26-1"/>
    <s v="Pre-Delivery"/>
    <x v="17"/>
    <s v="BOG Compressor Spares"/>
    <m/>
    <x v="0"/>
    <m/>
    <m/>
    <m/>
    <s v="PCTC"/>
    <s v="#N/A "/>
    <s v="#N/A "/>
    <x v="0"/>
    <x v="0"/>
  </r>
  <r>
    <x v="6"/>
    <m/>
    <s v="GLOY-60024/26-1"/>
    <s v="Pre-Delivery"/>
    <x v="13"/>
    <s v="Thermal Camera (FLIR)"/>
    <m/>
    <x v="0"/>
    <m/>
    <m/>
    <m/>
    <s v="PCTC"/>
    <s v="#N/A "/>
    <s v="#N/A "/>
    <x v="0"/>
    <x v="0"/>
  </r>
  <r>
    <x v="6"/>
    <m/>
    <s v="GLOY-60025/26-1"/>
    <s v=""/>
    <x v="73"/>
    <s v="LNG Operation Manual"/>
    <m/>
    <x v="0"/>
    <m/>
    <m/>
    <m/>
    <s v="PCTC"/>
    <s v="#N/A "/>
    <s v="#N/A "/>
    <x v="0"/>
    <x v="0"/>
  </r>
  <r>
    <x v="6"/>
    <m/>
    <s v="GLOY-60026/26-1"/>
    <s v=""/>
    <x v="109"/>
    <s v="IMPA Stores - Stationery"/>
    <m/>
    <x v="0"/>
    <m/>
    <m/>
    <m/>
    <s v="PCTC"/>
    <s v="#N/A "/>
    <s v="#N/A "/>
    <x v="0"/>
    <x v="0"/>
  </r>
  <r>
    <x v="6"/>
    <m/>
    <s v="GLOY-60027/26-1"/>
    <s v=""/>
    <x v="3"/>
    <s v="IMPA Stores - SOPEP"/>
    <m/>
    <x v="0"/>
    <m/>
    <m/>
    <m/>
    <s v="PCTC"/>
    <s v="#N/A "/>
    <s v="#N/A "/>
    <x v="0"/>
    <x v="0"/>
  </r>
  <r>
    <x v="6"/>
    <m/>
    <m/>
    <s v=""/>
    <x v="101"/>
    <s v="IMPA Stores - Deck"/>
    <m/>
    <x v="1"/>
    <m/>
    <m/>
    <m/>
    <s v="PCTC"/>
    <s v="#N/A "/>
    <s v="#N/A "/>
    <x v="0"/>
    <x v="0"/>
  </r>
  <r>
    <x v="6"/>
    <m/>
    <m/>
    <s v=""/>
    <x v="122"/>
    <s v="IMPA Stores - Bridge"/>
    <m/>
    <x v="1"/>
    <m/>
    <m/>
    <m/>
    <s v="PCTC"/>
    <s v="#N/A "/>
    <s v="#N/A "/>
    <x v="0"/>
    <x v="0"/>
  </r>
  <r>
    <x v="6"/>
    <m/>
    <m/>
    <s v=""/>
    <x v="119"/>
    <s v="IMPA Stores - Gym"/>
    <m/>
    <x v="1"/>
    <m/>
    <m/>
    <m/>
    <s v="PCTC"/>
    <s v="#N/A "/>
    <s v="#N/A "/>
    <x v="0"/>
    <x v="0"/>
  </r>
  <r>
    <x v="6"/>
    <m/>
    <m/>
    <s v=""/>
    <x v="111"/>
    <s v="IMPA Stores - Crew"/>
    <m/>
    <x v="1"/>
    <m/>
    <m/>
    <m/>
    <s v="PCTC"/>
    <s v="#N/A "/>
    <s v="#N/A "/>
    <x v="0"/>
    <x v="0"/>
  </r>
  <r>
    <x v="6"/>
    <m/>
    <m/>
    <s v=""/>
    <x v="118"/>
    <s v="IMPA Stores - Firefighting Equipment"/>
    <m/>
    <x v="1"/>
    <m/>
    <m/>
    <m/>
    <s v="PCTC"/>
    <s v="#N/A "/>
    <s v="#N/A "/>
    <x v="0"/>
    <x v="0"/>
  </r>
  <r>
    <x v="6"/>
    <m/>
    <m/>
    <s v=""/>
    <x v="121"/>
    <s v="IMPA Stores - Company Stationery"/>
    <m/>
    <x v="1"/>
    <m/>
    <m/>
    <m/>
    <s v="PCTC"/>
    <s v="#N/A "/>
    <s v="#N/A "/>
    <x v="0"/>
    <x v="0"/>
  </r>
  <r>
    <x v="6"/>
    <m/>
    <m/>
    <s v=""/>
    <x v="114"/>
    <s v="IMPA Stores - BA Compressor"/>
    <m/>
    <x v="1"/>
    <m/>
    <m/>
    <m/>
    <s v="PCTC"/>
    <s v="#N/A "/>
    <s v="#N/A "/>
    <x v="0"/>
    <x v="0"/>
  </r>
  <r>
    <x v="6"/>
    <m/>
    <m/>
    <s v=""/>
    <x v="112"/>
    <s v="IMPA Stores - Accommodation"/>
    <m/>
    <x v="1"/>
    <m/>
    <m/>
    <m/>
    <s v="PCTC"/>
    <s v="#N/A "/>
    <s v="#N/A "/>
    <x v="0"/>
    <x v="0"/>
  </r>
  <r>
    <x v="6"/>
    <m/>
    <m/>
    <s v=""/>
    <x v="74"/>
    <s v="IMPA Stores - Galley"/>
    <m/>
    <x v="1"/>
    <m/>
    <m/>
    <m/>
    <s v="PCTC"/>
    <s v="#N/A "/>
    <s v="#N/A "/>
    <x v="0"/>
    <x v="0"/>
  </r>
  <r>
    <x v="6"/>
    <m/>
    <m/>
    <s v=""/>
    <x v="83"/>
    <s v="IMPA Stores - Engine"/>
    <m/>
    <x v="1"/>
    <m/>
    <m/>
    <m/>
    <s v="PCTC"/>
    <s v="#N/A "/>
    <s v="#N/A "/>
    <x v="0"/>
    <x v="0"/>
  </r>
  <r>
    <x v="6"/>
    <m/>
    <m/>
    <s v=""/>
    <x v="110"/>
    <s v="IMPA Stores - Engine"/>
    <m/>
    <x v="1"/>
    <m/>
    <m/>
    <m/>
    <s v="PCTC"/>
    <s v="#N/A "/>
    <s v="#N/A "/>
    <x v="0"/>
    <x v="0"/>
  </r>
  <r>
    <x v="6"/>
    <m/>
    <m/>
    <s v=""/>
    <x v="76"/>
    <s v="IMPA Stores - Engine"/>
    <m/>
    <x v="1"/>
    <m/>
    <m/>
    <m/>
    <s v="PCTC"/>
    <s v="#N/A "/>
    <s v="#N/A "/>
    <x v="0"/>
    <x v="0"/>
  </r>
  <r>
    <x v="6"/>
    <m/>
    <m/>
    <s v=""/>
    <x v="76"/>
    <s v="IMPA Stores - Engine"/>
    <m/>
    <x v="1"/>
    <m/>
    <m/>
    <m/>
    <s v="PCTC"/>
    <s v="#N/A "/>
    <s v="#N/A "/>
    <x v="0"/>
    <x v="0"/>
  </r>
  <r>
    <x v="6"/>
    <m/>
    <m/>
    <s v=""/>
    <x v="76"/>
    <s v="IMPA Stores - Electrical"/>
    <m/>
    <x v="1"/>
    <m/>
    <m/>
    <m/>
    <s v="PCTC"/>
    <s v="#N/A "/>
    <s v="#N/A "/>
    <x v="0"/>
    <x v="0"/>
  </r>
  <r>
    <x v="6"/>
    <m/>
    <m/>
    <s v=""/>
    <x v="76"/>
    <s v="IMPA Stores - General"/>
    <m/>
    <x v="1"/>
    <m/>
    <m/>
    <m/>
    <s v="PCTC"/>
    <s v="#N/A "/>
    <s v="#N/A "/>
    <x v="0"/>
    <x v="0"/>
  </r>
  <r>
    <x v="6"/>
    <m/>
    <m/>
    <s v=""/>
    <x v="120"/>
    <s v="Ultrasonic Cleaner"/>
    <m/>
    <x v="1"/>
    <m/>
    <m/>
    <m/>
    <s v="PCTC"/>
    <s v="#N/A "/>
    <s v="#N/A "/>
    <x v="0"/>
    <x v="0"/>
  </r>
  <r>
    <x v="6"/>
    <m/>
    <m/>
    <s v=""/>
    <x v="123"/>
    <s v="OPA 90 Kit"/>
    <m/>
    <x v="1"/>
    <m/>
    <m/>
    <m/>
    <s v="PCTC"/>
    <s v="#N/A "/>
    <s v="#N/A "/>
    <x v="0"/>
    <x v="0"/>
  </r>
  <r>
    <x v="6"/>
    <m/>
    <s v="GLOY-60028/26"/>
    <s v=""/>
    <x v="106"/>
    <s v="High Pressure Washer"/>
    <m/>
    <x v="1"/>
    <m/>
    <m/>
    <m/>
    <s v="PCTC"/>
    <s v="#N/A "/>
    <s v="#N/A "/>
    <x v="0"/>
    <x v="0"/>
  </r>
  <r>
    <x v="6"/>
    <m/>
    <s v="GLOY-60029/26"/>
    <s v=""/>
    <x v="24"/>
    <s v="LOTO Stickers"/>
    <m/>
    <x v="1"/>
    <m/>
    <m/>
    <m/>
    <s v="PCTC"/>
    <s v="#N/A "/>
    <s v="#N/A "/>
    <x v="0"/>
    <x v="0"/>
  </r>
  <r>
    <x v="6"/>
    <m/>
    <s v="GLOY-60030/26"/>
    <s v=""/>
    <x v="25"/>
    <s v="Steam Splash Suit"/>
    <m/>
    <x v="1"/>
    <m/>
    <m/>
    <m/>
    <s v="PCTC"/>
    <s v="#N/A "/>
    <s v="#N/A "/>
    <x v="0"/>
    <x v="0"/>
  </r>
  <r>
    <x v="6"/>
    <m/>
    <m/>
    <s v=""/>
    <x v="172"/>
    <s v="Chemical Tags"/>
    <m/>
    <x v="1"/>
    <m/>
    <m/>
    <m/>
    <s v="PCTC"/>
    <s v="#N/A "/>
    <s v="#N/A "/>
    <x v="0"/>
    <x v="0"/>
  </r>
  <r>
    <x v="6"/>
    <m/>
    <s v="GLOY-60031/26"/>
    <s v=""/>
    <x v="173"/>
    <s v="Safe Lanes (Trelleborg)"/>
    <m/>
    <x v="1"/>
    <m/>
    <m/>
    <m/>
    <s v="PCTC"/>
    <s v="#N/A "/>
    <s v="#N/A "/>
    <x v="0"/>
    <x v="0"/>
  </r>
  <r>
    <x v="6"/>
    <m/>
    <m/>
    <s v=""/>
    <x v="174"/>
    <s v="Seatab"/>
    <m/>
    <x v="1"/>
    <m/>
    <m/>
    <m/>
    <s v="PCTC"/>
    <s v="#N/A "/>
    <s v="#N/A "/>
    <x v="0"/>
    <x v="0"/>
  </r>
  <r>
    <x v="6"/>
    <m/>
    <m/>
    <s v=""/>
    <x v="175"/>
    <s v="Explosion Proof Camera"/>
    <m/>
    <x v="1"/>
    <m/>
    <m/>
    <m/>
    <s v="PCTC"/>
    <s v="#N/A "/>
    <s v="#N/A "/>
    <x v="0"/>
    <x v="0"/>
  </r>
  <r>
    <x v="6"/>
    <m/>
    <s v="GLOY-60023/26-1"/>
    <s v="Pre-Delivery"/>
    <x v="19"/>
    <s v="Temperature &amp; Pressure Calibrators"/>
    <m/>
    <x v="1"/>
    <m/>
    <m/>
    <m/>
    <s v="PCTC"/>
    <s v="#N/A "/>
    <s v="#N/A "/>
    <x v="0"/>
    <x v="0"/>
  </r>
  <r>
    <x v="6"/>
    <m/>
    <m/>
    <s v=""/>
    <x v="176"/>
    <s v="VISWA Line Samplers"/>
    <m/>
    <x v="1"/>
    <m/>
    <m/>
    <m/>
    <s v="PCTC"/>
    <s v="#N/A "/>
    <s v="#N/A "/>
    <x v="0"/>
    <x v="0"/>
  </r>
  <r>
    <x v="6"/>
    <m/>
    <m/>
    <s v=""/>
    <x v="177"/>
    <s v="IMPA Stores - Stationery"/>
    <m/>
    <x v="1"/>
    <m/>
    <m/>
    <m/>
    <s v="PCTC"/>
    <s v="#N/A "/>
    <s v="#N/A "/>
    <x v="0"/>
    <x v="0"/>
  </r>
  <r>
    <x v="6"/>
    <m/>
    <m/>
    <s v=""/>
    <x v="178"/>
    <s v="HP Pump (Hydraulic Nuts)"/>
    <m/>
    <x v="1"/>
    <m/>
    <m/>
    <m/>
    <s v="PCTC"/>
    <s v="#N/A "/>
    <s v="#N/A "/>
    <x v="0"/>
    <x v="0"/>
  </r>
  <r>
    <x v="6"/>
    <m/>
    <m/>
    <s v=""/>
    <x v="179"/>
    <s v="Chemicals - General"/>
    <m/>
    <x v="1"/>
    <m/>
    <m/>
    <m/>
    <s v="PCTC"/>
    <s v="#N/A "/>
    <s v="#N/A "/>
    <x v="0"/>
    <x v="0"/>
  </r>
  <r>
    <x v="6"/>
    <m/>
    <m/>
    <s v=""/>
    <x v="180"/>
    <s v="Mooring Ropes"/>
    <m/>
    <x v="1"/>
    <m/>
    <m/>
    <m/>
    <s v="PCTC"/>
    <s v="#N/A "/>
    <s v="#N/A "/>
    <x v="0"/>
    <x v="0"/>
  </r>
  <r>
    <x v="6"/>
    <m/>
    <m/>
    <s v=""/>
    <x v="181"/>
    <s v="UHF Radio"/>
    <m/>
    <x v="1"/>
    <m/>
    <m/>
    <m/>
    <s v="PCTC"/>
    <s v="#N/A "/>
    <s v="#N/A "/>
    <x v="0"/>
    <x v="0"/>
  </r>
  <r>
    <x v="6"/>
    <m/>
    <m/>
    <s v=""/>
    <x v="39"/>
    <s v="Soot Treatment"/>
    <m/>
    <x v="1"/>
    <m/>
    <m/>
    <m/>
    <s v="PCTC"/>
    <s v="#N/A "/>
    <s v="#N/A "/>
    <x v="0"/>
    <x v="0"/>
  </r>
  <r>
    <x v="6"/>
    <m/>
    <m/>
    <s v=""/>
    <x v="182"/>
    <s v="Garbage Refrigerator"/>
    <m/>
    <x v="1"/>
    <m/>
    <m/>
    <m/>
    <s v="PCTC"/>
    <s v="#N/A "/>
    <s v="#N/A "/>
    <x v="0"/>
    <x v="0"/>
  </r>
  <r>
    <x v="6"/>
    <m/>
    <m/>
    <s v=""/>
    <x v="145"/>
    <s v="Dual Fuel Tools"/>
    <m/>
    <x v="1"/>
    <m/>
    <m/>
    <m/>
    <s v="PCTC"/>
    <s v="#N/A "/>
    <s v="#N/A "/>
    <x v="0"/>
    <x v="0"/>
  </r>
  <r>
    <x v="6"/>
    <m/>
    <m/>
    <s v=""/>
    <x v="115"/>
    <s v="UHF Antenna"/>
    <m/>
    <x v="1"/>
    <m/>
    <m/>
    <m/>
    <s v="PCTC"/>
    <s v="#N/A "/>
    <s v="#N/A "/>
    <x v="0"/>
    <x v="0"/>
  </r>
  <r>
    <x v="6"/>
    <m/>
    <m/>
    <s v=""/>
    <x v="52"/>
    <s v="Citadel VHF/GPS/UHF System"/>
    <m/>
    <x v="1"/>
    <m/>
    <m/>
    <m/>
    <s v="PCTC"/>
    <s v="#N/A "/>
    <s v="#N/A "/>
    <x v="0"/>
    <x v="0"/>
  </r>
  <r>
    <x v="6"/>
    <m/>
    <m/>
    <s v=""/>
    <x v="183"/>
    <s v="Stanchions"/>
    <m/>
    <x v="1"/>
    <m/>
    <m/>
    <m/>
    <s v="PCTC"/>
    <s v="#N/A "/>
    <s v="#N/A "/>
    <x v="0"/>
    <x v="0"/>
  </r>
  <r>
    <x v="6"/>
    <m/>
    <m/>
    <s v=""/>
    <x v="184"/>
    <s v="Engine Spares - Main Engine"/>
    <m/>
    <x v="1"/>
    <m/>
    <m/>
    <m/>
    <s v="PCTC"/>
    <s v="#N/A "/>
    <s v="#N/A "/>
    <x v="0"/>
    <x v="0"/>
  </r>
  <r>
    <x v="6"/>
    <m/>
    <m/>
    <s v=""/>
    <x v="134"/>
    <s v="Engine Spares - Auxiliary Engine"/>
    <m/>
    <x v="1"/>
    <m/>
    <m/>
    <m/>
    <s v="PCTC"/>
    <s v="#N/A "/>
    <s v="#N/A "/>
    <x v="0"/>
    <x v="0"/>
  </r>
  <r>
    <x v="6"/>
    <m/>
    <m/>
    <s v=""/>
    <x v="195"/>
    <s v="RO-RO Equipment - Ramp Spares"/>
    <m/>
    <x v="1"/>
    <m/>
    <m/>
    <m/>
    <s v="PCTC"/>
    <s v="#N/A "/>
    <s v="#N/A "/>
    <x v="0"/>
    <x v="0"/>
  </r>
  <r>
    <x v="6"/>
    <m/>
    <m/>
    <s v=""/>
    <x v="196"/>
    <s v="Engine Spares - Auxiliary Engine"/>
    <m/>
    <x v="1"/>
    <m/>
    <m/>
    <m/>
    <s v="PCTC"/>
    <s v="#N/A "/>
    <s v="#N/A "/>
    <x v="0"/>
    <x v="0"/>
  </r>
  <r>
    <x v="6"/>
    <m/>
    <m/>
    <s v=""/>
    <x v="197"/>
    <s v="Nitrogen Generator"/>
    <m/>
    <x v="1"/>
    <m/>
    <m/>
    <m/>
    <s v="PCTC"/>
    <s v="#N/A "/>
    <s v="#N/A "/>
    <x v="0"/>
    <x v="0"/>
  </r>
  <r>
    <x v="6"/>
    <m/>
    <m/>
    <s v=""/>
    <x v="198"/>
    <s v="Lubricants"/>
    <m/>
    <x v="1"/>
    <m/>
    <m/>
    <m/>
    <s v="PCTC"/>
    <s v="#N/A "/>
    <s v="#N/A "/>
    <x v="0"/>
    <x v="0"/>
  </r>
  <r>
    <x v="6"/>
    <m/>
    <m/>
    <s v=""/>
    <x v="199"/>
    <s v="Nitrogen Generator"/>
    <m/>
    <x v="1"/>
    <m/>
    <m/>
    <m/>
    <s v="PCTC"/>
    <s v="#N/A "/>
    <s v="#N/A "/>
    <x v="0"/>
    <x v="0"/>
  </r>
  <r>
    <x v="6"/>
    <m/>
    <m/>
    <s v=""/>
    <x v="200"/>
    <s v="BWTS Spares"/>
    <m/>
    <x v="1"/>
    <m/>
    <m/>
    <m/>
    <s v="PCTC"/>
    <s v="#N/A "/>
    <s v="#N/A "/>
    <x v="0"/>
    <x v="0"/>
  </r>
  <r>
    <x v="6"/>
    <m/>
    <m/>
    <s v=""/>
    <x v="201"/>
    <s v="Crew Welfare - Refrigerators"/>
    <m/>
    <x v="1"/>
    <m/>
    <m/>
    <m/>
    <s v="PCTC"/>
    <s v="#N/A "/>
    <s v="#N/A "/>
    <x v="0"/>
    <x v="0"/>
  </r>
  <r>
    <x v="6"/>
    <m/>
    <m/>
    <s v=""/>
    <x v="152"/>
    <s v="Breathing Air Compressor"/>
    <m/>
    <x v="1"/>
    <m/>
    <m/>
    <m/>
    <s v="PCTC"/>
    <s v="#N/A "/>
    <s v="#N/A "/>
    <x v="0"/>
    <x v="0"/>
  </r>
  <r>
    <x v="6"/>
    <m/>
    <m/>
    <s v=""/>
    <x v="125"/>
    <s v="Ozone Steriliser"/>
    <m/>
    <x v="1"/>
    <m/>
    <m/>
    <m/>
    <s v="PCTC"/>
    <s v="#N/A "/>
    <s v="#N/A "/>
    <x v="0"/>
    <x v="0"/>
  </r>
  <r>
    <x v="6"/>
    <m/>
    <m/>
    <s v=""/>
    <x v="202"/>
    <s v="Suez Light"/>
    <m/>
    <x v="1"/>
    <m/>
    <m/>
    <m/>
    <s v="PCTC"/>
    <s v="#N/A "/>
    <s v="#N/A "/>
    <x v="0"/>
    <x v="0"/>
  </r>
  <r>
    <x v="6"/>
    <m/>
    <m/>
    <s v=""/>
    <x v="126"/>
    <s v="RO-RO Equipment - Ramp Spares"/>
    <m/>
    <x v="1"/>
    <m/>
    <m/>
    <m/>
    <s v="PCTC"/>
    <s v="#N/A "/>
    <s v="#N/A "/>
    <x v="0"/>
    <x v="0"/>
  </r>
  <r>
    <x v="6"/>
    <m/>
    <m/>
    <s v=""/>
    <x v="127"/>
    <s v="Reefer Cables &amp; Plugs"/>
    <m/>
    <x v="1"/>
    <m/>
    <m/>
    <m/>
    <s v="PCTC"/>
    <s v="#N/A "/>
    <s v="#N/A "/>
    <x v="0"/>
    <x v="0"/>
  </r>
  <r>
    <x v="6"/>
    <m/>
    <m/>
    <s v=""/>
    <x v="203"/>
    <s v="Chain Blocks"/>
    <m/>
    <x v="1"/>
    <m/>
    <m/>
    <m/>
    <s v="PCTC"/>
    <s v="#N/A "/>
    <s v="#N/A "/>
    <x v="0"/>
    <x v="0"/>
  </r>
  <r>
    <x v="6"/>
    <m/>
    <m/>
    <s v=""/>
    <x v="92"/>
    <s v="Glycol"/>
    <m/>
    <x v="1"/>
    <m/>
    <m/>
    <m/>
    <s v="PCTC"/>
    <s v="#N/A "/>
    <s v="#N/A "/>
    <x v="0"/>
    <x v="0"/>
  </r>
  <r>
    <x v="6"/>
    <m/>
    <m/>
    <s v=""/>
    <x v="128"/>
    <s v="Gas Meters"/>
    <m/>
    <x v="1"/>
    <m/>
    <m/>
    <m/>
    <s v="PCTC"/>
    <s v="#N/A "/>
    <s v="#N/A "/>
    <x v="0"/>
    <x v="0"/>
  </r>
  <r>
    <x v="6"/>
    <m/>
    <m/>
    <s v=""/>
    <x v="104"/>
    <s v="Welding Equipment"/>
    <m/>
    <x v="1"/>
    <m/>
    <m/>
    <m/>
    <s v="PCTC"/>
    <s v="#N/A "/>
    <s v="#N/A "/>
    <x v="0"/>
    <x v="0"/>
  </r>
  <r>
    <x v="6"/>
    <m/>
    <s v="GLOY-60035/26"/>
    <s v=""/>
    <x v="103"/>
    <s v="Service Car &amp; Forklift"/>
    <m/>
    <x v="1"/>
    <m/>
    <m/>
    <m/>
    <s v="PCTC"/>
    <s v="#N/A "/>
    <s v="#N/A "/>
    <x v="0"/>
    <x v="0"/>
  </r>
  <r>
    <x v="6"/>
    <m/>
    <m/>
    <s v=""/>
    <x v="129"/>
    <s v="Welding Equipment"/>
    <m/>
    <x v="1"/>
    <m/>
    <m/>
    <m/>
    <s v="PCTC"/>
    <s v="#N/A "/>
    <s v="#N/A "/>
    <x v="0"/>
    <x v="0"/>
  </r>
  <r>
    <x v="6"/>
    <m/>
    <m/>
    <s v="`"/>
    <x v="204"/>
    <s v="Service Car &amp; Forklift"/>
    <m/>
    <x v="1"/>
    <m/>
    <m/>
    <m/>
    <s v="PCTC"/>
    <s v="#N/A "/>
    <s v="#N/A "/>
    <x v="0"/>
    <x v="0"/>
  </r>
  <r>
    <x v="6"/>
    <m/>
    <m/>
    <s v=""/>
    <x v="217"/>
    <s v="Sea Trial"/>
    <m/>
    <x v="1"/>
    <m/>
    <m/>
    <m/>
    <s v="PCTC"/>
    <s v="#N/A "/>
    <s v="#N/A "/>
    <x v="0"/>
    <x v="0"/>
  </r>
  <r>
    <x v="7"/>
    <m/>
    <s v="OCHA-MVSP-60007/26-1"/>
    <m/>
    <x v="218"/>
    <m/>
    <m/>
    <x v="7"/>
    <m/>
    <m/>
    <m/>
    <m/>
    <m/>
    <m/>
    <x v="37"/>
    <x v="3"/>
  </r>
  <r>
    <x v="7"/>
    <m/>
    <s v="OCHA-60009/26-1"/>
    <m/>
    <x v="219"/>
    <m/>
    <m/>
    <x v="7"/>
    <m/>
    <m/>
    <m/>
    <m/>
    <m/>
    <m/>
    <x v="37"/>
    <x v="3"/>
  </r>
  <r>
    <x v="7"/>
    <m/>
    <s v="OCHA-60016/26-1"/>
    <m/>
    <x v="0"/>
    <m/>
    <m/>
    <x v="7"/>
    <m/>
    <m/>
    <m/>
    <m/>
    <m/>
    <m/>
    <x v="37"/>
    <x v="3"/>
  </r>
  <r>
    <x v="7"/>
    <m/>
    <s v="OCHA-MVSP-60002/26-1"/>
    <m/>
    <x v="2"/>
    <m/>
    <m/>
    <x v="7"/>
    <m/>
    <m/>
    <m/>
    <m/>
    <m/>
    <m/>
    <x v="37"/>
    <x v="3"/>
  </r>
  <r>
    <x v="7"/>
    <m/>
    <s v="OCHA-60029/26-1"/>
    <m/>
    <x v="220"/>
    <m/>
    <m/>
    <x v="7"/>
    <m/>
    <m/>
    <m/>
    <m/>
    <m/>
    <m/>
    <x v="37"/>
    <x v="3"/>
  </r>
  <r>
    <x v="7"/>
    <m/>
    <s v="OCHA-MVSP-60003/26-1"/>
    <m/>
    <x v="105"/>
    <m/>
    <m/>
    <x v="7"/>
    <m/>
    <m/>
    <m/>
    <m/>
    <m/>
    <m/>
    <x v="37"/>
    <x v="3"/>
  </r>
  <r>
    <x v="7"/>
    <m/>
    <s v="OCHA-60021/26-1"/>
    <m/>
    <x v="19"/>
    <m/>
    <m/>
    <x v="7"/>
    <m/>
    <m/>
    <m/>
    <m/>
    <m/>
    <m/>
    <x v="37"/>
    <x v="3"/>
  </r>
  <r>
    <x v="7"/>
    <m/>
    <s v="OCHA-60023/26-1"/>
    <m/>
    <x v="221"/>
    <m/>
    <m/>
    <x v="7"/>
    <m/>
    <m/>
    <m/>
    <m/>
    <m/>
    <m/>
    <x v="37"/>
    <x v="3"/>
  </r>
  <r>
    <x v="7"/>
    <m/>
    <s v="OCHA-60013/26-1"/>
    <m/>
    <x v="8"/>
    <m/>
    <m/>
    <x v="7"/>
    <m/>
    <m/>
    <m/>
    <m/>
    <m/>
    <m/>
    <x v="37"/>
    <x v="3"/>
  </r>
  <r>
    <x v="7"/>
    <m/>
    <s v="OCHA-60012/26-1"/>
    <m/>
    <x v="222"/>
    <m/>
    <m/>
    <x v="7"/>
    <m/>
    <m/>
    <m/>
    <m/>
    <m/>
    <m/>
    <x v="37"/>
    <x v="3"/>
  </r>
  <r>
    <x v="7"/>
    <m/>
    <s v="OCHA-60025/26-1"/>
    <m/>
    <x v="223"/>
    <m/>
    <m/>
    <x v="7"/>
    <m/>
    <m/>
    <m/>
    <m/>
    <m/>
    <m/>
    <x v="37"/>
    <x v="3"/>
  </r>
  <r>
    <x v="7"/>
    <m/>
    <s v="OCHA-60002/26-1"/>
    <m/>
    <x v="224"/>
    <m/>
    <m/>
    <x v="7"/>
    <m/>
    <m/>
    <m/>
    <m/>
    <m/>
    <m/>
    <x v="37"/>
    <x v="3"/>
  </r>
  <r>
    <x v="7"/>
    <m/>
    <s v="OCHA-60004/26-1"/>
    <m/>
    <x v="225"/>
    <m/>
    <m/>
    <x v="7"/>
    <m/>
    <m/>
    <m/>
    <m/>
    <m/>
    <m/>
    <x v="37"/>
    <x v="3"/>
  </r>
  <r>
    <x v="7"/>
    <m/>
    <s v="OCHA-60015/26-1"/>
    <m/>
    <x v="226"/>
    <m/>
    <m/>
    <x v="7"/>
    <m/>
    <m/>
    <m/>
    <m/>
    <m/>
    <m/>
    <x v="37"/>
    <x v="3"/>
  </r>
  <r>
    <x v="7"/>
    <m/>
    <s v="OCHA-60014/26-1"/>
    <m/>
    <x v="16"/>
    <m/>
    <m/>
    <x v="7"/>
    <m/>
    <m/>
    <m/>
    <m/>
    <m/>
    <m/>
    <x v="37"/>
    <x v="3"/>
  </r>
  <r>
    <x v="7"/>
    <m/>
    <s v="OCHA-60020/26-1"/>
    <m/>
    <x v="20"/>
    <m/>
    <m/>
    <x v="7"/>
    <m/>
    <m/>
    <m/>
    <m/>
    <m/>
    <m/>
    <x v="37"/>
    <x v="3"/>
  </r>
  <r>
    <x v="7"/>
    <m/>
    <s v="OCHA-60010/26-1"/>
    <m/>
    <x v="227"/>
    <m/>
    <m/>
    <x v="7"/>
    <m/>
    <m/>
    <m/>
    <m/>
    <m/>
    <m/>
    <x v="37"/>
    <x v="3"/>
  </r>
  <r>
    <x v="7"/>
    <m/>
    <s v="OCHA-60002/25-1"/>
    <m/>
    <x v="228"/>
    <m/>
    <m/>
    <x v="7"/>
    <m/>
    <m/>
    <m/>
    <m/>
    <m/>
    <m/>
    <x v="37"/>
    <x v="3"/>
  </r>
  <r>
    <x v="7"/>
    <m/>
    <s v="OCHA-60031/26-1"/>
    <m/>
    <x v="229"/>
    <m/>
    <m/>
    <x v="7"/>
    <m/>
    <m/>
    <m/>
    <m/>
    <m/>
    <m/>
    <x v="37"/>
    <x v="3"/>
  </r>
  <r>
    <x v="7"/>
    <m/>
    <s v="OCHA-60001/26-1"/>
    <m/>
    <x v="230"/>
    <m/>
    <m/>
    <x v="7"/>
    <m/>
    <m/>
    <m/>
    <m/>
    <m/>
    <m/>
    <x v="37"/>
    <x v="3"/>
  </r>
  <r>
    <x v="7"/>
    <m/>
    <s v="OCHA-60017/26-1"/>
    <m/>
    <x v="231"/>
    <m/>
    <m/>
    <x v="7"/>
    <m/>
    <m/>
    <m/>
    <m/>
    <m/>
    <m/>
    <x v="37"/>
    <x v="3"/>
  </r>
  <r>
    <x v="7"/>
    <m/>
    <s v="OCHA-60024/26-1"/>
    <m/>
    <x v="232"/>
    <m/>
    <m/>
    <x v="7"/>
    <m/>
    <m/>
    <m/>
    <m/>
    <m/>
    <m/>
    <x v="37"/>
    <x v="3"/>
  </r>
  <r>
    <x v="7"/>
    <m/>
    <s v="OCHA-60011/26-1"/>
    <m/>
    <x v="14"/>
    <m/>
    <m/>
    <x v="7"/>
    <m/>
    <m/>
    <m/>
    <m/>
    <m/>
    <m/>
    <x v="37"/>
    <x v="3"/>
  </r>
  <r>
    <x v="7"/>
    <m/>
    <s v="OCHA-60003/26-1"/>
    <m/>
    <x v="143"/>
    <m/>
    <m/>
    <x v="7"/>
    <m/>
    <m/>
    <m/>
    <m/>
    <m/>
    <m/>
    <x v="37"/>
    <x v="3"/>
  </r>
  <r>
    <x v="7"/>
    <m/>
    <s v="OCHA-60028/26"/>
    <m/>
    <x v="233"/>
    <m/>
    <m/>
    <x v="7"/>
    <m/>
    <m/>
    <m/>
    <m/>
    <m/>
    <m/>
    <x v="37"/>
    <x v="3"/>
  </r>
  <r>
    <x v="7"/>
    <m/>
    <s v="OCHA-60006/26"/>
    <m/>
    <x v="234"/>
    <m/>
    <m/>
    <x v="7"/>
    <m/>
    <m/>
    <m/>
    <m/>
    <m/>
    <m/>
    <x v="37"/>
    <x v="3"/>
  </r>
  <r>
    <x v="7"/>
    <m/>
    <s v="OCHA-60018/26"/>
    <m/>
    <x v="235"/>
    <m/>
    <m/>
    <x v="7"/>
    <m/>
    <m/>
    <m/>
    <m/>
    <m/>
    <m/>
    <x v="37"/>
    <x v="3"/>
  </r>
  <r>
    <x v="7"/>
    <m/>
    <s v="OCHA-60008/26"/>
    <m/>
    <x v="236"/>
    <m/>
    <m/>
    <x v="7"/>
    <m/>
    <m/>
    <m/>
    <m/>
    <m/>
    <m/>
    <x v="37"/>
    <x v="3"/>
  </r>
  <r>
    <x v="7"/>
    <m/>
    <m/>
    <m/>
    <x v="100"/>
    <m/>
    <m/>
    <x v="7"/>
    <m/>
    <m/>
    <m/>
    <m/>
    <m/>
    <m/>
    <x v="37"/>
    <x v="3"/>
  </r>
  <r>
    <x v="7"/>
    <m/>
    <m/>
    <m/>
    <x v="51"/>
    <m/>
    <m/>
    <x v="7"/>
    <m/>
    <m/>
    <m/>
    <m/>
    <m/>
    <m/>
    <x v="37"/>
    <x v="3"/>
  </r>
  <r>
    <x v="7"/>
    <m/>
    <m/>
    <m/>
    <x v="72"/>
    <m/>
    <m/>
    <x v="7"/>
    <m/>
    <m/>
    <m/>
    <m/>
    <m/>
    <m/>
    <x v="37"/>
    <x v="3"/>
  </r>
  <r>
    <x v="7"/>
    <m/>
    <m/>
    <m/>
    <x v="47"/>
    <m/>
    <m/>
    <x v="7"/>
    <m/>
    <m/>
    <m/>
    <m/>
    <m/>
    <m/>
    <x v="37"/>
    <x v="3"/>
  </r>
  <r>
    <x v="7"/>
    <m/>
    <m/>
    <m/>
    <x v="81"/>
    <m/>
    <m/>
    <x v="7"/>
    <m/>
    <m/>
    <m/>
    <m/>
    <m/>
    <m/>
    <x v="37"/>
    <x v="3"/>
  </r>
  <r>
    <x v="7"/>
    <m/>
    <m/>
    <m/>
    <x v="70"/>
    <m/>
    <m/>
    <x v="7"/>
    <m/>
    <m/>
    <m/>
    <m/>
    <m/>
    <m/>
    <x v="37"/>
    <x v="3"/>
  </r>
  <r>
    <x v="7"/>
    <m/>
    <m/>
    <m/>
    <x v="80"/>
    <m/>
    <m/>
    <x v="7"/>
    <m/>
    <m/>
    <m/>
    <m/>
    <m/>
    <m/>
    <x v="37"/>
    <x v="3"/>
  </r>
  <r>
    <x v="7"/>
    <m/>
    <m/>
    <m/>
    <x v="146"/>
    <m/>
    <m/>
    <x v="7"/>
    <m/>
    <m/>
    <m/>
    <m/>
    <m/>
    <m/>
    <x v="37"/>
    <x v="3"/>
  </r>
  <r>
    <x v="7"/>
    <m/>
    <m/>
    <m/>
    <x v="148"/>
    <m/>
    <m/>
    <x v="7"/>
    <m/>
    <m/>
    <m/>
    <m/>
    <m/>
    <m/>
    <x v="37"/>
    <x v="3"/>
  </r>
  <r>
    <x v="7"/>
    <m/>
    <m/>
    <m/>
    <x v="149"/>
    <m/>
    <m/>
    <x v="7"/>
    <m/>
    <m/>
    <m/>
    <m/>
    <m/>
    <m/>
    <x v="37"/>
    <x v="3"/>
  </r>
  <r>
    <x v="7"/>
    <m/>
    <m/>
    <m/>
    <x v="150"/>
    <m/>
    <m/>
    <x v="7"/>
    <m/>
    <m/>
    <m/>
    <m/>
    <m/>
    <m/>
    <x v="37"/>
    <x v="3"/>
  </r>
  <r>
    <x v="7"/>
    <m/>
    <m/>
    <m/>
    <x v="151"/>
    <m/>
    <m/>
    <x v="7"/>
    <m/>
    <m/>
    <m/>
    <m/>
    <m/>
    <m/>
    <x v="37"/>
    <x v="3"/>
  </r>
  <r>
    <x v="7"/>
    <m/>
    <m/>
    <m/>
    <x v="13"/>
    <m/>
    <m/>
    <x v="7"/>
    <m/>
    <m/>
    <m/>
    <m/>
    <m/>
    <m/>
    <x v="37"/>
    <x v="3"/>
  </r>
  <r>
    <x v="7"/>
    <m/>
    <m/>
    <m/>
    <x v="39"/>
    <m/>
    <m/>
    <x v="7"/>
    <m/>
    <m/>
    <m/>
    <m/>
    <m/>
    <m/>
    <x v="37"/>
    <x v="3"/>
  </r>
  <r>
    <x v="7"/>
    <m/>
    <m/>
    <m/>
    <x v="237"/>
    <m/>
    <m/>
    <x v="7"/>
    <m/>
    <m/>
    <m/>
    <m/>
    <m/>
    <m/>
    <x v="37"/>
    <x v="3"/>
  </r>
  <r>
    <x v="7"/>
    <m/>
    <m/>
    <m/>
    <x v="238"/>
    <m/>
    <m/>
    <x v="7"/>
    <m/>
    <m/>
    <m/>
    <m/>
    <m/>
    <m/>
    <x v="37"/>
    <x v="3"/>
  </r>
  <r>
    <x v="7"/>
    <m/>
    <m/>
    <m/>
    <x v="239"/>
    <m/>
    <m/>
    <x v="7"/>
    <m/>
    <m/>
    <m/>
    <m/>
    <m/>
    <m/>
    <x v="37"/>
    <x v="3"/>
  </r>
  <r>
    <x v="7"/>
    <m/>
    <m/>
    <m/>
    <x v="11"/>
    <m/>
    <m/>
    <x v="7"/>
    <m/>
    <m/>
    <m/>
    <m/>
    <m/>
    <m/>
    <x v="37"/>
    <x v="3"/>
  </r>
  <r>
    <x v="7"/>
    <m/>
    <m/>
    <m/>
    <x v="6"/>
    <m/>
    <m/>
    <x v="7"/>
    <m/>
    <m/>
    <m/>
    <m/>
    <m/>
    <m/>
    <x v="37"/>
    <x v="3"/>
  </r>
  <r>
    <x v="7"/>
    <m/>
    <m/>
    <m/>
    <x v="102"/>
    <m/>
    <m/>
    <x v="7"/>
    <m/>
    <m/>
    <m/>
    <m/>
    <m/>
    <m/>
    <x v="37"/>
    <x v="3"/>
  </r>
  <r>
    <x v="7"/>
    <m/>
    <m/>
    <m/>
    <x v="240"/>
    <m/>
    <m/>
    <x v="7"/>
    <m/>
    <m/>
    <m/>
    <m/>
    <m/>
    <m/>
    <x v="37"/>
    <x v="3"/>
  </r>
  <r>
    <x v="7"/>
    <m/>
    <m/>
    <m/>
    <x v="10"/>
    <m/>
    <m/>
    <x v="7"/>
    <m/>
    <m/>
    <m/>
    <m/>
    <m/>
    <m/>
    <x v="37"/>
    <x v="3"/>
  </r>
  <r>
    <x v="7"/>
    <m/>
    <m/>
    <m/>
    <x v="54"/>
    <m/>
    <m/>
    <x v="7"/>
    <m/>
    <m/>
    <m/>
    <m/>
    <m/>
    <m/>
    <x v="37"/>
    <x v="3"/>
  </r>
  <r>
    <x v="7"/>
    <m/>
    <m/>
    <m/>
    <x v="88"/>
    <m/>
    <m/>
    <x v="7"/>
    <m/>
    <m/>
    <m/>
    <m/>
    <m/>
    <m/>
    <x v="37"/>
    <x v="3"/>
  </r>
  <r>
    <x v="7"/>
    <m/>
    <m/>
    <m/>
    <x v="108"/>
    <m/>
    <m/>
    <x v="7"/>
    <m/>
    <m/>
    <m/>
    <m/>
    <m/>
    <m/>
    <x v="37"/>
    <x v="3"/>
  </r>
  <r>
    <x v="7"/>
    <m/>
    <m/>
    <m/>
    <x v="89"/>
    <m/>
    <m/>
    <x v="7"/>
    <m/>
    <m/>
    <m/>
    <m/>
    <m/>
    <m/>
    <x v="37"/>
    <x v="3"/>
  </r>
  <r>
    <x v="7"/>
    <m/>
    <m/>
    <m/>
    <x v="46"/>
    <m/>
    <m/>
    <x v="7"/>
    <m/>
    <m/>
    <m/>
    <m/>
    <m/>
    <m/>
    <x v="37"/>
    <x v="3"/>
  </r>
  <r>
    <x v="7"/>
    <m/>
    <m/>
    <m/>
    <x v="90"/>
    <m/>
    <m/>
    <x v="7"/>
    <m/>
    <m/>
    <m/>
    <m/>
    <m/>
    <m/>
    <x v="37"/>
    <x v="3"/>
  </r>
  <r>
    <x v="7"/>
    <m/>
    <m/>
    <m/>
    <x v="91"/>
    <m/>
    <m/>
    <x v="7"/>
    <m/>
    <m/>
    <m/>
    <m/>
    <m/>
    <m/>
    <x v="37"/>
    <x v="3"/>
  </r>
  <r>
    <x v="7"/>
    <m/>
    <m/>
    <m/>
    <x v="55"/>
    <m/>
    <m/>
    <x v="7"/>
    <m/>
    <m/>
    <m/>
    <m/>
    <m/>
    <m/>
    <x v="37"/>
    <x v="3"/>
  </r>
  <r>
    <x v="7"/>
    <m/>
    <m/>
    <m/>
    <x v="92"/>
    <m/>
    <m/>
    <x v="7"/>
    <m/>
    <m/>
    <m/>
    <m/>
    <m/>
    <m/>
    <x v="37"/>
    <x v="3"/>
  </r>
  <r>
    <x v="7"/>
    <m/>
    <m/>
    <m/>
    <x v="104"/>
    <m/>
    <m/>
    <x v="7"/>
    <m/>
    <m/>
    <m/>
    <m/>
    <m/>
    <m/>
    <x v="37"/>
    <x v="3"/>
  </r>
  <r>
    <x v="7"/>
    <m/>
    <m/>
    <m/>
    <x v="103"/>
    <m/>
    <m/>
    <x v="7"/>
    <m/>
    <m/>
    <m/>
    <m/>
    <m/>
    <m/>
    <x v="37"/>
    <x v="3"/>
  </r>
  <r>
    <x v="7"/>
    <m/>
    <m/>
    <m/>
    <x v="94"/>
    <m/>
    <m/>
    <x v="7"/>
    <m/>
    <m/>
    <m/>
    <m/>
    <m/>
    <m/>
    <x v="37"/>
    <x v="3"/>
  </r>
  <r>
    <x v="7"/>
    <m/>
    <m/>
    <m/>
    <x v="30"/>
    <m/>
    <m/>
    <x v="7"/>
    <m/>
    <m/>
    <m/>
    <m/>
    <m/>
    <m/>
    <x v="37"/>
    <x v="3"/>
  </r>
  <r>
    <x v="7"/>
    <m/>
    <m/>
    <m/>
    <x v="95"/>
    <m/>
    <m/>
    <x v="7"/>
    <m/>
    <m/>
    <m/>
    <m/>
    <m/>
    <m/>
    <x v="37"/>
    <x v="3"/>
  </r>
  <r>
    <x v="7"/>
    <m/>
    <m/>
    <m/>
    <x v="96"/>
    <m/>
    <m/>
    <x v="7"/>
    <m/>
    <m/>
    <m/>
    <m/>
    <m/>
    <m/>
    <x v="37"/>
    <x v="3"/>
  </r>
  <r>
    <x v="7"/>
    <m/>
    <m/>
    <m/>
    <x v="74"/>
    <m/>
    <m/>
    <x v="7"/>
    <m/>
    <m/>
    <m/>
    <m/>
    <m/>
    <m/>
    <x v="37"/>
    <x v="3"/>
  </r>
  <r>
    <x v="7"/>
    <m/>
    <m/>
    <m/>
    <x v="109"/>
    <m/>
    <m/>
    <x v="7"/>
    <m/>
    <m/>
    <m/>
    <m/>
    <m/>
    <m/>
    <x v="37"/>
    <x v="3"/>
  </r>
  <r>
    <x v="7"/>
    <m/>
    <s v="OCHA-60032/26"/>
    <m/>
    <x v="82"/>
    <m/>
    <m/>
    <x v="7"/>
    <m/>
    <m/>
    <m/>
    <m/>
    <m/>
    <m/>
    <x v="37"/>
    <x v="3"/>
  </r>
  <r>
    <x v="7"/>
    <m/>
    <m/>
    <m/>
    <x v="106"/>
    <m/>
    <m/>
    <x v="7"/>
    <m/>
    <m/>
    <m/>
    <m/>
    <m/>
    <m/>
    <x v="37"/>
    <x v="3"/>
  </r>
  <r>
    <x v="7"/>
    <m/>
    <m/>
    <m/>
    <x v="241"/>
    <m/>
    <m/>
    <x v="7"/>
    <m/>
    <m/>
    <m/>
    <m/>
    <m/>
    <m/>
    <x v="37"/>
    <x v="3"/>
  </r>
  <r>
    <x v="7"/>
    <m/>
    <m/>
    <m/>
    <x v="25"/>
    <m/>
    <m/>
    <x v="7"/>
    <m/>
    <m/>
    <m/>
    <m/>
    <m/>
    <m/>
    <x v="37"/>
    <x v="3"/>
  </r>
  <r>
    <x v="7"/>
    <m/>
    <m/>
    <m/>
    <x v="52"/>
    <m/>
    <m/>
    <x v="7"/>
    <m/>
    <m/>
    <m/>
    <m/>
    <m/>
    <m/>
    <x v="37"/>
    <x v="3"/>
  </r>
  <r>
    <x v="7"/>
    <m/>
    <s v="OCHA-60033/26"/>
    <m/>
    <x v="113"/>
    <m/>
    <m/>
    <x v="7"/>
    <m/>
    <m/>
    <m/>
    <m/>
    <m/>
    <m/>
    <x v="37"/>
    <x v="3"/>
  </r>
  <r>
    <x v="7"/>
    <m/>
    <s v="OCHA-60034/26"/>
    <m/>
    <x v="26"/>
    <m/>
    <m/>
    <x v="7"/>
    <m/>
    <m/>
    <m/>
    <m/>
    <m/>
    <m/>
    <x v="37"/>
    <x v="3"/>
  </r>
  <r>
    <x v="7"/>
    <m/>
    <s v="OCHA-60035/26"/>
    <m/>
    <x v="107"/>
    <m/>
    <m/>
    <x v="7"/>
    <m/>
    <m/>
    <m/>
    <m/>
    <m/>
    <m/>
    <x v="37"/>
    <x v="3"/>
  </r>
  <r>
    <x v="7"/>
    <m/>
    <m/>
    <m/>
    <x v="124"/>
    <m/>
    <m/>
    <x v="7"/>
    <m/>
    <m/>
    <m/>
    <m/>
    <m/>
    <m/>
    <x v="37"/>
    <x v="3"/>
  </r>
  <r>
    <x v="7"/>
    <m/>
    <s v="OCHA-60036/26"/>
    <m/>
    <x v="77"/>
    <m/>
    <m/>
    <x v="7"/>
    <m/>
    <m/>
    <m/>
    <m/>
    <m/>
    <m/>
    <x v="37"/>
    <x v="3"/>
  </r>
  <r>
    <x v="7"/>
    <m/>
    <s v="OCHA-60036/26"/>
    <m/>
    <x v="78"/>
    <m/>
    <m/>
    <x v="7"/>
    <m/>
    <m/>
    <m/>
    <m/>
    <m/>
    <m/>
    <x v="37"/>
    <x v="3"/>
  </r>
  <r>
    <x v="7"/>
    <m/>
    <m/>
    <m/>
    <x v="115"/>
    <m/>
    <m/>
    <x v="7"/>
    <m/>
    <m/>
    <m/>
    <m/>
    <m/>
    <m/>
    <x v="37"/>
    <x v="3"/>
  </r>
  <r>
    <x v="7"/>
    <m/>
    <m/>
    <m/>
    <x v="84"/>
    <m/>
    <m/>
    <x v="7"/>
    <m/>
    <m/>
    <m/>
    <m/>
    <m/>
    <m/>
    <x v="37"/>
    <x v="3"/>
  </r>
  <r>
    <x v="7"/>
    <m/>
    <m/>
    <m/>
    <x v="136"/>
    <m/>
    <m/>
    <x v="7"/>
    <m/>
    <m/>
    <m/>
    <m/>
    <m/>
    <m/>
    <x v="37"/>
    <x v="3"/>
  </r>
  <r>
    <x v="7"/>
    <m/>
    <m/>
    <m/>
    <x v="137"/>
    <m/>
    <m/>
    <x v="7"/>
    <m/>
    <m/>
    <m/>
    <m/>
    <m/>
    <m/>
    <x v="37"/>
    <x v="3"/>
  </r>
  <r>
    <x v="7"/>
    <m/>
    <m/>
    <m/>
    <x v="242"/>
    <m/>
    <m/>
    <x v="7"/>
    <m/>
    <m/>
    <m/>
    <m/>
    <m/>
    <m/>
    <x v="37"/>
    <x v="3"/>
  </r>
  <r>
    <x v="7"/>
    <m/>
    <m/>
    <m/>
    <x v="243"/>
    <m/>
    <m/>
    <x v="7"/>
    <m/>
    <m/>
    <m/>
    <m/>
    <m/>
    <m/>
    <x v="37"/>
    <x v="3"/>
  </r>
  <r>
    <x v="7"/>
    <m/>
    <m/>
    <m/>
    <x v="244"/>
    <m/>
    <m/>
    <x v="7"/>
    <m/>
    <m/>
    <m/>
    <m/>
    <m/>
    <m/>
    <x v="37"/>
    <x v="3"/>
  </r>
  <r>
    <x v="7"/>
    <m/>
    <m/>
    <m/>
    <x v="245"/>
    <m/>
    <m/>
    <x v="7"/>
    <m/>
    <m/>
    <m/>
    <m/>
    <m/>
    <m/>
    <x v="37"/>
    <x v="3"/>
  </r>
  <r>
    <x v="7"/>
    <m/>
    <m/>
    <m/>
    <x v="246"/>
    <m/>
    <m/>
    <x v="7"/>
    <m/>
    <m/>
    <m/>
    <m/>
    <m/>
    <m/>
    <x v="37"/>
    <x v="3"/>
  </r>
  <r>
    <x v="7"/>
    <m/>
    <m/>
    <m/>
    <x v="247"/>
    <m/>
    <m/>
    <x v="7"/>
    <m/>
    <m/>
    <m/>
    <m/>
    <m/>
    <m/>
    <x v="37"/>
    <x v="3"/>
  </r>
  <r>
    <x v="7"/>
    <m/>
    <m/>
    <m/>
    <x v="248"/>
    <m/>
    <m/>
    <x v="7"/>
    <m/>
    <m/>
    <m/>
    <m/>
    <m/>
    <m/>
    <x v="37"/>
    <x v="3"/>
  </r>
  <r>
    <x v="7"/>
    <m/>
    <m/>
    <m/>
    <x v="249"/>
    <m/>
    <m/>
    <x v="7"/>
    <m/>
    <m/>
    <m/>
    <m/>
    <m/>
    <m/>
    <x v="37"/>
    <x v="3"/>
  </r>
  <r>
    <x v="7"/>
    <m/>
    <m/>
    <m/>
    <x v="140"/>
    <m/>
    <m/>
    <x v="7"/>
    <m/>
    <m/>
    <m/>
    <m/>
    <m/>
    <m/>
    <x v="37"/>
    <x v="3"/>
  </r>
  <r>
    <x v="7"/>
    <m/>
    <m/>
    <m/>
    <x v="127"/>
    <m/>
    <m/>
    <x v="7"/>
    <m/>
    <m/>
    <m/>
    <m/>
    <m/>
    <m/>
    <x v="37"/>
    <x v="3"/>
  </r>
  <r>
    <x v="7"/>
    <m/>
    <m/>
    <m/>
    <x v="250"/>
    <m/>
    <m/>
    <x v="7"/>
    <m/>
    <m/>
    <m/>
    <m/>
    <m/>
    <m/>
    <x v="37"/>
    <x v="3"/>
  </r>
  <r>
    <x v="7"/>
    <m/>
    <m/>
    <m/>
    <x v="251"/>
    <m/>
    <m/>
    <x v="7"/>
    <m/>
    <m/>
    <m/>
    <m/>
    <m/>
    <m/>
    <x v="37"/>
    <x v="3"/>
  </r>
  <r>
    <x v="7"/>
    <m/>
    <m/>
    <m/>
    <x v="252"/>
    <m/>
    <m/>
    <x v="7"/>
    <m/>
    <m/>
    <m/>
    <m/>
    <m/>
    <m/>
    <x v="37"/>
    <x v="3"/>
  </r>
  <r>
    <x v="7"/>
    <m/>
    <m/>
    <m/>
    <x v="253"/>
    <m/>
    <m/>
    <x v="7"/>
    <m/>
    <m/>
    <m/>
    <m/>
    <m/>
    <m/>
    <x v="37"/>
    <x v="3"/>
  </r>
  <r>
    <x v="7"/>
    <m/>
    <m/>
    <m/>
    <x v="254"/>
    <m/>
    <m/>
    <x v="7"/>
    <m/>
    <m/>
    <m/>
    <m/>
    <m/>
    <m/>
    <x v="37"/>
    <x v="3"/>
  </r>
  <r>
    <x v="7"/>
    <m/>
    <m/>
    <m/>
    <x v="255"/>
    <m/>
    <m/>
    <x v="7"/>
    <m/>
    <m/>
    <m/>
    <m/>
    <m/>
    <m/>
    <x v="37"/>
    <x v="3"/>
  </r>
  <r>
    <x v="7"/>
    <m/>
    <m/>
    <m/>
    <x v="256"/>
    <m/>
    <m/>
    <x v="7"/>
    <m/>
    <m/>
    <m/>
    <m/>
    <m/>
    <m/>
    <x v="37"/>
    <x v="3"/>
  </r>
  <r>
    <x v="7"/>
    <m/>
    <m/>
    <m/>
    <x v="257"/>
    <m/>
    <m/>
    <x v="7"/>
    <m/>
    <m/>
    <m/>
    <m/>
    <m/>
    <m/>
    <x v="37"/>
    <x v="3"/>
  </r>
  <r>
    <x v="7"/>
    <m/>
    <m/>
    <m/>
    <x v="258"/>
    <m/>
    <m/>
    <x v="7"/>
    <m/>
    <m/>
    <m/>
    <m/>
    <m/>
    <m/>
    <x v="37"/>
    <x v="3"/>
  </r>
  <r>
    <x v="7"/>
    <m/>
    <s v="OCHA-60037/26"/>
    <m/>
    <x v="259"/>
    <m/>
    <m/>
    <x v="7"/>
    <m/>
    <m/>
    <m/>
    <m/>
    <m/>
    <m/>
    <x v="37"/>
    <x v="3"/>
  </r>
  <r>
    <x v="7"/>
    <m/>
    <m/>
    <m/>
    <x v="260"/>
    <m/>
    <m/>
    <x v="7"/>
    <m/>
    <m/>
    <m/>
    <m/>
    <m/>
    <m/>
    <x v="37"/>
    <x v="3"/>
  </r>
  <r>
    <x v="7"/>
    <m/>
    <m/>
    <m/>
    <x v="261"/>
    <m/>
    <m/>
    <x v="7"/>
    <m/>
    <m/>
    <m/>
    <m/>
    <m/>
    <m/>
    <x v="37"/>
    <x v="3"/>
  </r>
  <r>
    <x v="7"/>
    <m/>
    <m/>
    <m/>
    <x v="262"/>
    <m/>
    <m/>
    <x v="7"/>
    <m/>
    <m/>
    <m/>
    <m/>
    <m/>
    <m/>
    <x v="37"/>
    <x v="3"/>
  </r>
  <r>
    <x v="7"/>
    <m/>
    <m/>
    <m/>
    <x v="263"/>
    <m/>
    <m/>
    <x v="7"/>
    <m/>
    <m/>
    <m/>
    <m/>
    <m/>
    <m/>
    <x v="37"/>
    <x v="3"/>
  </r>
  <r>
    <x v="7"/>
    <m/>
    <m/>
    <m/>
    <x v="264"/>
    <m/>
    <m/>
    <x v="7"/>
    <m/>
    <m/>
    <m/>
    <m/>
    <m/>
    <m/>
    <x v="37"/>
    <x v="3"/>
  </r>
  <r>
    <x v="7"/>
    <m/>
    <m/>
    <m/>
    <x v="265"/>
    <m/>
    <m/>
    <x v="7"/>
    <m/>
    <m/>
    <m/>
    <m/>
    <m/>
    <m/>
    <x v="37"/>
    <x v="3"/>
  </r>
  <r>
    <x v="7"/>
    <m/>
    <m/>
    <m/>
    <x v="266"/>
    <m/>
    <m/>
    <x v="7"/>
    <m/>
    <m/>
    <m/>
    <m/>
    <m/>
    <m/>
    <x v="37"/>
    <x v="3"/>
  </r>
  <r>
    <x v="7"/>
    <m/>
    <m/>
    <m/>
    <x v="267"/>
    <m/>
    <m/>
    <x v="7"/>
    <m/>
    <m/>
    <m/>
    <m/>
    <m/>
    <m/>
    <x v="37"/>
    <x v="3"/>
  </r>
  <r>
    <x v="7"/>
    <m/>
    <m/>
    <m/>
    <x v="268"/>
    <m/>
    <m/>
    <x v="7"/>
    <m/>
    <m/>
    <m/>
    <m/>
    <m/>
    <m/>
    <x v="37"/>
    <x v="3"/>
  </r>
  <r>
    <x v="7"/>
    <m/>
    <m/>
    <m/>
    <x v="269"/>
    <m/>
    <m/>
    <x v="7"/>
    <m/>
    <m/>
    <m/>
    <m/>
    <m/>
    <m/>
    <x v="37"/>
    <x v="3"/>
  </r>
  <r>
    <x v="7"/>
    <m/>
    <m/>
    <m/>
    <x v="270"/>
    <m/>
    <m/>
    <x v="7"/>
    <m/>
    <m/>
    <m/>
    <m/>
    <m/>
    <m/>
    <x v="37"/>
    <x v="3"/>
  </r>
  <r>
    <x v="7"/>
    <m/>
    <m/>
    <m/>
    <x v="271"/>
    <m/>
    <m/>
    <x v="7"/>
    <m/>
    <m/>
    <m/>
    <m/>
    <m/>
    <m/>
    <x v="37"/>
    <x v="3"/>
  </r>
  <r>
    <x v="7"/>
    <m/>
    <m/>
    <m/>
    <x v="272"/>
    <m/>
    <m/>
    <x v="7"/>
    <m/>
    <m/>
    <m/>
    <m/>
    <m/>
    <m/>
    <x v="37"/>
    <x v="3"/>
  </r>
  <r>
    <x v="7"/>
    <m/>
    <m/>
    <m/>
    <x v="273"/>
    <m/>
    <m/>
    <x v="7"/>
    <m/>
    <m/>
    <m/>
    <m/>
    <m/>
    <m/>
    <x v="37"/>
    <x v="3"/>
  </r>
  <r>
    <x v="7"/>
    <m/>
    <m/>
    <m/>
    <x v="274"/>
    <m/>
    <m/>
    <x v="7"/>
    <m/>
    <m/>
    <m/>
    <m/>
    <m/>
    <m/>
    <x v="37"/>
    <x v="3"/>
  </r>
  <r>
    <x v="7"/>
    <m/>
    <m/>
    <m/>
    <x v="275"/>
    <m/>
    <m/>
    <x v="7"/>
    <m/>
    <m/>
    <m/>
    <m/>
    <m/>
    <m/>
    <x v="37"/>
    <x v="3"/>
  </r>
  <r>
    <x v="7"/>
    <m/>
    <m/>
    <m/>
    <x v="276"/>
    <m/>
    <m/>
    <x v="7"/>
    <m/>
    <m/>
    <m/>
    <m/>
    <m/>
    <m/>
    <x v="37"/>
    <x v="3"/>
  </r>
  <r>
    <x v="7"/>
    <m/>
    <m/>
    <m/>
    <x v="277"/>
    <m/>
    <m/>
    <x v="7"/>
    <m/>
    <m/>
    <m/>
    <m/>
    <m/>
    <m/>
    <x v="37"/>
    <x v="3"/>
  </r>
  <r>
    <x v="7"/>
    <m/>
    <m/>
    <m/>
    <x v="278"/>
    <m/>
    <m/>
    <x v="7"/>
    <m/>
    <m/>
    <m/>
    <m/>
    <m/>
    <m/>
    <x v="37"/>
    <x v="3"/>
  </r>
  <r>
    <x v="7"/>
    <m/>
    <m/>
    <m/>
    <x v="279"/>
    <m/>
    <m/>
    <x v="7"/>
    <m/>
    <m/>
    <m/>
    <m/>
    <m/>
    <m/>
    <x v="37"/>
    <x v="3"/>
  </r>
  <r>
    <x v="7"/>
    <m/>
    <m/>
    <m/>
    <x v="280"/>
    <m/>
    <m/>
    <x v="7"/>
    <m/>
    <m/>
    <m/>
    <m/>
    <m/>
    <m/>
    <x v="37"/>
    <x v="3"/>
  </r>
  <r>
    <x v="7"/>
    <m/>
    <m/>
    <m/>
    <x v="281"/>
    <m/>
    <m/>
    <x v="7"/>
    <m/>
    <m/>
    <m/>
    <m/>
    <m/>
    <m/>
    <x v="37"/>
    <x v="3"/>
  </r>
  <r>
    <x v="7"/>
    <m/>
    <m/>
    <m/>
    <x v="282"/>
    <m/>
    <m/>
    <x v="7"/>
    <m/>
    <m/>
    <m/>
    <m/>
    <m/>
    <m/>
    <x v="37"/>
    <x v="3"/>
  </r>
  <r>
    <x v="7"/>
    <m/>
    <m/>
    <m/>
    <x v="283"/>
    <m/>
    <m/>
    <x v="7"/>
    <m/>
    <m/>
    <m/>
    <m/>
    <m/>
    <m/>
    <x v="37"/>
    <x v="3"/>
  </r>
  <r>
    <x v="7"/>
    <m/>
    <m/>
    <m/>
    <x v="284"/>
    <m/>
    <m/>
    <x v="7"/>
    <m/>
    <m/>
    <m/>
    <m/>
    <m/>
    <m/>
    <x v="37"/>
    <x v="3"/>
  </r>
  <r>
    <x v="7"/>
    <m/>
    <m/>
    <m/>
    <x v="285"/>
    <m/>
    <m/>
    <x v="7"/>
    <m/>
    <m/>
    <m/>
    <m/>
    <m/>
    <m/>
    <x v="37"/>
    <x v="3"/>
  </r>
  <r>
    <x v="7"/>
    <m/>
    <m/>
    <m/>
    <x v="286"/>
    <m/>
    <m/>
    <x v="7"/>
    <m/>
    <m/>
    <m/>
    <m/>
    <m/>
    <m/>
    <x v="37"/>
    <x v="3"/>
  </r>
  <r>
    <x v="7"/>
    <m/>
    <m/>
    <m/>
    <x v="287"/>
    <m/>
    <m/>
    <x v="7"/>
    <m/>
    <m/>
    <m/>
    <m/>
    <m/>
    <m/>
    <x v="37"/>
    <x v="3"/>
  </r>
  <r>
    <x v="7"/>
    <m/>
    <m/>
    <m/>
    <x v="288"/>
    <m/>
    <m/>
    <x v="7"/>
    <m/>
    <m/>
    <m/>
    <m/>
    <m/>
    <m/>
    <x v="37"/>
    <x v="3"/>
  </r>
  <r>
    <x v="7"/>
    <m/>
    <m/>
    <m/>
    <x v="289"/>
    <m/>
    <m/>
    <x v="7"/>
    <m/>
    <m/>
    <m/>
    <m/>
    <m/>
    <m/>
    <x v="37"/>
    <x v="3"/>
  </r>
  <r>
    <x v="7"/>
    <m/>
    <m/>
    <m/>
    <x v="290"/>
    <m/>
    <m/>
    <x v="7"/>
    <m/>
    <m/>
    <m/>
    <m/>
    <m/>
    <m/>
    <x v="37"/>
    <x v="3"/>
  </r>
  <r>
    <x v="7"/>
    <m/>
    <m/>
    <m/>
    <x v="291"/>
    <m/>
    <m/>
    <x v="7"/>
    <m/>
    <m/>
    <m/>
    <m/>
    <m/>
    <m/>
    <x v="37"/>
    <x v="3"/>
  </r>
  <r>
    <x v="7"/>
    <m/>
    <m/>
    <m/>
    <x v="292"/>
    <m/>
    <m/>
    <x v="7"/>
    <m/>
    <m/>
    <m/>
    <m/>
    <m/>
    <m/>
    <x v="37"/>
    <x v="3"/>
  </r>
  <r>
    <x v="7"/>
    <m/>
    <m/>
    <m/>
    <x v="293"/>
    <m/>
    <m/>
    <x v="7"/>
    <m/>
    <m/>
    <m/>
    <m/>
    <m/>
    <m/>
    <x v="37"/>
    <x v="3"/>
  </r>
  <r>
    <x v="7"/>
    <m/>
    <m/>
    <m/>
    <x v="294"/>
    <m/>
    <m/>
    <x v="7"/>
    <m/>
    <m/>
    <m/>
    <m/>
    <m/>
    <m/>
    <x v="37"/>
    <x v="3"/>
  </r>
  <r>
    <x v="7"/>
    <m/>
    <m/>
    <m/>
    <x v="295"/>
    <m/>
    <m/>
    <x v="7"/>
    <m/>
    <m/>
    <m/>
    <m/>
    <m/>
    <m/>
    <x v="37"/>
    <x v="3"/>
  </r>
  <r>
    <x v="7"/>
    <m/>
    <m/>
    <m/>
    <x v="296"/>
    <m/>
    <m/>
    <x v="7"/>
    <m/>
    <m/>
    <m/>
    <m/>
    <m/>
    <m/>
    <x v="37"/>
    <x v="3"/>
  </r>
  <r>
    <x v="7"/>
    <m/>
    <m/>
    <m/>
    <x v="297"/>
    <m/>
    <m/>
    <x v="7"/>
    <m/>
    <m/>
    <m/>
    <m/>
    <m/>
    <m/>
    <x v="37"/>
    <x v="3"/>
  </r>
  <r>
    <x v="7"/>
    <m/>
    <m/>
    <m/>
    <x v="298"/>
    <m/>
    <m/>
    <x v="7"/>
    <m/>
    <m/>
    <m/>
    <m/>
    <m/>
    <m/>
    <x v="37"/>
    <x v="3"/>
  </r>
  <r>
    <x v="7"/>
    <m/>
    <m/>
    <m/>
    <x v="299"/>
    <m/>
    <m/>
    <x v="7"/>
    <m/>
    <m/>
    <m/>
    <m/>
    <m/>
    <m/>
    <x v="37"/>
    <x v="3"/>
  </r>
  <r>
    <x v="7"/>
    <m/>
    <m/>
    <m/>
    <x v="300"/>
    <m/>
    <m/>
    <x v="7"/>
    <m/>
    <m/>
    <m/>
    <m/>
    <m/>
    <m/>
    <x v="37"/>
    <x v="3"/>
  </r>
  <r>
    <x v="7"/>
    <m/>
    <m/>
    <m/>
    <x v="301"/>
    <m/>
    <m/>
    <x v="7"/>
    <m/>
    <m/>
    <m/>
    <m/>
    <m/>
    <m/>
    <x v="37"/>
    <x v="3"/>
  </r>
  <r>
    <x v="7"/>
    <m/>
    <m/>
    <m/>
    <x v="302"/>
    <m/>
    <m/>
    <x v="7"/>
    <m/>
    <m/>
    <m/>
    <m/>
    <m/>
    <m/>
    <x v="37"/>
    <x v="3"/>
  </r>
  <r>
    <x v="7"/>
    <m/>
    <m/>
    <m/>
    <x v="303"/>
    <m/>
    <m/>
    <x v="7"/>
    <m/>
    <m/>
    <m/>
    <m/>
    <m/>
    <m/>
    <x v="37"/>
    <x v="3"/>
  </r>
  <r>
    <x v="7"/>
    <m/>
    <m/>
    <m/>
    <x v="304"/>
    <m/>
    <m/>
    <x v="7"/>
    <m/>
    <m/>
    <m/>
    <m/>
    <m/>
    <m/>
    <x v="37"/>
    <x v="3"/>
  </r>
  <r>
    <x v="7"/>
    <m/>
    <m/>
    <m/>
    <x v="305"/>
    <m/>
    <m/>
    <x v="7"/>
    <m/>
    <m/>
    <m/>
    <m/>
    <m/>
    <m/>
    <x v="37"/>
    <x v="3"/>
  </r>
  <r>
    <x v="7"/>
    <m/>
    <m/>
    <m/>
    <x v="306"/>
    <m/>
    <m/>
    <x v="7"/>
    <m/>
    <m/>
    <m/>
    <m/>
    <m/>
    <m/>
    <x v="37"/>
    <x v="3"/>
  </r>
  <r>
    <x v="7"/>
    <m/>
    <m/>
    <m/>
    <x v="307"/>
    <m/>
    <m/>
    <x v="7"/>
    <m/>
    <m/>
    <m/>
    <m/>
    <m/>
    <m/>
    <x v="37"/>
    <x v="3"/>
  </r>
  <r>
    <x v="7"/>
    <m/>
    <m/>
    <m/>
    <x v="308"/>
    <m/>
    <m/>
    <x v="7"/>
    <m/>
    <m/>
    <m/>
    <m/>
    <m/>
    <m/>
    <x v="37"/>
    <x v="3"/>
  </r>
  <r>
    <x v="7"/>
    <m/>
    <m/>
    <m/>
    <x v="309"/>
    <m/>
    <m/>
    <x v="7"/>
    <m/>
    <m/>
    <m/>
    <m/>
    <m/>
    <m/>
    <x v="37"/>
    <x v="3"/>
  </r>
  <r>
    <x v="2"/>
    <m/>
    <m/>
    <m/>
    <x v="87"/>
    <m/>
    <m/>
    <x v="7"/>
    <m/>
    <m/>
    <m/>
    <m/>
    <m/>
    <m/>
    <x v="37"/>
    <x v="3"/>
  </r>
  <r>
    <x v="2"/>
    <m/>
    <m/>
    <m/>
    <x v="87"/>
    <m/>
    <m/>
    <x v="7"/>
    <m/>
    <m/>
    <m/>
    <m/>
    <m/>
    <m/>
    <x v="37"/>
    <x v="3"/>
  </r>
  <r>
    <x v="2"/>
    <m/>
    <m/>
    <m/>
    <x v="87"/>
    <m/>
    <m/>
    <x v="7"/>
    <m/>
    <m/>
    <m/>
    <m/>
    <m/>
    <m/>
    <x v="37"/>
    <x v="3"/>
  </r>
  <r>
    <x v="2"/>
    <m/>
    <m/>
    <m/>
    <x v="87"/>
    <m/>
    <m/>
    <x v="7"/>
    <m/>
    <m/>
    <m/>
    <m/>
    <m/>
    <m/>
    <x v="37"/>
    <x v="3"/>
  </r>
  <r>
    <x v="2"/>
    <m/>
    <m/>
    <m/>
    <x v="87"/>
    <m/>
    <m/>
    <x v="7"/>
    <m/>
    <m/>
    <m/>
    <m/>
    <m/>
    <m/>
    <x v="37"/>
    <x v="3"/>
  </r>
  <r>
    <x v="2"/>
    <m/>
    <m/>
    <m/>
    <x v="87"/>
    <m/>
    <m/>
    <x v="7"/>
    <m/>
    <m/>
    <m/>
    <m/>
    <m/>
    <m/>
    <x v="37"/>
    <x v="3"/>
  </r>
  <r>
    <x v="2"/>
    <m/>
    <m/>
    <m/>
    <x v="87"/>
    <m/>
    <m/>
    <x v="7"/>
    <m/>
    <m/>
    <m/>
    <m/>
    <m/>
    <m/>
    <x v="37"/>
    <x v="3"/>
  </r>
  <r>
    <x v="2"/>
    <m/>
    <m/>
    <m/>
    <x v="87"/>
    <m/>
    <m/>
    <x v="7"/>
    <m/>
    <m/>
    <m/>
    <m/>
    <m/>
    <m/>
    <x v="37"/>
    <x v="3"/>
  </r>
  <r>
    <x v="2"/>
    <m/>
    <m/>
    <m/>
    <x v="87"/>
    <m/>
    <m/>
    <x v="7"/>
    <m/>
    <m/>
    <m/>
    <m/>
    <m/>
    <m/>
    <x v="37"/>
    <x v="3"/>
  </r>
  <r>
    <x v="2"/>
    <m/>
    <m/>
    <m/>
    <x v="87"/>
    <m/>
    <m/>
    <x v="7"/>
    <m/>
    <m/>
    <m/>
    <m/>
    <m/>
    <m/>
    <x v="37"/>
    <x v="3"/>
  </r>
  <r>
    <x v="2"/>
    <m/>
    <m/>
    <m/>
    <x v="87"/>
    <m/>
    <m/>
    <x v="7"/>
    <m/>
    <m/>
    <m/>
    <m/>
    <m/>
    <m/>
    <x v="37"/>
    <x v="3"/>
  </r>
  <r>
    <x v="2"/>
    <m/>
    <m/>
    <m/>
    <x v="87"/>
    <m/>
    <m/>
    <x v="7"/>
    <m/>
    <m/>
    <m/>
    <m/>
    <m/>
    <m/>
    <x v="37"/>
    <x v="3"/>
  </r>
  <r>
    <x v="2"/>
    <m/>
    <m/>
    <m/>
    <x v="87"/>
    <m/>
    <m/>
    <x v="7"/>
    <m/>
    <m/>
    <m/>
    <m/>
    <m/>
    <m/>
    <x v="37"/>
    <x v="3"/>
  </r>
  <r>
    <x v="2"/>
    <m/>
    <m/>
    <m/>
    <x v="87"/>
    <m/>
    <m/>
    <x v="7"/>
    <m/>
    <m/>
    <m/>
    <m/>
    <m/>
    <m/>
    <x v="37"/>
    <x v="3"/>
  </r>
  <r>
    <x v="2"/>
    <m/>
    <m/>
    <m/>
    <x v="87"/>
    <m/>
    <m/>
    <x v="7"/>
    <m/>
    <m/>
    <m/>
    <m/>
    <m/>
    <m/>
    <x v="37"/>
    <x v="3"/>
  </r>
  <r>
    <x v="2"/>
    <m/>
    <m/>
    <m/>
    <x v="87"/>
    <m/>
    <m/>
    <x v="7"/>
    <m/>
    <m/>
    <m/>
    <m/>
    <m/>
    <m/>
    <x v="37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28C1D4A-A4C3-4AA9-AD30-B5D06AAA5923}" name="PivotTable1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 colHeaderCaption="Projects">
  <location ref="B12:J208" firstHeaderRow="1" firstDataRow="2" firstDataCol="1" rowPageCount="1" colPageCount="1"/>
  <pivotFields count="16">
    <pivotField axis="axisCol" showAll="0" sortType="ascending">
      <items count="9">
        <item x="3"/>
        <item x="1"/>
        <item x="4"/>
        <item x="5"/>
        <item x="6"/>
        <item x="0"/>
        <item x="7"/>
        <item x="2"/>
        <item t="default"/>
      </items>
    </pivotField>
    <pivotField showAll="0"/>
    <pivotField showAll="0"/>
    <pivotField showAll="0"/>
    <pivotField axis="axisRow" showAll="0">
      <items count="311">
        <item x="89"/>
        <item x="132"/>
        <item x="79"/>
        <item x="35"/>
        <item x="133"/>
        <item x="45"/>
        <item x="29"/>
        <item x="107"/>
        <item x="88"/>
        <item x="100"/>
        <item x="82"/>
        <item x="135"/>
        <item x="52"/>
        <item x="125"/>
        <item x="30"/>
        <item x="124"/>
        <item x="48"/>
        <item x="109"/>
        <item x="131"/>
        <item x="66"/>
        <item x="64"/>
        <item x="62"/>
        <item x="105"/>
        <item x="33"/>
        <item x="61"/>
        <item x="49"/>
        <item x="1"/>
        <item x="8"/>
        <item x="14"/>
        <item x="16"/>
        <item x="67"/>
        <item x="65"/>
        <item x="75"/>
        <item x="12"/>
        <item x="58"/>
        <item x="44"/>
        <item x="15"/>
        <item x="53"/>
        <item x="144"/>
        <item x="143"/>
        <item x="50"/>
        <item x="63"/>
        <item x="60"/>
        <item x="68"/>
        <item x="2"/>
        <item x="86"/>
        <item x="115"/>
        <item x="93"/>
        <item x="27"/>
        <item x="103"/>
        <item x="81"/>
        <item x="104"/>
        <item x="25"/>
        <item x="83"/>
        <item x="74"/>
        <item x="111"/>
        <item x="112"/>
        <item x="121"/>
        <item x="119"/>
        <item x="120"/>
        <item x="76"/>
        <item x="117"/>
        <item x="114"/>
        <item x="110"/>
        <item x="118"/>
        <item x="123"/>
        <item x="122"/>
        <item x="101"/>
        <item x="57"/>
        <item x="41"/>
        <item x="31"/>
        <item x="113"/>
        <item x="43"/>
        <item x="97"/>
        <item x="34"/>
        <item x="80"/>
        <item x="128"/>
        <item x="137"/>
        <item x="138"/>
        <item x="39"/>
        <item x="140"/>
        <item x="142"/>
        <item x="28"/>
        <item x="24"/>
        <item x="126"/>
        <item x="0"/>
        <item x="85"/>
        <item x="17"/>
        <item x="51"/>
        <item x="9"/>
        <item x="20"/>
        <item x="18"/>
        <item x="13"/>
        <item x="19"/>
        <item x="70"/>
        <item x="47"/>
        <item x="32"/>
        <item x="38"/>
        <item x="99"/>
        <item x="78"/>
        <item x="136"/>
        <item x="71"/>
        <item x="95"/>
        <item x="92"/>
        <item x="72"/>
        <item x="73"/>
        <item x="91"/>
        <item x="55"/>
        <item x="90"/>
        <item x="102"/>
        <item x="11"/>
        <item x="22"/>
        <item x="6"/>
        <item x="42"/>
        <item x="141"/>
        <item x="98"/>
        <item x="84"/>
        <item x="130"/>
        <item x="3"/>
        <item x="37"/>
        <item x="36"/>
        <item x="5"/>
        <item x="40"/>
        <item x="7"/>
        <item x="4"/>
        <item x="21"/>
        <item x="10"/>
        <item x="54"/>
        <item x="69"/>
        <item x="59"/>
        <item x="139"/>
        <item x="134"/>
        <item x="26"/>
        <item x="127"/>
        <item x="77"/>
        <item x="94"/>
        <item x="96"/>
        <item x="46"/>
        <item x="23"/>
        <item x="106"/>
        <item x="108"/>
        <item x="56"/>
        <item x="129"/>
        <item x="87"/>
        <item x="116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t="default"/>
      </items>
    </pivotField>
    <pivotField showAll="0"/>
    <pivotField showAll="0"/>
    <pivotField axis="axisRow" showAll="0" sortType="descending">
      <items count="9">
        <item sd="0" x="2"/>
        <item sd="0" x="6"/>
        <item sd="0" x="5"/>
        <item sd="0" x="3"/>
        <item sd="0" x="4"/>
        <item x="0"/>
        <item sd="0" x="1"/>
        <item x="7"/>
        <item t="default" sd="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showAll="0"/>
    <pivotField showAll="0"/>
    <pivotField axis="axisRow" showAll="0">
      <items count="39">
        <item x="0"/>
        <item x="20"/>
        <item x="27"/>
        <item x="11"/>
        <item x="6"/>
        <item x="16"/>
        <item x="24"/>
        <item x="23"/>
        <item x="15"/>
        <item x="32"/>
        <item x="26"/>
        <item x="21"/>
        <item x="34"/>
        <item x="5"/>
        <item x="12"/>
        <item x="3"/>
        <item x="17"/>
        <item x="25"/>
        <item x="36"/>
        <item x="7"/>
        <item x="2"/>
        <item x="30"/>
        <item x="33"/>
        <item x="31"/>
        <item x="28"/>
        <item x="9"/>
        <item x="19"/>
        <item x="4"/>
        <item x="14"/>
        <item x="35"/>
        <item x="18"/>
        <item x="8"/>
        <item x="13"/>
        <item x="29"/>
        <item x="10"/>
        <item x="22"/>
        <item x="1"/>
        <item x="37"/>
        <item t="default"/>
      </items>
    </pivotField>
    <pivotField axis="axisPage" multipleItemSelectionAllowed="1" showAll="0">
      <items count="5">
        <item x="0"/>
        <item h="1" x="1"/>
        <item x="2"/>
        <item h="1" x="3"/>
        <item t="default"/>
      </items>
    </pivotField>
  </pivotFields>
  <rowFields count="3">
    <field x="7"/>
    <field x="4"/>
    <field x="14"/>
  </rowFields>
  <rowItems count="195">
    <i>
      <x v="5"/>
    </i>
    <i r="1">
      <x/>
    </i>
    <i r="2">
      <x v="36"/>
    </i>
    <i r="1">
      <x v="1"/>
    </i>
    <i r="2">
      <x/>
    </i>
    <i r="1">
      <x v="4"/>
    </i>
    <i r="2">
      <x/>
    </i>
    <i r="1">
      <x v="5"/>
    </i>
    <i r="2">
      <x v="32"/>
    </i>
    <i r="1">
      <x v="8"/>
    </i>
    <i r="2">
      <x/>
    </i>
    <i r="2">
      <x v="36"/>
    </i>
    <i r="1">
      <x v="12"/>
    </i>
    <i r="2">
      <x/>
    </i>
    <i r="1">
      <x v="13"/>
    </i>
    <i r="2">
      <x/>
    </i>
    <i r="1">
      <x v="14"/>
    </i>
    <i r="2">
      <x/>
    </i>
    <i r="1">
      <x v="17"/>
    </i>
    <i r="2">
      <x/>
    </i>
    <i r="1">
      <x v="26"/>
    </i>
    <i r="2">
      <x/>
    </i>
    <i r="1">
      <x v="27"/>
    </i>
    <i r="2">
      <x/>
    </i>
    <i r="1">
      <x v="28"/>
    </i>
    <i r="2">
      <x/>
    </i>
    <i r="1">
      <x v="29"/>
    </i>
    <i r="2">
      <x/>
    </i>
    <i r="1">
      <x v="33"/>
    </i>
    <i r="2">
      <x/>
    </i>
    <i r="1">
      <x v="36"/>
    </i>
    <i r="2">
      <x/>
    </i>
    <i r="1">
      <x v="38"/>
    </i>
    <i r="2">
      <x/>
    </i>
    <i r="1">
      <x v="44"/>
    </i>
    <i r="2">
      <x/>
    </i>
    <i r="1">
      <x v="45"/>
    </i>
    <i r="2">
      <x v="28"/>
    </i>
    <i r="1">
      <x v="47"/>
    </i>
    <i r="2">
      <x v="36"/>
    </i>
    <i r="1">
      <x v="49"/>
    </i>
    <i r="2">
      <x/>
    </i>
    <i r="1">
      <x v="51"/>
    </i>
    <i r="2">
      <x/>
    </i>
    <i r="1">
      <x v="70"/>
    </i>
    <i r="2">
      <x v="15"/>
    </i>
    <i r="1">
      <x v="73"/>
    </i>
    <i r="2">
      <x v="36"/>
    </i>
    <i r="1">
      <x v="76"/>
    </i>
    <i r="2">
      <x/>
    </i>
    <i r="1">
      <x v="79"/>
    </i>
    <i r="2">
      <x v="34"/>
    </i>
    <i r="1">
      <x v="84"/>
    </i>
    <i r="2">
      <x/>
    </i>
    <i r="1">
      <x v="85"/>
    </i>
    <i r="2">
      <x/>
    </i>
    <i r="1">
      <x v="87"/>
    </i>
    <i r="2">
      <x/>
    </i>
    <i r="1">
      <x v="89"/>
    </i>
    <i r="2">
      <x/>
    </i>
    <i r="1">
      <x v="90"/>
    </i>
    <i r="2">
      <x/>
    </i>
    <i r="1">
      <x v="91"/>
    </i>
    <i r="2">
      <x/>
    </i>
    <i r="1">
      <x v="92"/>
    </i>
    <i r="2">
      <x/>
    </i>
    <i r="2">
      <x v="8"/>
    </i>
    <i r="1">
      <x v="93"/>
    </i>
    <i r="2">
      <x/>
    </i>
    <i r="1">
      <x v="101"/>
    </i>
    <i r="2">
      <x/>
    </i>
    <i r="1">
      <x v="102"/>
    </i>
    <i r="2">
      <x/>
    </i>
    <i r="2">
      <x v="36"/>
    </i>
    <i r="1">
      <x v="103"/>
    </i>
    <i r="2">
      <x/>
    </i>
    <i r="2">
      <x v="36"/>
    </i>
    <i r="1">
      <x v="105"/>
    </i>
    <i r="2">
      <x/>
    </i>
    <i r="2">
      <x v="7"/>
    </i>
    <i r="1">
      <x v="106"/>
    </i>
    <i r="2">
      <x v="36"/>
    </i>
    <i r="1">
      <x v="107"/>
    </i>
    <i r="2">
      <x v="1"/>
    </i>
    <i r="1">
      <x v="108"/>
    </i>
    <i r="2">
      <x v="36"/>
    </i>
    <i r="1">
      <x v="109"/>
    </i>
    <i r="2">
      <x/>
    </i>
    <i r="1">
      <x v="110"/>
    </i>
    <i r="2">
      <x/>
    </i>
    <i r="2">
      <x v="5"/>
    </i>
    <i r="1">
      <x v="111"/>
    </i>
    <i r="2">
      <x/>
    </i>
    <i r="2">
      <x v="16"/>
    </i>
    <i r="1">
      <x v="112"/>
    </i>
    <i r="2">
      <x/>
    </i>
    <i r="2">
      <x v="5"/>
    </i>
    <i r="1">
      <x v="115"/>
    </i>
    <i r="2">
      <x v="21"/>
    </i>
    <i r="1">
      <x v="118"/>
    </i>
    <i r="2">
      <x/>
    </i>
    <i r="1">
      <x v="121"/>
    </i>
    <i r="2">
      <x/>
    </i>
    <i r="1">
      <x v="122"/>
    </i>
    <i r="2">
      <x v="3"/>
    </i>
    <i r="1">
      <x v="123"/>
    </i>
    <i r="2">
      <x/>
    </i>
    <i r="1">
      <x v="124"/>
    </i>
    <i r="2">
      <x/>
    </i>
    <i r="1">
      <x v="125"/>
    </i>
    <i r="2">
      <x/>
    </i>
    <i r="1">
      <x v="126"/>
    </i>
    <i r="2">
      <x/>
    </i>
    <i r="2">
      <x v="4"/>
    </i>
    <i r="1">
      <x v="127"/>
    </i>
    <i r="2">
      <x v="5"/>
    </i>
    <i r="1">
      <x v="128"/>
    </i>
    <i r="2">
      <x/>
    </i>
    <i r="2">
      <x v="11"/>
    </i>
    <i r="1">
      <x v="131"/>
    </i>
    <i r="2">
      <x/>
    </i>
    <i r="1">
      <x v="133"/>
    </i>
    <i r="2">
      <x/>
    </i>
    <i r="1">
      <x v="135"/>
    </i>
    <i r="2">
      <x/>
    </i>
    <i r="2">
      <x v="36"/>
    </i>
    <i r="1">
      <x v="136"/>
    </i>
    <i r="2">
      <x v="36"/>
    </i>
    <i r="1">
      <x v="137"/>
    </i>
    <i r="2">
      <x v="28"/>
    </i>
    <i r="1">
      <x v="140"/>
    </i>
    <i r="2">
      <x v="29"/>
    </i>
    <i r="1">
      <x v="142"/>
    </i>
    <i r="2">
      <x/>
    </i>
    <i r="1">
      <x v="143"/>
    </i>
    <i r="2">
      <x/>
    </i>
    <i r="1">
      <x v="152"/>
    </i>
    <i r="2">
      <x/>
    </i>
    <i r="1">
      <x v="154"/>
    </i>
    <i r="2">
      <x/>
    </i>
    <i r="1">
      <x v="161"/>
    </i>
    <i r="2">
      <x/>
    </i>
    <i r="1">
      <x v="165"/>
    </i>
    <i r="2">
      <x/>
    </i>
    <i r="1">
      <x v="169"/>
    </i>
    <i r="2">
      <x/>
    </i>
    <i r="1">
      <x v="170"/>
    </i>
    <i r="2">
      <x/>
    </i>
    <i r="1">
      <x v="171"/>
    </i>
    <i r="2">
      <x/>
    </i>
    <i r="1">
      <x v="184"/>
    </i>
    <i r="2">
      <x/>
    </i>
    <i r="1">
      <x v="185"/>
    </i>
    <i r="2">
      <x/>
    </i>
    <i r="1">
      <x v="195"/>
    </i>
    <i r="2">
      <x/>
    </i>
    <i r="1">
      <x v="196"/>
    </i>
    <i r="2">
      <x/>
    </i>
    <i r="1">
      <x v="197"/>
    </i>
    <i r="2">
      <x/>
    </i>
    <i r="1">
      <x v="198"/>
    </i>
    <i r="2">
      <x/>
    </i>
    <i r="1">
      <x v="199"/>
    </i>
    <i r="2">
      <x/>
    </i>
    <i r="1">
      <x v="200"/>
    </i>
    <i r="2">
      <x/>
    </i>
    <i r="1">
      <x v="201"/>
    </i>
    <i r="2">
      <x/>
    </i>
    <i r="1">
      <x v="202"/>
    </i>
    <i r="2">
      <x/>
    </i>
    <i r="1">
      <x v="203"/>
    </i>
    <i r="2">
      <x/>
    </i>
    <i r="1">
      <x v="204"/>
    </i>
    <i r="2">
      <x/>
    </i>
    <i r="1">
      <x v="205"/>
    </i>
    <i r="2">
      <x/>
    </i>
    <i r="1">
      <x v="210"/>
    </i>
    <i r="2">
      <x/>
    </i>
    <i r="1">
      <x v="212"/>
    </i>
    <i r="2">
      <x/>
    </i>
    <i r="1">
      <x v="213"/>
    </i>
    <i r="2">
      <x/>
    </i>
    <i r="1">
      <x v="214"/>
    </i>
    <i r="2">
      <x/>
    </i>
    <i r="1">
      <x v="215"/>
    </i>
    <i r="2">
      <x/>
    </i>
    <i r="1">
      <x v="216"/>
    </i>
    <i r="2">
      <x/>
    </i>
    <i>
      <x v="3"/>
    </i>
    <i>
      <x v="4"/>
    </i>
    <i>
      <x v="6"/>
    </i>
    <i>
      <x v="1"/>
    </i>
    <i>
      <x/>
    </i>
    <i>
      <x v="2"/>
    </i>
    <i t="grand">
      <x/>
    </i>
  </rowItems>
  <colFields count="1">
    <field x="0"/>
  </colFields>
  <colItems count="8">
    <i>
      <x/>
    </i>
    <i>
      <x v="1"/>
    </i>
    <i>
      <x v="2"/>
    </i>
    <i>
      <x v="3"/>
    </i>
    <i>
      <x v="4"/>
    </i>
    <i>
      <x v="5"/>
    </i>
    <i>
      <x v="7"/>
    </i>
    <i t="grand">
      <x/>
    </i>
  </colItems>
  <pageFields count="1">
    <pageField fld="15" hier="-1"/>
  </pageFields>
  <dataFields count="1">
    <dataField name="PO Values" fld="12" baseField="0" baseItem="0" numFmtId="42"/>
  </dataFields>
  <formats count="6">
    <format dxfId="24">
      <pivotArea collapsedLevelsAreSubtotals="1" fieldPosition="0">
        <references count="2">
          <reference field="4" count="1">
            <x v="121"/>
          </reference>
          <reference field="7" count="1" selected="0">
            <x v="5"/>
          </reference>
        </references>
      </pivotArea>
    </format>
    <format dxfId="25">
      <pivotArea dataOnly="0" labelOnly="1" fieldPosition="0">
        <references count="2">
          <reference field="4" count="1">
            <x v="121"/>
          </reference>
          <reference field="7" count="1" selected="0">
            <x v="5"/>
          </reference>
        </references>
      </pivotArea>
    </format>
    <format dxfId="26">
      <pivotArea collapsedLevelsAreSubtotals="1" fieldPosition="0">
        <references count="1">
          <reference field="7" count="1">
            <x v="5"/>
          </reference>
        </references>
      </pivotArea>
    </format>
    <format dxfId="27">
      <pivotArea dataOnly="0" labelOnly="1" fieldPosition="0">
        <references count="1">
          <reference field="7" count="1">
            <x v="5"/>
          </reference>
        </references>
      </pivotArea>
    </format>
    <format dxfId="28">
      <pivotArea collapsedLevelsAreSubtotals="1" fieldPosition="0">
        <references count="1">
          <reference field="7" count="1">
            <x v="5"/>
          </reference>
        </references>
      </pivotArea>
    </format>
    <format dxfId="29">
      <pivotArea dataOnly="0" labelOnly="1" fieldPosition="0">
        <references count="1">
          <reference field="7" count="1">
            <x v="5"/>
          </reference>
        </references>
      </pivotArea>
    </format>
  </formats>
  <chartFormats count="53">
    <chartFormat chart="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4" series="1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14" count="1" selected="0">
            <x v="1"/>
          </reference>
        </references>
      </pivotArea>
    </chartFormat>
    <chartFormat chart="0" format="5" series="1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14" count="1" selected="0">
            <x v="3"/>
          </reference>
        </references>
      </pivotArea>
    </chartFormat>
    <chartFormat chart="0" format="6" series="1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14" count="1" selected="0">
            <x v="4"/>
          </reference>
        </references>
      </pivotArea>
    </chartFormat>
    <chartFormat chart="0" format="7" series="1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14" count="1" selected="0">
            <x v="5"/>
          </reference>
        </references>
      </pivotArea>
    </chartFormat>
    <chartFormat chart="0" format="8" series="1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14" count="1" selected="0">
            <x v="7"/>
          </reference>
        </references>
      </pivotArea>
    </chartFormat>
    <chartFormat chart="0" format="9" series="1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14" count="1" selected="0">
            <x v="8"/>
          </reference>
        </references>
      </pivotArea>
    </chartFormat>
    <chartFormat chart="0" format="10" series="1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14" count="1" selected="0">
            <x v="9"/>
          </reference>
        </references>
      </pivotArea>
    </chartFormat>
    <chartFormat chart="0" format="11" series="1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14" count="1" selected="0">
            <x v="11"/>
          </reference>
        </references>
      </pivotArea>
    </chartFormat>
    <chartFormat chart="0" format="12" series="1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14" count="1" selected="0">
            <x v="15"/>
          </reference>
        </references>
      </pivotArea>
    </chartFormat>
    <chartFormat chart="0" format="13" series="1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14" count="1" selected="0">
            <x v="16"/>
          </reference>
        </references>
      </pivotArea>
    </chartFormat>
    <chartFormat chart="0" format="14" series="1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14" count="1" selected="0">
            <x v="19"/>
          </reference>
        </references>
      </pivotArea>
    </chartFormat>
    <chartFormat chart="0" format="15" series="1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14" count="1" selected="0">
            <x v="20"/>
          </reference>
        </references>
      </pivotArea>
    </chartFormat>
    <chartFormat chart="0" format="16" series="1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14" count="1" selected="0">
            <x v="21"/>
          </reference>
        </references>
      </pivotArea>
    </chartFormat>
    <chartFormat chart="0" format="17" series="1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14" count="1" selected="0">
            <x v="22"/>
          </reference>
        </references>
      </pivotArea>
    </chartFormat>
    <chartFormat chart="0" format="18" series="1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14" count="1" selected="0">
            <x v="28"/>
          </reference>
        </references>
      </pivotArea>
    </chartFormat>
    <chartFormat chart="0" format="19" series="1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14" count="1" selected="0">
            <x v="29"/>
          </reference>
        </references>
      </pivotArea>
    </chartFormat>
    <chartFormat chart="0" format="20" series="1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14" count="1" selected="0">
            <x v="31"/>
          </reference>
        </references>
      </pivotArea>
    </chartFormat>
    <chartFormat chart="0" format="21" series="1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14" count="1" selected="0">
            <x v="32"/>
          </reference>
        </references>
      </pivotArea>
    </chartFormat>
    <chartFormat chart="0" format="22" series="1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14" count="1" selected="0">
            <x v="34"/>
          </reference>
        </references>
      </pivotArea>
    </chartFormat>
    <chartFormat chart="0" format="23" series="1">
      <pivotArea type="data" outline="0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14" count="1" selected="0">
            <x v="36"/>
          </reference>
        </references>
      </pivotArea>
    </chartFormat>
    <chartFormat chart="0" format="24" series="1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14" count="1" selected="0">
            <x v="2"/>
          </reference>
        </references>
      </pivotArea>
    </chartFormat>
    <chartFormat chart="0" format="25" series="1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14" count="1" selected="0">
            <x v="13"/>
          </reference>
        </references>
      </pivotArea>
    </chartFormat>
    <chartFormat chart="0" format="26" series="1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14" count="1" selected="0">
            <x v="14"/>
          </reference>
        </references>
      </pivotArea>
    </chartFormat>
    <chartFormat chart="0" format="27" series="1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14" count="1" selected="0">
            <x v="17"/>
          </reference>
        </references>
      </pivotArea>
    </chartFormat>
    <chartFormat chart="0" format="28" series="1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14" count="1" selected="0">
            <x v="26"/>
          </reference>
        </references>
      </pivotArea>
    </chartFormat>
    <chartFormat chart="0" format="29" series="1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14" count="1" selected="0">
            <x v="28"/>
          </reference>
        </references>
      </pivotArea>
    </chartFormat>
    <chartFormat chart="0" format="30" series="1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14" count="1" selected="0">
            <x v="30"/>
          </reference>
        </references>
      </pivotArea>
    </chartFormat>
    <chartFormat chart="0" format="31" series="1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14" count="1" selected="0">
            <x v="31"/>
          </reference>
        </references>
      </pivotArea>
    </chartFormat>
    <chartFormat chart="0" format="32" series="1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14" count="1" selected="0">
            <x v="33"/>
          </reference>
        </references>
      </pivotArea>
    </chartFormat>
    <chartFormat chart="0" format="33" series="1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14" count="1" selected="0">
            <x v="36"/>
          </reference>
        </references>
      </pivotArea>
    </chartFormat>
    <chartFormat chart="0" format="34" series="1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14" count="1" selected="0">
            <x v="27"/>
          </reference>
        </references>
      </pivotArea>
    </chartFormat>
    <chartFormat chart="0" format="35" series="1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14" count="1" selected="0">
            <x v="28"/>
          </reference>
        </references>
      </pivotArea>
    </chartFormat>
    <chartFormat chart="0" format="36" series="1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14" count="1" selected="0">
            <x v="36"/>
          </reference>
        </references>
      </pivotArea>
    </chartFormat>
    <chartFormat chart="0" format="37" series="1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14" count="1" selected="0">
            <x v="0"/>
          </reference>
        </references>
      </pivotArea>
    </chartFormat>
    <chartFormat chart="0" format="38" series="1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14" count="1" selected="0">
            <x v="6"/>
          </reference>
        </references>
      </pivotArea>
    </chartFormat>
    <chartFormat chart="0" format="39" series="1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14" count="1" selected="0">
            <x v="10"/>
          </reference>
        </references>
      </pivotArea>
    </chartFormat>
    <chartFormat chart="0" format="40" series="1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14" count="1" selected="0">
            <x v="12"/>
          </reference>
        </references>
      </pivotArea>
    </chartFormat>
    <chartFormat chart="0" format="41" series="1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14" count="1" selected="0">
            <x v="13"/>
          </reference>
        </references>
      </pivotArea>
    </chartFormat>
    <chartFormat chart="0" format="42" series="1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14" count="1" selected="0">
            <x v="14"/>
          </reference>
        </references>
      </pivotArea>
    </chartFormat>
    <chartFormat chart="0" format="43" series="1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14" count="1" selected="0">
            <x v="18"/>
          </reference>
        </references>
      </pivotArea>
    </chartFormat>
    <chartFormat chart="0" format="44" series="1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14" count="1" selected="0">
            <x v="23"/>
          </reference>
        </references>
      </pivotArea>
    </chartFormat>
    <chartFormat chart="0" format="45" series="1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14" count="1" selected="0">
            <x v="24"/>
          </reference>
        </references>
      </pivotArea>
    </chartFormat>
    <chartFormat chart="0" format="46" series="1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14" count="1" selected="0">
            <x v="25"/>
          </reference>
        </references>
      </pivotArea>
    </chartFormat>
    <chartFormat chart="0" format="47" series="1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14" count="1" selected="0">
            <x v="28"/>
          </reference>
        </references>
      </pivotArea>
    </chartFormat>
    <chartFormat chart="0" format="48" series="1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14" count="1" selected="0">
            <x v="35"/>
          </reference>
        </references>
      </pivotArea>
    </chartFormat>
    <chartFormat chart="0" format="49" series="1">
      <pivotArea type="data"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14" count="1" selected="0">
            <x v="36"/>
          </reference>
        </references>
      </pivotArea>
    </chartFormat>
    <chartFormat chart="0" format="50" series="1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14" count="1" selected="0">
            <x v="8"/>
          </reference>
        </references>
      </pivotArea>
    </chartFormat>
    <chartFormat chart="0" format="51" series="1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14" count="1" selected="0">
            <x v="36"/>
          </reference>
        </references>
      </pivotArea>
    </chartFormat>
    <chartFormat chart="0" format="52" series="1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14" count="1" selected="0">
            <x v="36"/>
          </reference>
        </references>
      </pivotArea>
    </chartFormat>
    <chartFormat chart="0" format="5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8" format="5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8" format="5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952109-3FF3-45C2-82BC-9E5EA3A71184}">
  <sheetPr>
    <tabColor theme="5"/>
  </sheetPr>
  <dimension ref="A1:R691"/>
  <sheetViews>
    <sheetView tabSelected="1" zoomScale="57" zoomScaleNormal="57" workbookViewId="0">
      <pane ySplit="5" topLeftCell="A6" activePane="bottomLeft" state="frozen"/>
      <selection pane="bottomLeft" activeCell="F524" sqref="F101:F524"/>
    </sheetView>
  </sheetViews>
  <sheetFormatPr defaultRowHeight="18.75" x14ac:dyDescent="0.25"/>
  <cols>
    <col min="1" max="1" width="21.85546875" customWidth="1"/>
    <col min="2" max="2" width="5.7109375" style="93" customWidth="1"/>
    <col min="3" max="4" width="29.85546875" style="93" customWidth="1"/>
    <col min="5" max="5" width="76.5703125" style="93" customWidth="1"/>
    <col min="6" max="6" width="50.5703125" style="93" customWidth="1"/>
    <col min="7" max="7" width="46.5703125" style="93" hidden="1" customWidth="1"/>
    <col min="8" max="8" width="15.42578125" style="93" bestFit="1" customWidth="1"/>
    <col min="9" max="9" width="41.42578125" style="95" hidden="1" customWidth="1"/>
    <col min="10" max="10" width="16.140625" style="93" hidden="1" customWidth="1"/>
    <col min="11" max="11" width="20.85546875" style="93" hidden="1" customWidth="1"/>
    <col min="12" max="12" width="15.42578125" bestFit="1" customWidth="1"/>
    <col min="13" max="14" width="15.5703125" style="93" customWidth="1"/>
    <col min="15" max="15" width="68.85546875" style="95" customWidth="1"/>
    <col min="16" max="16" width="23.140625" style="137" bestFit="1" customWidth="1"/>
    <col min="18" max="18" width="78.85546875" bestFit="1" customWidth="1"/>
    <col min="19" max="19" width="17" bestFit="1" customWidth="1"/>
    <col min="20" max="20" width="15.7109375" bestFit="1" customWidth="1"/>
    <col min="21" max="22" width="12.7109375" bestFit="1" customWidth="1"/>
    <col min="23" max="23" width="34.140625" bestFit="1" customWidth="1"/>
    <col min="24" max="24" width="25.42578125" bestFit="1" customWidth="1"/>
    <col min="25" max="25" width="20.5703125" bestFit="1" customWidth="1"/>
    <col min="26" max="26" width="20" bestFit="1" customWidth="1"/>
    <col min="27" max="27" width="19" bestFit="1" customWidth="1"/>
    <col min="28" max="28" width="32.28515625" bestFit="1" customWidth="1"/>
    <col min="29" max="29" width="34.28515625" bestFit="1" customWidth="1"/>
    <col min="30" max="30" width="40.5703125" bestFit="1" customWidth="1"/>
    <col min="31" max="31" width="20.85546875" bestFit="1" customWidth="1"/>
    <col min="32" max="32" width="13.140625" bestFit="1" customWidth="1"/>
    <col min="33" max="33" width="31.5703125" bestFit="1" customWidth="1"/>
    <col min="34" max="34" width="37" bestFit="1" customWidth="1"/>
    <col min="35" max="35" width="15.28515625" bestFit="1" customWidth="1"/>
    <col min="36" max="36" width="19.140625" bestFit="1" customWidth="1"/>
    <col min="37" max="37" width="20.28515625" bestFit="1" customWidth="1"/>
    <col min="38" max="38" width="28.7109375" bestFit="1" customWidth="1"/>
    <col min="39" max="39" width="6" bestFit="1" customWidth="1"/>
    <col min="40" max="40" width="12.140625" bestFit="1" customWidth="1"/>
    <col min="41" max="41" width="55.5703125" bestFit="1" customWidth="1"/>
    <col min="42" max="42" width="32.85546875" bestFit="1" customWidth="1"/>
    <col min="43" max="43" width="33.5703125" bestFit="1" customWidth="1"/>
    <col min="44" max="44" width="17.28515625" bestFit="1" customWidth="1"/>
    <col min="45" max="45" width="21" bestFit="1" customWidth="1"/>
    <col min="46" max="46" width="37" bestFit="1" customWidth="1"/>
    <col min="47" max="47" width="12.140625" bestFit="1" customWidth="1"/>
    <col min="48" max="48" width="19.140625" bestFit="1" customWidth="1"/>
    <col min="49" max="49" width="17.140625" bestFit="1" customWidth="1"/>
    <col min="50" max="50" width="6" bestFit="1" customWidth="1"/>
    <col min="51" max="51" width="11.85546875" bestFit="1" customWidth="1"/>
    <col min="52" max="52" width="23.28515625" bestFit="1" customWidth="1"/>
    <col min="53" max="53" width="37" bestFit="1" customWidth="1"/>
    <col min="54" max="54" width="6" bestFit="1" customWidth="1"/>
    <col min="55" max="55" width="13.28515625" bestFit="1" customWidth="1"/>
    <col min="56" max="56" width="8.42578125" bestFit="1" customWidth="1"/>
    <col min="57" max="57" width="21.42578125" bestFit="1" customWidth="1"/>
    <col min="58" max="58" width="50.140625" bestFit="1" customWidth="1"/>
    <col min="59" max="59" width="50.42578125" bestFit="1" customWidth="1"/>
    <col min="60" max="60" width="32.85546875" bestFit="1" customWidth="1"/>
    <col min="61" max="61" width="33.5703125" bestFit="1" customWidth="1"/>
    <col min="62" max="62" width="14.7109375" bestFit="1" customWidth="1"/>
    <col min="63" max="63" width="31.85546875" bestFit="1" customWidth="1"/>
    <col min="64" max="64" width="23.5703125" bestFit="1" customWidth="1"/>
    <col min="65" max="65" width="16.28515625" bestFit="1" customWidth="1"/>
    <col min="66" max="66" width="37" bestFit="1" customWidth="1"/>
    <col min="67" max="67" width="30.85546875" bestFit="1" customWidth="1"/>
    <col min="68" max="68" width="6" bestFit="1" customWidth="1"/>
    <col min="69" max="69" width="11.42578125" bestFit="1" customWidth="1"/>
    <col min="70" max="70" width="20.5703125" bestFit="1" customWidth="1"/>
    <col min="71" max="71" width="15" bestFit="1" customWidth="1"/>
    <col min="72" max="72" width="11.28515625" bestFit="1" customWidth="1"/>
    <col min="73" max="74" width="14.42578125" bestFit="1" customWidth="1"/>
    <col min="75" max="75" width="17.7109375" bestFit="1" customWidth="1"/>
    <col min="76" max="76" width="12.140625" bestFit="1" customWidth="1"/>
  </cols>
  <sheetData>
    <row r="1" spans="1:18" x14ac:dyDescent="0.25">
      <c r="R1" s="135" t="s">
        <v>1049</v>
      </c>
    </row>
    <row r="2" spans="1:18" x14ac:dyDescent="0.25">
      <c r="R2" s="135" t="s">
        <v>1050</v>
      </c>
    </row>
    <row r="3" spans="1:18" x14ac:dyDescent="0.25">
      <c r="R3" s="135" t="s">
        <v>1051</v>
      </c>
    </row>
    <row r="4" spans="1:18" x14ac:dyDescent="0.25">
      <c r="R4" s="135" t="s">
        <v>822</v>
      </c>
    </row>
    <row r="5" spans="1:18" ht="37.5" x14ac:dyDescent="0.25">
      <c r="A5" s="103" t="s">
        <v>818</v>
      </c>
      <c r="B5" s="103" t="s">
        <v>21</v>
      </c>
      <c r="C5" s="103" t="s">
        <v>22</v>
      </c>
      <c r="D5" s="103" t="s">
        <v>832</v>
      </c>
      <c r="E5" s="103" t="s">
        <v>23</v>
      </c>
      <c r="F5" s="103" t="s">
        <v>831</v>
      </c>
      <c r="G5" s="103" t="s">
        <v>826</v>
      </c>
      <c r="H5" s="103" t="s">
        <v>24</v>
      </c>
      <c r="I5" s="104" t="s">
        <v>25</v>
      </c>
      <c r="J5" s="103" t="s">
        <v>26</v>
      </c>
      <c r="K5" s="103" t="s">
        <v>27</v>
      </c>
      <c r="L5" s="96" t="s">
        <v>820</v>
      </c>
      <c r="M5" s="96" t="s">
        <v>709</v>
      </c>
      <c r="N5" s="96" t="s">
        <v>782</v>
      </c>
      <c r="O5" s="101" t="s">
        <v>708</v>
      </c>
      <c r="P5" s="136" t="s">
        <v>809</v>
      </c>
    </row>
    <row r="6" spans="1:18" x14ac:dyDescent="0.25">
      <c r="A6" s="95" t="s">
        <v>819</v>
      </c>
      <c r="C6" s="95" t="s">
        <v>512</v>
      </c>
      <c r="D6" s="95" t="str">
        <f>IF(OR(ISNUMBER(SEARCH("Pre Delivery",E6)),ISNUMBER(SEARCH("Pre-Delivery",E6)),ISNUMBER(SEARCH("Predelivery",E6)),ISNUMBER(SEARCH("PD -",E6)),ISNUMBER(SEARCH("PD Lubes",E6))),"Pre-Delivery","")</f>
        <v>Pre-Delivery</v>
      </c>
      <c r="E6" s="95" t="s">
        <v>221</v>
      </c>
      <c r="F6" s="95" t="s">
        <v>833</v>
      </c>
      <c r="G6" s="95"/>
      <c r="H6" s="93" t="s">
        <v>158</v>
      </c>
      <c r="I6" s="95" t="s">
        <v>545</v>
      </c>
      <c r="L6" s="93" t="s">
        <v>810</v>
      </c>
      <c r="M6" s="108" t="s">
        <v>822</v>
      </c>
      <c r="N6" s="108" t="s">
        <v>822</v>
      </c>
      <c r="O6" s="108" t="s">
        <v>822</v>
      </c>
      <c r="P6" s="137" t="s">
        <v>822</v>
      </c>
    </row>
    <row r="7" spans="1:18" x14ac:dyDescent="0.25">
      <c r="A7" s="95" t="s">
        <v>819</v>
      </c>
      <c r="C7" s="95" t="s">
        <v>513</v>
      </c>
      <c r="D7" s="95" t="str">
        <f t="shared" ref="D7:D70" si="0">IF(OR(ISNUMBER(SEARCH("Pre Delivery",E7)),ISNUMBER(SEARCH("Pre-Delivery",E7)),ISNUMBER(SEARCH("Predelivery",E7)),ISNUMBER(SEARCH("PD -",E7)),ISNUMBER(SEARCH("PD Lubes",E7))),"Pre-Delivery","")</f>
        <v/>
      </c>
      <c r="E7" s="95" t="s">
        <v>535</v>
      </c>
      <c r="F7" s="95" t="s">
        <v>834</v>
      </c>
      <c r="G7" s="95"/>
      <c r="H7" s="93" t="s">
        <v>158</v>
      </c>
      <c r="I7" s="95" t="s">
        <v>7</v>
      </c>
      <c r="J7" s="97">
        <v>46055</v>
      </c>
      <c r="L7" s="93" t="s">
        <v>810</v>
      </c>
      <c r="M7" s="108" t="s">
        <v>822</v>
      </c>
      <c r="N7" s="108" t="s">
        <v>822</v>
      </c>
      <c r="O7" s="108" t="s">
        <v>822</v>
      </c>
      <c r="P7" s="137" t="s">
        <v>822</v>
      </c>
    </row>
    <row r="8" spans="1:18" x14ac:dyDescent="0.25">
      <c r="A8" s="95" t="s">
        <v>819</v>
      </c>
      <c r="C8" s="95" t="s">
        <v>514</v>
      </c>
      <c r="D8" s="95" t="str">
        <f t="shared" si="0"/>
        <v/>
      </c>
      <c r="E8" s="95" t="s">
        <v>536</v>
      </c>
      <c r="F8" s="95" t="s">
        <v>835</v>
      </c>
      <c r="G8" s="95"/>
      <c r="H8" s="93" t="s">
        <v>158</v>
      </c>
      <c r="I8" s="95" t="s">
        <v>497</v>
      </c>
      <c r="J8" s="97">
        <v>46101</v>
      </c>
      <c r="L8" s="93" t="s">
        <v>810</v>
      </c>
      <c r="M8" s="108" t="s">
        <v>822</v>
      </c>
      <c r="N8" s="108" t="s">
        <v>822</v>
      </c>
      <c r="O8" s="108" t="s">
        <v>822</v>
      </c>
      <c r="P8" s="137" t="s">
        <v>822</v>
      </c>
    </row>
    <row r="9" spans="1:18" x14ac:dyDescent="0.25">
      <c r="A9" s="95" t="s">
        <v>819</v>
      </c>
      <c r="C9" s="95" t="s">
        <v>515</v>
      </c>
      <c r="D9" s="95" t="str">
        <f t="shared" si="0"/>
        <v/>
      </c>
      <c r="E9" s="95" t="s">
        <v>537</v>
      </c>
      <c r="F9" s="95" t="s">
        <v>836</v>
      </c>
      <c r="G9" s="95"/>
      <c r="H9" s="93" t="s">
        <v>158</v>
      </c>
      <c r="I9" s="95" t="s">
        <v>545</v>
      </c>
      <c r="L9" s="93" t="s">
        <v>810</v>
      </c>
      <c r="M9" s="108" t="s">
        <v>822</v>
      </c>
      <c r="N9" s="108" t="s">
        <v>822</v>
      </c>
      <c r="O9" s="108" t="s">
        <v>822</v>
      </c>
      <c r="P9" s="137" t="s">
        <v>822</v>
      </c>
    </row>
    <row r="10" spans="1:18" x14ac:dyDescent="0.25">
      <c r="A10" s="95" t="s">
        <v>819</v>
      </c>
      <c r="C10" s="95" t="s">
        <v>516</v>
      </c>
      <c r="D10" s="95" t="str">
        <f t="shared" si="0"/>
        <v/>
      </c>
      <c r="E10" s="95" t="s">
        <v>538</v>
      </c>
      <c r="F10" s="95" t="s">
        <v>837</v>
      </c>
      <c r="G10" s="95"/>
      <c r="H10" s="93" t="s">
        <v>158</v>
      </c>
      <c r="I10" s="95" t="s">
        <v>7</v>
      </c>
      <c r="J10" s="97">
        <v>46091</v>
      </c>
      <c r="L10" s="93" t="s">
        <v>810</v>
      </c>
      <c r="M10" s="108" t="s">
        <v>822</v>
      </c>
      <c r="N10" s="108" t="s">
        <v>822</v>
      </c>
      <c r="O10" s="108" t="s">
        <v>822</v>
      </c>
      <c r="P10" s="137" t="s">
        <v>822</v>
      </c>
    </row>
    <row r="11" spans="1:18" x14ac:dyDescent="0.25">
      <c r="A11" s="95" t="s">
        <v>819</v>
      </c>
      <c r="C11" s="95" t="s">
        <v>517</v>
      </c>
      <c r="D11" s="95" t="str">
        <f t="shared" si="0"/>
        <v/>
      </c>
      <c r="E11" s="95" t="s">
        <v>539</v>
      </c>
      <c r="F11" s="95" t="s">
        <v>838</v>
      </c>
      <c r="G11" s="95"/>
      <c r="H11" s="93" t="s">
        <v>158</v>
      </c>
      <c r="I11" s="95" t="s">
        <v>497</v>
      </c>
      <c r="J11" s="97">
        <v>46101</v>
      </c>
      <c r="L11" s="93" t="s">
        <v>810</v>
      </c>
      <c r="M11" s="108" t="s">
        <v>822</v>
      </c>
      <c r="N11" s="108" t="s">
        <v>822</v>
      </c>
      <c r="O11" s="108" t="s">
        <v>822</v>
      </c>
      <c r="P11" s="137" t="s">
        <v>822</v>
      </c>
    </row>
    <row r="12" spans="1:18" x14ac:dyDescent="0.25">
      <c r="A12" s="95" t="s">
        <v>819</v>
      </c>
      <c r="C12" s="95" t="s">
        <v>518</v>
      </c>
      <c r="D12" s="95" t="str">
        <f t="shared" si="0"/>
        <v/>
      </c>
      <c r="E12" s="95" t="s">
        <v>59</v>
      </c>
      <c r="F12" s="95" t="s">
        <v>839</v>
      </c>
      <c r="G12" s="95"/>
      <c r="H12" s="93" t="s">
        <v>158</v>
      </c>
      <c r="I12" s="95" t="s">
        <v>7</v>
      </c>
      <c r="J12" s="97">
        <v>46087</v>
      </c>
      <c r="L12" s="93" t="s">
        <v>810</v>
      </c>
      <c r="M12" s="108" t="s">
        <v>822</v>
      </c>
      <c r="N12" s="108" t="s">
        <v>822</v>
      </c>
      <c r="O12" s="108" t="s">
        <v>822</v>
      </c>
      <c r="P12" s="137" t="s">
        <v>822</v>
      </c>
    </row>
    <row r="13" spans="1:18" x14ac:dyDescent="0.25">
      <c r="A13" s="95" t="s">
        <v>819</v>
      </c>
      <c r="C13" s="95" t="s">
        <v>519</v>
      </c>
      <c r="D13" s="95" t="str">
        <f t="shared" si="0"/>
        <v/>
      </c>
      <c r="E13" s="95" t="s">
        <v>254</v>
      </c>
      <c r="F13" s="95" t="s">
        <v>840</v>
      </c>
      <c r="G13" s="95"/>
      <c r="H13" s="93" t="s">
        <v>158</v>
      </c>
      <c r="I13" s="95" t="s">
        <v>497</v>
      </c>
      <c r="J13" s="97">
        <v>46070</v>
      </c>
      <c r="L13" s="93" t="s">
        <v>810</v>
      </c>
      <c r="M13" s="108" t="s">
        <v>822</v>
      </c>
      <c r="N13" s="108" t="s">
        <v>822</v>
      </c>
      <c r="O13" s="108" t="s">
        <v>822</v>
      </c>
      <c r="P13" s="137" t="s">
        <v>822</v>
      </c>
    </row>
    <row r="14" spans="1:18" x14ac:dyDescent="0.25">
      <c r="A14" s="95" t="s">
        <v>819</v>
      </c>
      <c r="C14" s="95" t="s">
        <v>520</v>
      </c>
      <c r="D14" s="95" t="str">
        <f t="shared" si="0"/>
        <v/>
      </c>
      <c r="E14" s="95" t="s">
        <v>101</v>
      </c>
      <c r="F14" s="95" t="s">
        <v>841</v>
      </c>
      <c r="G14" s="95"/>
      <c r="H14" s="93" t="s">
        <v>158</v>
      </c>
      <c r="I14" s="95" t="s">
        <v>7</v>
      </c>
      <c r="J14" s="97">
        <v>46072</v>
      </c>
      <c r="L14" s="93" t="s">
        <v>810</v>
      </c>
      <c r="M14" s="108" t="s">
        <v>822</v>
      </c>
      <c r="N14" s="108" t="s">
        <v>822</v>
      </c>
      <c r="O14" s="108" t="s">
        <v>822</v>
      </c>
      <c r="P14" s="137" t="s">
        <v>822</v>
      </c>
    </row>
    <row r="15" spans="1:18" x14ac:dyDescent="0.25">
      <c r="A15" s="95" t="s">
        <v>819</v>
      </c>
      <c r="C15" s="95" t="s">
        <v>521</v>
      </c>
      <c r="D15" s="95" t="str">
        <f t="shared" si="0"/>
        <v>Pre-Delivery</v>
      </c>
      <c r="E15" s="95" t="s">
        <v>540</v>
      </c>
      <c r="F15" s="95" t="s">
        <v>842</v>
      </c>
      <c r="G15" s="95"/>
      <c r="H15" s="93" t="s">
        <v>158</v>
      </c>
      <c r="I15" s="95" t="s">
        <v>7</v>
      </c>
      <c r="J15" s="97">
        <v>46099</v>
      </c>
      <c r="L15" s="93" t="s">
        <v>810</v>
      </c>
      <c r="M15" s="108" t="s">
        <v>822</v>
      </c>
      <c r="N15" s="108" t="s">
        <v>822</v>
      </c>
      <c r="O15" s="108" t="s">
        <v>822</v>
      </c>
      <c r="P15" s="137" t="s">
        <v>822</v>
      </c>
    </row>
    <row r="16" spans="1:18" x14ac:dyDescent="0.25">
      <c r="A16" s="95" t="s">
        <v>819</v>
      </c>
      <c r="C16" s="95" t="s">
        <v>522</v>
      </c>
      <c r="D16" s="95" t="str">
        <f t="shared" si="0"/>
        <v/>
      </c>
      <c r="E16" s="95" t="s">
        <v>76</v>
      </c>
      <c r="F16" s="95" t="s">
        <v>843</v>
      </c>
      <c r="G16" s="95"/>
      <c r="H16" s="93" t="s">
        <v>158</v>
      </c>
      <c r="I16" s="95" t="s">
        <v>7</v>
      </c>
      <c r="J16" s="97">
        <v>46037</v>
      </c>
      <c r="L16" s="93" t="s">
        <v>810</v>
      </c>
      <c r="M16" s="108" t="s">
        <v>822</v>
      </c>
      <c r="N16" s="108" t="s">
        <v>822</v>
      </c>
      <c r="O16" s="108" t="s">
        <v>822</v>
      </c>
      <c r="P16" s="137" t="s">
        <v>822</v>
      </c>
    </row>
    <row r="17" spans="1:16" x14ac:dyDescent="0.25">
      <c r="A17" s="95" t="s">
        <v>819</v>
      </c>
      <c r="C17" s="95" t="s">
        <v>523</v>
      </c>
      <c r="D17" s="95" t="str">
        <f t="shared" si="0"/>
        <v/>
      </c>
      <c r="E17" s="95" t="s">
        <v>74</v>
      </c>
      <c r="F17" s="95" t="s">
        <v>844</v>
      </c>
      <c r="G17" s="95"/>
      <c r="H17" s="93" t="s">
        <v>158</v>
      </c>
      <c r="I17" s="95" t="s">
        <v>7</v>
      </c>
      <c r="J17" s="97">
        <v>46087</v>
      </c>
      <c r="L17" s="93" t="s">
        <v>810</v>
      </c>
      <c r="M17" s="108" t="s">
        <v>822</v>
      </c>
      <c r="N17" s="108" t="s">
        <v>822</v>
      </c>
      <c r="O17" s="108" t="s">
        <v>822</v>
      </c>
      <c r="P17" s="137" t="s">
        <v>822</v>
      </c>
    </row>
    <row r="18" spans="1:16" x14ac:dyDescent="0.25">
      <c r="A18" s="95" t="s">
        <v>819</v>
      </c>
      <c r="C18" s="95" t="s">
        <v>524</v>
      </c>
      <c r="D18" s="95" t="str">
        <f t="shared" si="0"/>
        <v/>
      </c>
      <c r="E18" s="95" t="s">
        <v>541</v>
      </c>
      <c r="F18" s="95" t="s">
        <v>845</v>
      </c>
      <c r="G18" s="95"/>
      <c r="H18" s="93" t="s">
        <v>158</v>
      </c>
      <c r="I18" s="95" t="s">
        <v>7</v>
      </c>
      <c r="J18" s="97">
        <v>46048</v>
      </c>
      <c r="L18" s="93" t="s">
        <v>810</v>
      </c>
      <c r="M18" s="108" t="s">
        <v>822</v>
      </c>
      <c r="N18" s="108" t="s">
        <v>822</v>
      </c>
      <c r="O18" s="108" t="s">
        <v>822</v>
      </c>
      <c r="P18" s="137" t="s">
        <v>822</v>
      </c>
    </row>
    <row r="19" spans="1:16" x14ac:dyDescent="0.25">
      <c r="A19" s="95" t="s">
        <v>819</v>
      </c>
      <c r="C19" s="95" t="s">
        <v>525</v>
      </c>
      <c r="D19" s="95" t="str">
        <f t="shared" si="0"/>
        <v>Pre-Delivery</v>
      </c>
      <c r="E19" s="95" t="s">
        <v>488</v>
      </c>
      <c r="F19" s="95" t="s">
        <v>846</v>
      </c>
      <c r="G19" s="95"/>
      <c r="H19" s="93" t="s">
        <v>158</v>
      </c>
      <c r="I19" s="95" t="s">
        <v>497</v>
      </c>
      <c r="J19" s="97">
        <v>46101</v>
      </c>
      <c r="L19" s="93" t="s">
        <v>810</v>
      </c>
      <c r="M19" s="108" t="s">
        <v>822</v>
      </c>
      <c r="N19" s="108" t="s">
        <v>822</v>
      </c>
      <c r="O19" s="108" t="s">
        <v>822</v>
      </c>
      <c r="P19" s="137" t="s">
        <v>822</v>
      </c>
    </row>
    <row r="20" spans="1:16" x14ac:dyDescent="0.25">
      <c r="A20" s="95" t="s">
        <v>819</v>
      </c>
      <c r="C20" s="95" t="s">
        <v>526</v>
      </c>
      <c r="D20" s="95" t="str">
        <f t="shared" si="0"/>
        <v/>
      </c>
      <c r="E20" s="95" t="s">
        <v>39</v>
      </c>
      <c r="F20" s="95" t="s">
        <v>847</v>
      </c>
      <c r="G20" s="95"/>
      <c r="H20" s="93" t="s">
        <v>158</v>
      </c>
      <c r="I20" s="95" t="s">
        <v>497</v>
      </c>
      <c r="J20" s="97">
        <v>46071</v>
      </c>
      <c r="L20" s="93" t="s">
        <v>810</v>
      </c>
      <c r="M20" s="108" t="s">
        <v>822</v>
      </c>
      <c r="N20" s="108" t="s">
        <v>822</v>
      </c>
      <c r="O20" s="108" t="s">
        <v>822</v>
      </c>
      <c r="P20" s="137" t="s">
        <v>822</v>
      </c>
    </row>
    <row r="21" spans="1:16" x14ac:dyDescent="0.25">
      <c r="A21" s="95" t="s">
        <v>819</v>
      </c>
      <c r="C21" s="95" t="s">
        <v>527</v>
      </c>
      <c r="D21" s="95" t="str">
        <f t="shared" si="0"/>
        <v/>
      </c>
      <c r="E21" s="95" t="s">
        <v>542</v>
      </c>
      <c r="F21" s="95" t="s">
        <v>848</v>
      </c>
      <c r="G21" s="95"/>
      <c r="H21" s="93" t="s">
        <v>158</v>
      </c>
      <c r="I21" s="95" t="s">
        <v>7</v>
      </c>
      <c r="J21" s="97">
        <v>46066</v>
      </c>
      <c r="L21" s="93" t="s">
        <v>810</v>
      </c>
      <c r="M21" s="108" t="s">
        <v>822</v>
      </c>
      <c r="N21" s="108" t="s">
        <v>822</v>
      </c>
      <c r="O21" s="108" t="s">
        <v>822</v>
      </c>
      <c r="P21" s="137" t="s">
        <v>822</v>
      </c>
    </row>
    <row r="22" spans="1:16" x14ac:dyDescent="0.25">
      <c r="A22" s="95" t="s">
        <v>819</v>
      </c>
      <c r="C22" s="95" t="s">
        <v>528</v>
      </c>
      <c r="D22" s="95" t="str">
        <f t="shared" si="0"/>
        <v/>
      </c>
      <c r="E22" s="95" t="s">
        <v>70</v>
      </c>
      <c r="F22" s="95" t="s">
        <v>849</v>
      </c>
      <c r="G22" s="95"/>
      <c r="H22" s="93" t="s">
        <v>158</v>
      </c>
      <c r="I22" s="95" t="s">
        <v>7</v>
      </c>
      <c r="J22" s="97">
        <v>46079</v>
      </c>
      <c r="L22" s="93" t="s">
        <v>810</v>
      </c>
      <c r="M22" s="108" t="s">
        <v>822</v>
      </c>
      <c r="N22" s="108" t="s">
        <v>822</v>
      </c>
      <c r="O22" s="108" t="s">
        <v>822</v>
      </c>
      <c r="P22" s="137" t="s">
        <v>822</v>
      </c>
    </row>
    <row r="23" spans="1:16" x14ac:dyDescent="0.25">
      <c r="A23" s="95" t="s">
        <v>819</v>
      </c>
      <c r="C23" s="95" t="s">
        <v>529</v>
      </c>
      <c r="D23" s="95" t="str">
        <f t="shared" si="0"/>
        <v>Pre-Delivery</v>
      </c>
      <c r="E23" s="95" t="s">
        <v>492</v>
      </c>
      <c r="F23" s="95" t="s">
        <v>850</v>
      </c>
      <c r="G23" s="95"/>
      <c r="H23" s="93" t="s">
        <v>158</v>
      </c>
      <c r="I23" s="95" t="s">
        <v>497</v>
      </c>
      <c r="J23" s="97">
        <v>46098</v>
      </c>
      <c r="L23" s="93" t="s">
        <v>810</v>
      </c>
      <c r="M23" s="108" t="s">
        <v>822</v>
      </c>
      <c r="N23" s="108" t="s">
        <v>822</v>
      </c>
      <c r="O23" s="108" t="s">
        <v>822</v>
      </c>
      <c r="P23" s="137" t="s">
        <v>822</v>
      </c>
    </row>
    <row r="24" spans="1:16" x14ac:dyDescent="0.25">
      <c r="A24" s="95" t="s">
        <v>819</v>
      </c>
      <c r="C24" s="95" t="s">
        <v>530</v>
      </c>
      <c r="D24" s="95" t="str">
        <f t="shared" si="0"/>
        <v>Pre-Delivery</v>
      </c>
      <c r="E24" s="95" t="s">
        <v>373</v>
      </c>
      <c r="F24" s="95" t="s">
        <v>851</v>
      </c>
      <c r="G24" s="95"/>
      <c r="H24" s="93" t="s">
        <v>158</v>
      </c>
      <c r="I24" s="95" t="s">
        <v>497</v>
      </c>
      <c r="J24" s="97">
        <v>46100</v>
      </c>
      <c r="L24" s="93" t="s">
        <v>810</v>
      </c>
      <c r="M24" s="108" t="s">
        <v>822</v>
      </c>
      <c r="N24" s="108" t="s">
        <v>822</v>
      </c>
      <c r="O24" s="108" t="s">
        <v>822</v>
      </c>
      <c r="P24" s="137" t="s">
        <v>822</v>
      </c>
    </row>
    <row r="25" spans="1:16" x14ac:dyDescent="0.25">
      <c r="A25" s="95" t="s">
        <v>819</v>
      </c>
      <c r="C25" s="95" t="s">
        <v>531</v>
      </c>
      <c r="D25" s="95" t="str">
        <f t="shared" si="0"/>
        <v>Pre-Delivery</v>
      </c>
      <c r="E25" s="95" t="s">
        <v>543</v>
      </c>
      <c r="F25" s="95" t="s">
        <v>444</v>
      </c>
      <c r="G25" s="102"/>
      <c r="H25" s="93" t="s">
        <v>158</v>
      </c>
      <c r="I25" s="95" t="s">
        <v>497</v>
      </c>
      <c r="J25" s="97">
        <v>46099</v>
      </c>
      <c r="L25" s="93" t="s">
        <v>810</v>
      </c>
      <c r="M25" s="108" t="s">
        <v>822</v>
      </c>
      <c r="N25" s="108" t="s">
        <v>822</v>
      </c>
      <c r="O25" s="108" t="s">
        <v>822</v>
      </c>
      <c r="P25" s="137" t="s">
        <v>822</v>
      </c>
    </row>
    <row r="26" spans="1:16" x14ac:dyDescent="0.25">
      <c r="A26" s="95" t="s">
        <v>819</v>
      </c>
      <c r="C26" s="95" t="s">
        <v>532</v>
      </c>
      <c r="D26" s="95" t="str">
        <f t="shared" si="0"/>
        <v>Pre-Delivery</v>
      </c>
      <c r="E26" s="102" t="s">
        <v>368</v>
      </c>
      <c r="F26" s="95" t="s">
        <v>400</v>
      </c>
      <c r="G26" s="102"/>
      <c r="H26" s="93" t="s">
        <v>158</v>
      </c>
      <c r="I26" s="95" t="s">
        <v>7</v>
      </c>
      <c r="J26" s="97">
        <v>46059</v>
      </c>
      <c r="L26" s="93" t="s">
        <v>810</v>
      </c>
      <c r="M26" s="108" t="s">
        <v>822</v>
      </c>
      <c r="N26" s="108" t="s">
        <v>822</v>
      </c>
      <c r="O26" s="108" t="s">
        <v>822</v>
      </c>
      <c r="P26" s="137" t="s">
        <v>822</v>
      </c>
    </row>
    <row r="27" spans="1:16" x14ac:dyDescent="0.25">
      <c r="A27" s="95" t="s">
        <v>819</v>
      </c>
      <c r="C27" s="95" t="s">
        <v>533</v>
      </c>
      <c r="D27" s="95" t="str">
        <f t="shared" si="0"/>
        <v/>
      </c>
      <c r="E27" s="95" t="s">
        <v>544</v>
      </c>
      <c r="F27" s="95" t="s">
        <v>852</v>
      </c>
      <c r="G27" s="95"/>
      <c r="H27" s="93" t="s">
        <v>158</v>
      </c>
      <c r="I27" s="95" t="s">
        <v>497</v>
      </c>
      <c r="J27" s="97">
        <v>46065</v>
      </c>
      <c r="L27" s="93" t="s">
        <v>810</v>
      </c>
      <c r="M27" s="108" t="s">
        <v>822</v>
      </c>
      <c r="N27" s="108" t="s">
        <v>822</v>
      </c>
      <c r="O27" s="108" t="s">
        <v>822</v>
      </c>
      <c r="P27" s="137" t="s">
        <v>822</v>
      </c>
    </row>
    <row r="28" spans="1:16" x14ac:dyDescent="0.25">
      <c r="A28" s="95" t="s">
        <v>819</v>
      </c>
      <c r="C28" s="95" t="s">
        <v>534</v>
      </c>
      <c r="D28" s="95" t="str">
        <f t="shared" si="0"/>
        <v/>
      </c>
      <c r="E28" s="95" t="s">
        <v>54</v>
      </c>
      <c r="F28" s="95" t="s">
        <v>853</v>
      </c>
      <c r="G28" s="95"/>
      <c r="H28" s="93" t="s">
        <v>158</v>
      </c>
      <c r="I28" s="95" t="s">
        <v>5</v>
      </c>
      <c r="J28" s="97">
        <v>46078</v>
      </c>
      <c r="K28" s="93" t="s">
        <v>411</v>
      </c>
      <c r="L28" s="93" t="s">
        <v>810</v>
      </c>
      <c r="M28" s="108" t="s">
        <v>822</v>
      </c>
      <c r="N28" s="108" t="s">
        <v>822</v>
      </c>
      <c r="O28" s="108" t="s">
        <v>822</v>
      </c>
      <c r="P28" s="137" t="s">
        <v>822</v>
      </c>
    </row>
    <row r="29" spans="1:16" x14ac:dyDescent="0.25">
      <c r="A29" s="95" t="s">
        <v>819</v>
      </c>
      <c r="C29" s="95" t="s">
        <v>573</v>
      </c>
      <c r="D29" s="95" t="str">
        <f t="shared" si="0"/>
        <v/>
      </c>
      <c r="E29" s="95" t="s">
        <v>574</v>
      </c>
      <c r="F29" s="95" t="s">
        <v>574</v>
      </c>
      <c r="G29" s="95"/>
      <c r="H29" s="93" t="s">
        <v>410</v>
      </c>
      <c r="I29" s="95" t="s">
        <v>5</v>
      </c>
      <c r="K29" s="93" t="s">
        <v>411</v>
      </c>
      <c r="L29" s="93" t="s">
        <v>810</v>
      </c>
      <c r="M29" s="108" t="s">
        <v>822</v>
      </c>
      <c r="N29" s="108" t="s">
        <v>822</v>
      </c>
      <c r="O29" s="108" t="s">
        <v>822</v>
      </c>
      <c r="P29" s="137" t="s">
        <v>822</v>
      </c>
    </row>
    <row r="30" spans="1:16" x14ac:dyDescent="0.25">
      <c r="A30" s="95" t="s">
        <v>819</v>
      </c>
      <c r="C30" s="95" t="s">
        <v>578</v>
      </c>
      <c r="D30" s="95" t="str">
        <f t="shared" si="0"/>
        <v/>
      </c>
      <c r="E30" s="95" t="s">
        <v>105</v>
      </c>
      <c r="F30" s="95" t="s">
        <v>854</v>
      </c>
      <c r="G30" s="95"/>
      <c r="H30" s="93" t="s">
        <v>410</v>
      </c>
      <c r="I30" s="95" t="s">
        <v>5</v>
      </c>
      <c r="K30" s="93" t="s">
        <v>411</v>
      </c>
      <c r="L30" s="93" t="s">
        <v>810</v>
      </c>
      <c r="M30" s="108" t="s">
        <v>822</v>
      </c>
      <c r="N30" s="108" t="s">
        <v>822</v>
      </c>
      <c r="O30" s="108" t="s">
        <v>822</v>
      </c>
      <c r="P30" s="137" t="s">
        <v>822</v>
      </c>
    </row>
    <row r="31" spans="1:16" x14ac:dyDescent="0.25">
      <c r="A31" s="95" t="s">
        <v>819</v>
      </c>
      <c r="C31" s="95" t="s">
        <v>582</v>
      </c>
      <c r="D31" s="95" t="str">
        <f t="shared" si="0"/>
        <v/>
      </c>
      <c r="E31" s="95" t="s">
        <v>106</v>
      </c>
      <c r="F31" s="95" t="s">
        <v>855</v>
      </c>
      <c r="G31" s="95"/>
      <c r="H31" s="93" t="s">
        <v>410</v>
      </c>
      <c r="I31" s="95" t="s">
        <v>5</v>
      </c>
      <c r="K31" s="93" t="s">
        <v>411</v>
      </c>
      <c r="L31" s="93" t="s">
        <v>810</v>
      </c>
      <c r="M31" s="108" t="s">
        <v>822</v>
      </c>
      <c r="N31" s="108" t="s">
        <v>822</v>
      </c>
      <c r="O31" s="108" t="s">
        <v>822</v>
      </c>
      <c r="P31" s="137" t="s">
        <v>822</v>
      </c>
    </row>
    <row r="32" spans="1:16" x14ac:dyDescent="0.25">
      <c r="A32" s="95" t="s">
        <v>819</v>
      </c>
      <c r="C32" s="95" t="s">
        <v>587</v>
      </c>
      <c r="D32" s="95" t="str">
        <f t="shared" si="0"/>
        <v/>
      </c>
      <c r="E32" s="95" t="s">
        <v>441</v>
      </c>
      <c r="F32" s="95" t="s">
        <v>441</v>
      </c>
      <c r="G32" s="95"/>
      <c r="H32" s="93" t="s">
        <v>410</v>
      </c>
      <c r="I32" s="95" t="s">
        <v>5</v>
      </c>
      <c r="K32" s="93" t="s">
        <v>411</v>
      </c>
      <c r="L32" s="93" t="s">
        <v>810</v>
      </c>
      <c r="M32" s="108" t="s">
        <v>822</v>
      </c>
      <c r="N32" s="108" t="s">
        <v>822</v>
      </c>
      <c r="O32" s="108" t="s">
        <v>822</v>
      </c>
      <c r="P32" s="137" t="s">
        <v>822</v>
      </c>
    </row>
    <row r="33" spans="1:16" s="100" customFormat="1" ht="19.5" thickBot="1" x14ac:dyDescent="0.3">
      <c r="A33" s="98" t="s">
        <v>819</v>
      </c>
      <c r="B33" s="99"/>
      <c r="C33" s="98" t="s">
        <v>655</v>
      </c>
      <c r="D33" s="98" t="str">
        <f t="shared" si="0"/>
        <v/>
      </c>
      <c r="E33" s="98" t="s">
        <v>656</v>
      </c>
      <c r="F33" s="98" t="s">
        <v>856</v>
      </c>
      <c r="G33" s="98"/>
      <c r="H33" s="99" t="s">
        <v>410</v>
      </c>
      <c r="I33" s="98"/>
      <c r="J33" s="99"/>
      <c r="K33" s="99"/>
      <c r="L33" s="99" t="s">
        <v>810</v>
      </c>
      <c r="M33" s="110" t="s">
        <v>822</v>
      </c>
      <c r="N33" s="110" t="s">
        <v>822</v>
      </c>
      <c r="O33" s="110" t="s">
        <v>822</v>
      </c>
      <c r="P33" s="138" t="s">
        <v>822</v>
      </c>
    </row>
    <row r="34" spans="1:16" x14ac:dyDescent="0.25">
      <c r="A34" s="95" t="s">
        <v>821</v>
      </c>
      <c r="D34" s="95" t="str">
        <f t="shared" si="0"/>
        <v/>
      </c>
      <c r="E34" s="93" t="s">
        <v>668</v>
      </c>
      <c r="F34" s="95" t="s">
        <v>668</v>
      </c>
      <c r="H34" s="93" t="s">
        <v>673</v>
      </c>
      <c r="I34" s="107"/>
      <c r="J34" s="108"/>
      <c r="K34" s="108"/>
      <c r="L34" s="93" t="s">
        <v>810</v>
      </c>
      <c r="M34" s="93" t="s">
        <v>822</v>
      </c>
      <c r="N34" s="93" t="e">
        <v>#N/A</v>
      </c>
      <c r="O34" s="95" t="e">
        <v>#N/A</v>
      </c>
      <c r="P34" s="137" t="s">
        <v>822</v>
      </c>
    </row>
    <row r="35" spans="1:16" x14ac:dyDescent="0.25">
      <c r="A35" s="95" t="s">
        <v>821</v>
      </c>
      <c r="D35" s="95" t="str">
        <f t="shared" si="0"/>
        <v/>
      </c>
      <c r="E35" s="93" t="s">
        <v>669</v>
      </c>
      <c r="F35" s="95" t="s">
        <v>669</v>
      </c>
      <c r="H35" s="93" t="s">
        <v>673</v>
      </c>
      <c r="I35" s="107"/>
      <c r="J35" s="108"/>
      <c r="K35" s="108"/>
      <c r="L35" s="93" t="s">
        <v>810</v>
      </c>
      <c r="M35" s="93" t="s">
        <v>823</v>
      </c>
      <c r="N35" s="93" t="e">
        <v>#N/A</v>
      </c>
      <c r="O35" s="95" t="e">
        <v>#N/A</v>
      </c>
      <c r="P35" s="137" t="s">
        <v>822</v>
      </c>
    </row>
    <row r="36" spans="1:16" x14ac:dyDescent="0.25">
      <c r="A36" s="95" t="s">
        <v>821</v>
      </c>
      <c r="C36" s="93" t="s">
        <v>664</v>
      </c>
      <c r="D36" s="95" t="str">
        <f t="shared" si="0"/>
        <v/>
      </c>
      <c r="E36" s="93" t="s">
        <v>423</v>
      </c>
      <c r="F36" s="95" t="s">
        <v>423</v>
      </c>
      <c r="H36" s="93" t="s">
        <v>158</v>
      </c>
      <c r="I36" s="107"/>
      <c r="J36" s="108"/>
      <c r="K36" s="108"/>
      <c r="L36" s="93" t="s">
        <v>810</v>
      </c>
      <c r="M36" s="106">
        <v>1794590</v>
      </c>
      <c r="N36" s="106" t="s">
        <v>770</v>
      </c>
      <c r="O36" s="95" t="s">
        <v>769</v>
      </c>
      <c r="P36" s="137" t="s">
        <v>1050</v>
      </c>
    </row>
    <row r="37" spans="1:16" x14ac:dyDescent="0.25">
      <c r="A37" s="95" t="s">
        <v>821</v>
      </c>
      <c r="C37" s="93" t="s">
        <v>62</v>
      </c>
      <c r="D37" s="95" t="str">
        <f t="shared" si="0"/>
        <v/>
      </c>
      <c r="E37" s="93" t="s">
        <v>63</v>
      </c>
      <c r="F37" s="95" t="s">
        <v>857</v>
      </c>
      <c r="H37" s="93" t="s">
        <v>158</v>
      </c>
      <c r="I37" s="107"/>
      <c r="J37" s="108"/>
      <c r="K37" s="108"/>
      <c r="L37" s="93" t="s">
        <v>810</v>
      </c>
      <c r="M37" s="106">
        <v>486174</v>
      </c>
      <c r="N37" s="106" t="s">
        <v>739</v>
      </c>
      <c r="O37" s="95" t="s">
        <v>752</v>
      </c>
      <c r="P37" s="137" t="s">
        <v>1049</v>
      </c>
    </row>
    <row r="38" spans="1:16" x14ac:dyDescent="0.25">
      <c r="A38" s="95" t="s">
        <v>821</v>
      </c>
      <c r="C38" s="93" t="s">
        <v>71</v>
      </c>
      <c r="D38" s="95" t="str">
        <f t="shared" si="0"/>
        <v>Pre-Delivery</v>
      </c>
      <c r="E38" s="93" t="s">
        <v>72</v>
      </c>
      <c r="F38" s="95" t="s">
        <v>833</v>
      </c>
      <c r="H38" s="93" t="s">
        <v>163</v>
      </c>
      <c r="I38" s="107"/>
      <c r="J38" s="108"/>
      <c r="K38" s="108"/>
      <c r="L38" s="93" t="s">
        <v>810</v>
      </c>
      <c r="M38" s="106">
        <v>305941</v>
      </c>
      <c r="N38" s="106" t="s">
        <v>739</v>
      </c>
      <c r="O38" s="95" t="s">
        <v>759</v>
      </c>
      <c r="P38" s="137" t="s">
        <v>1049</v>
      </c>
    </row>
    <row r="39" spans="1:16" x14ac:dyDescent="0.25">
      <c r="A39" s="95" t="s">
        <v>821</v>
      </c>
      <c r="C39" s="93" t="s">
        <v>65</v>
      </c>
      <c r="D39" s="95" t="str">
        <f t="shared" si="0"/>
        <v/>
      </c>
      <c r="E39" s="93" t="s">
        <v>66</v>
      </c>
      <c r="F39" s="95" t="s">
        <v>858</v>
      </c>
      <c r="H39" s="93" t="s">
        <v>157</v>
      </c>
      <c r="I39" s="107"/>
      <c r="J39" s="108"/>
      <c r="K39" s="108"/>
      <c r="L39" s="93" t="s">
        <v>810</v>
      </c>
      <c r="M39" s="106">
        <v>260191</v>
      </c>
      <c r="N39" s="106" t="s">
        <v>742</v>
      </c>
      <c r="O39" s="95" t="s">
        <v>741</v>
      </c>
      <c r="P39" s="137" t="s">
        <v>1050</v>
      </c>
    </row>
    <row r="40" spans="1:16" x14ac:dyDescent="0.25">
      <c r="A40" s="95" t="s">
        <v>821</v>
      </c>
      <c r="C40" s="93" t="s">
        <v>75</v>
      </c>
      <c r="D40" s="95" t="str">
        <f t="shared" si="0"/>
        <v/>
      </c>
      <c r="E40" s="93" t="s">
        <v>76</v>
      </c>
      <c r="F40" s="95" t="s">
        <v>843</v>
      </c>
      <c r="H40" s="93" t="s">
        <v>158</v>
      </c>
      <c r="I40" s="107"/>
      <c r="J40" s="108"/>
      <c r="K40" s="108"/>
      <c r="L40" s="93" t="s">
        <v>810</v>
      </c>
      <c r="M40" s="106">
        <v>224200</v>
      </c>
      <c r="N40" s="106" t="s">
        <v>739</v>
      </c>
      <c r="O40" s="95" t="s">
        <v>762</v>
      </c>
      <c r="P40" s="137" t="s">
        <v>1049</v>
      </c>
    </row>
    <row r="41" spans="1:16" x14ac:dyDescent="0.25">
      <c r="A41" s="95" t="s">
        <v>821</v>
      </c>
      <c r="C41" s="93" t="s">
        <v>792</v>
      </c>
      <c r="D41" s="95" t="str">
        <f t="shared" si="0"/>
        <v/>
      </c>
      <c r="E41" s="93" t="s">
        <v>456</v>
      </c>
      <c r="F41" s="95" t="s">
        <v>859</v>
      </c>
      <c r="H41" s="93" t="s">
        <v>158</v>
      </c>
      <c r="I41" s="107"/>
      <c r="J41" s="108"/>
      <c r="K41" s="108"/>
      <c r="L41" s="93" t="s">
        <v>810</v>
      </c>
      <c r="M41" s="106">
        <v>215083</v>
      </c>
      <c r="N41" s="106" t="s">
        <v>757</v>
      </c>
      <c r="O41" s="95" t="s">
        <v>793</v>
      </c>
      <c r="P41" s="137" t="s">
        <v>1050</v>
      </c>
    </row>
    <row r="42" spans="1:16" x14ac:dyDescent="0.25">
      <c r="A42" s="95" t="s">
        <v>821</v>
      </c>
      <c r="C42" s="93" t="s">
        <v>727</v>
      </c>
      <c r="D42" s="95" t="str">
        <f t="shared" si="0"/>
        <v/>
      </c>
      <c r="E42" s="93" t="s">
        <v>457</v>
      </c>
      <c r="F42" s="95" t="s">
        <v>860</v>
      </c>
      <c r="H42" s="93" t="s">
        <v>158</v>
      </c>
      <c r="I42" s="107"/>
      <c r="J42" s="108"/>
      <c r="K42" s="108"/>
      <c r="L42" s="93" t="s">
        <v>810</v>
      </c>
      <c r="M42" s="106">
        <v>113839</v>
      </c>
      <c r="N42" s="106" t="s">
        <v>757</v>
      </c>
      <c r="O42" s="95" t="s">
        <v>756</v>
      </c>
      <c r="P42" s="137" t="s">
        <v>1050</v>
      </c>
    </row>
    <row r="43" spans="1:16" ht="37.5" x14ac:dyDescent="0.25">
      <c r="A43" s="95" t="s">
        <v>821</v>
      </c>
      <c r="D43" s="95" t="str">
        <f t="shared" si="0"/>
        <v/>
      </c>
      <c r="E43" s="93" t="s">
        <v>671</v>
      </c>
      <c r="F43" s="95" t="s">
        <v>861</v>
      </c>
      <c r="H43" s="93" t="s">
        <v>674</v>
      </c>
      <c r="I43" s="107"/>
      <c r="J43" s="108"/>
      <c r="K43" s="108"/>
      <c r="L43" s="93" t="s">
        <v>810</v>
      </c>
      <c r="M43" s="93" t="s">
        <v>823</v>
      </c>
      <c r="N43" s="93" t="e">
        <v>#N/A</v>
      </c>
      <c r="O43" s="95" t="e">
        <v>#N/A</v>
      </c>
      <c r="P43" s="137" t="s">
        <v>822</v>
      </c>
    </row>
    <row r="44" spans="1:16" ht="37.5" x14ac:dyDescent="0.25">
      <c r="A44" s="95" t="s">
        <v>821</v>
      </c>
      <c r="D44" s="95" t="str">
        <f t="shared" si="0"/>
        <v/>
      </c>
      <c r="E44" s="93" t="s">
        <v>670</v>
      </c>
      <c r="F44" s="95" t="s">
        <v>862</v>
      </c>
      <c r="H44" s="93" t="s">
        <v>674</v>
      </c>
      <c r="I44" s="107"/>
      <c r="J44" s="108"/>
      <c r="K44" s="108"/>
      <c r="L44" s="93" t="s">
        <v>810</v>
      </c>
      <c r="M44" s="93" t="s">
        <v>823</v>
      </c>
      <c r="N44" s="93" t="e">
        <v>#N/A</v>
      </c>
      <c r="O44" s="95" t="e">
        <v>#N/A</v>
      </c>
      <c r="P44" s="137" t="s">
        <v>822</v>
      </c>
    </row>
    <row r="45" spans="1:16" x14ac:dyDescent="0.25">
      <c r="A45" s="95" t="s">
        <v>821</v>
      </c>
      <c r="C45" s="93" t="s">
        <v>55</v>
      </c>
      <c r="D45" s="95" t="str">
        <f t="shared" si="0"/>
        <v>Pre-Delivery</v>
      </c>
      <c r="E45" s="93" t="s">
        <v>56</v>
      </c>
      <c r="F45" s="95" t="s">
        <v>833</v>
      </c>
      <c r="H45" s="93" t="s">
        <v>163</v>
      </c>
      <c r="I45" s="107"/>
      <c r="J45" s="108"/>
      <c r="K45" s="108"/>
      <c r="L45" s="93" t="s">
        <v>810</v>
      </c>
      <c r="M45" s="106">
        <v>83443</v>
      </c>
      <c r="N45" s="106" t="s">
        <v>739</v>
      </c>
      <c r="O45" s="95" t="s">
        <v>759</v>
      </c>
      <c r="P45" s="137" t="s">
        <v>1049</v>
      </c>
    </row>
    <row r="46" spans="1:16" x14ac:dyDescent="0.25">
      <c r="A46" s="95" t="s">
        <v>821</v>
      </c>
      <c r="C46" s="93" t="s">
        <v>717</v>
      </c>
      <c r="D46" s="95" t="str">
        <f t="shared" si="0"/>
        <v/>
      </c>
      <c r="E46" s="93" t="s">
        <v>441</v>
      </c>
      <c r="F46" s="95" t="s">
        <v>441</v>
      </c>
      <c r="H46" s="93" t="s">
        <v>410</v>
      </c>
      <c r="I46" s="107"/>
      <c r="J46" s="108"/>
      <c r="K46" s="108"/>
      <c r="L46" s="93" t="s">
        <v>810</v>
      </c>
      <c r="M46" s="106">
        <v>83000</v>
      </c>
      <c r="N46" s="106" t="s">
        <v>764</v>
      </c>
      <c r="O46" s="95" t="s">
        <v>763</v>
      </c>
      <c r="P46" s="137" t="s">
        <v>1050</v>
      </c>
    </row>
    <row r="47" spans="1:16" x14ac:dyDescent="0.25">
      <c r="A47" s="95" t="s">
        <v>821</v>
      </c>
      <c r="C47" s="93" t="s">
        <v>790</v>
      </c>
      <c r="D47" s="95" t="str">
        <f t="shared" si="0"/>
        <v/>
      </c>
      <c r="E47" s="93" t="s">
        <v>117</v>
      </c>
      <c r="F47" s="95" t="s">
        <v>863</v>
      </c>
      <c r="H47" s="93" t="s">
        <v>158</v>
      </c>
      <c r="I47" s="107"/>
      <c r="J47" s="108"/>
      <c r="K47" s="108"/>
      <c r="L47" s="93" t="s">
        <v>810</v>
      </c>
      <c r="M47" s="106">
        <v>80788</v>
      </c>
      <c r="N47" s="106" t="s">
        <v>739</v>
      </c>
      <c r="O47" s="95" t="s">
        <v>791</v>
      </c>
      <c r="P47" s="137" t="s">
        <v>1049</v>
      </c>
    </row>
    <row r="48" spans="1:16" ht="37.5" x14ac:dyDescent="0.25">
      <c r="A48" s="95" t="s">
        <v>821</v>
      </c>
      <c r="C48" s="93" t="s">
        <v>77</v>
      </c>
      <c r="D48" s="95" t="str">
        <f t="shared" si="0"/>
        <v/>
      </c>
      <c r="E48" s="93" t="s">
        <v>78</v>
      </c>
      <c r="F48" s="95" t="s">
        <v>840</v>
      </c>
      <c r="H48" s="93" t="s">
        <v>158</v>
      </c>
      <c r="I48" s="107"/>
      <c r="J48" s="108"/>
      <c r="K48" s="108"/>
      <c r="L48" s="93" t="s">
        <v>810</v>
      </c>
      <c r="M48" s="106">
        <v>63600</v>
      </c>
      <c r="N48" s="106" t="s">
        <v>739</v>
      </c>
      <c r="O48" s="95" t="s">
        <v>761</v>
      </c>
      <c r="P48" s="137" t="s">
        <v>1049</v>
      </c>
    </row>
    <row r="49" spans="1:16" x14ac:dyDescent="0.25">
      <c r="A49" s="95" t="s">
        <v>821</v>
      </c>
      <c r="C49" s="93" t="s">
        <v>88</v>
      </c>
      <c r="D49" s="95" t="str">
        <f t="shared" si="0"/>
        <v/>
      </c>
      <c r="E49" s="93" t="s">
        <v>89</v>
      </c>
      <c r="F49" s="95" t="s">
        <v>858</v>
      </c>
      <c r="H49" s="93" t="s">
        <v>157</v>
      </c>
      <c r="I49" s="107"/>
      <c r="J49" s="108"/>
      <c r="K49" s="108"/>
      <c r="L49" s="93" t="s">
        <v>810</v>
      </c>
      <c r="M49" s="106">
        <v>55710</v>
      </c>
      <c r="N49" s="106" t="s">
        <v>742</v>
      </c>
      <c r="O49" s="95" t="s">
        <v>741</v>
      </c>
      <c r="P49" s="137" t="s">
        <v>1050</v>
      </c>
    </row>
    <row r="50" spans="1:16" x14ac:dyDescent="0.25">
      <c r="A50" s="95" t="s">
        <v>821</v>
      </c>
      <c r="D50" s="95" t="str">
        <f t="shared" si="0"/>
        <v/>
      </c>
      <c r="E50" s="93" t="s">
        <v>619</v>
      </c>
      <c r="F50" s="95" t="s">
        <v>833</v>
      </c>
      <c r="H50" s="93" t="s">
        <v>163</v>
      </c>
      <c r="I50" s="107"/>
      <c r="J50" s="108"/>
      <c r="K50" s="108"/>
      <c r="L50" s="93" t="s">
        <v>810</v>
      </c>
      <c r="M50" s="93" t="s">
        <v>823</v>
      </c>
      <c r="N50" s="93" t="e">
        <v>#N/A</v>
      </c>
      <c r="O50" s="95" t="e">
        <v>#N/A</v>
      </c>
      <c r="P50" s="137" t="s">
        <v>822</v>
      </c>
    </row>
    <row r="51" spans="1:16" x14ac:dyDescent="0.25">
      <c r="A51" s="95" t="s">
        <v>821</v>
      </c>
      <c r="C51" s="93" t="s">
        <v>79</v>
      </c>
      <c r="D51" s="95" t="str">
        <f t="shared" si="0"/>
        <v>Pre-Delivery</v>
      </c>
      <c r="E51" s="93" t="s">
        <v>80</v>
      </c>
      <c r="F51" s="95" t="s">
        <v>833</v>
      </c>
      <c r="H51" s="93" t="s">
        <v>163</v>
      </c>
      <c r="I51" s="107"/>
      <c r="J51" s="108"/>
      <c r="K51" s="108"/>
      <c r="L51" s="93" t="s">
        <v>810</v>
      </c>
      <c r="M51" s="106">
        <v>51230</v>
      </c>
      <c r="N51" s="106" t="s">
        <v>739</v>
      </c>
      <c r="O51" s="95" t="s">
        <v>759</v>
      </c>
      <c r="P51" s="137" t="s">
        <v>1049</v>
      </c>
    </row>
    <row r="52" spans="1:16" x14ac:dyDescent="0.25">
      <c r="A52" s="95" t="s">
        <v>821</v>
      </c>
      <c r="C52" s="93" t="s">
        <v>34</v>
      </c>
      <c r="D52" s="95" t="str">
        <f t="shared" si="0"/>
        <v/>
      </c>
      <c r="E52" s="93" t="s">
        <v>35</v>
      </c>
      <c r="F52" s="95" t="s">
        <v>848</v>
      </c>
      <c r="H52" s="93" t="s">
        <v>157</v>
      </c>
      <c r="I52" s="107"/>
      <c r="J52" s="108"/>
      <c r="K52" s="108"/>
      <c r="L52" s="93" t="s">
        <v>810</v>
      </c>
      <c r="M52" s="106">
        <v>49419</v>
      </c>
      <c r="N52" s="106" t="s">
        <v>740</v>
      </c>
      <c r="O52" s="95" t="s">
        <v>738</v>
      </c>
      <c r="P52" s="137" t="s">
        <v>1050</v>
      </c>
    </row>
    <row r="53" spans="1:16" ht="37.5" x14ac:dyDescent="0.25">
      <c r="A53" s="95" t="s">
        <v>821</v>
      </c>
      <c r="C53" s="93" t="s">
        <v>794</v>
      </c>
      <c r="D53" s="95" t="str">
        <f t="shared" si="0"/>
        <v/>
      </c>
      <c r="E53" s="93" t="s">
        <v>64</v>
      </c>
      <c r="F53" s="93" t="s">
        <v>864</v>
      </c>
      <c r="H53" s="93" t="s">
        <v>158</v>
      </c>
      <c r="I53" s="107"/>
      <c r="J53" s="108"/>
      <c r="K53" s="108"/>
      <c r="L53" s="93" t="s">
        <v>810</v>
      </c>
      <c r="M53" s="106">
        <v>39000</v>
      </c>
      <c r="N53" s="106" t="s">
        <v>739</v>
      </c>
      <c r="O53" s="95" t="s">
        <v>795</v>
      </c>
      <c r="P53" s="137" t="s">
        <v>1049</v>
      </c>
    </row>
    <row r="54" spans="1:16" x14ac:dyDescent="0.25">
      <c r="A54" s="95" t="s">
        <v>821</v>
      </c>
      <c r="C54" s="93" t="s">
        <v>684</v>
      </c>
      <c r="D54" s="95" t="str">
        <f t="shared" si="0"/>
        <v/>
      </c>
      <c r="E54" s="93" t="s">
        <v>470</v>
      </c>
      <c r="F54" s="93" t="s">
        <v>132</v>
      </c>
      <c r="H54" s="93" t="s">
        <v>158</v>
      </c>
      <c r="I54" s="107"/>
      <c r="J54" s="108"/>
      <c r="K54" s="108"/>
      <c r="L54" s="93" t="s">
        <v>810</v>
      </c>
      <c r="M54" s="106">
        <v>32128</v>
      </c>
      <c r="N54" s="106" t="s">
        <v>739</v>
      </c>
      <c r="O54" s="95" t="s">
        <v>746</v>
      </c>
      <c r="P54" s="137" t="s">
        <v>1049</v>
      </c>
    </row>
    <row r="55" spans="1:16" x14ac:dyDescent="0.25">
      <c r="A55" s="95" t="s">
        <v>821</v>
      </c>
      <c r="C55" s="93" t="s">
        <v>716</v>
      </c>
      <c r="D55" s="95" t="str">
        <f t="shared" si="0"/>
        <v>Pre-Delivery</v>
      </c>
      <c r="E55" s="93" t="s">
        <v>640</v>
      </c>
      <c r="F55" s="93" t="s">
        <v>865</v>
      </c>
      <c r="H55" s="93" t="s">
        <v>420</v>
      </c>
      <c r="I55" s="107"/>
      <c r="J55" s="108"/>
      <c r="K55" s="108"/>
      <c r="L55" s="93" t="s">
        <v>810</v>
      </c>
      <c r="M55" s="106">
        <v>30943</v>
      </c>
      <c r="N55" s="106" t="s">
        <v>739</v>
      </c>
      <c r="O55" s="95" t="s">
        <v>748</v>
      </c>
      <c r="P55" s="137" t="s">
        <v>1049</v>
      </c>
    </row>
    <row r="56" spans="1:16" x14ac:dyDescent="0.25">
      <c r="A56" s="95" t="s">
        <v>821</v>
      </c>
      <c r="C56" s="93" t="s">
        <v>687</v>
      </c>
      <c r="D56" s="95" t="str">
        <f t="shared" si="0"/>
        <v/>
      </c>
      <c r="E56" s="93" t="s">
        <v>613</v>
      </c>
      <c r="F56" s="93" t="s">
        <v>833</v>
      </c>
      <c r="H56" s="93" t="s">
        <v>163</v>
      </c>
      <c r="I56" s="107"/>
      <c r="J56" s="108"/>
      <c r="K56" s="108"/>
      <c r="L56" s="93" t="s">
        <v>810</v>
      </c>
      <c r="M56" s="106">
        <v>30700</v>
      </c>
      <c r="N56" s="106" t="s">
        <v>739</v>
      </c>
      <c r="O56" s="95" t="s">
        <v>759</v>
      </c>
      <c r="P56" s="137" t="s">
        <v>1049</v>
      </c>
    </row>
    <row r="57" spans="1:16" x14ac:dyDescent="0.25">
      <c r="A57" s="95" t="s">
        <v>821</v>
      </c>
      <c r="C57" s="93" t="s">
        <v>67</v>
      </c>
      <c r="D57" s="95" t="str">
        <f t="shared" si="0"/>
        <v/>
      </c>
      <c r="E57" s="93" t="s">
        <v>68</v>
      </c>
      <c r="F57" s="93" t="s">
        <v>834</v>
      </c>
      <c r="H57" s="93" t="s">
        <v>157</v>
      </c>
      <c r="I57" s="107"/>
      <c r="J57" s="108"/>
      <c r="K57" s="108"/>
      <c r="L57" s="93" t="s">
        <v>810</v>
      </c>
      <c r="M57" s="106">
        <v>29716</v>
      </c>
      <c r="N57" s="106" t="s">
        <v>739</v>
      </c>
      <c r="O57" s="95" t="s">
        <v>738</v>
      </c>
      <c r="P57" s="137" t="s">
        <v>1049</v>
      </c>
    </row>
    <row r="58" spans="1:16" x14ac:dyDescent="0.25">
      <c r="A58" s="95" t="s">
        <v>821</v>
      </c>
      <c r="C58" s="93" t="s">
        <v>102</v>
      </c>
      <c r="D58" s="95" t="str">
        <f t="shared" si="0"/>
        <v/>
      </c>
      <c r="E58" s="93" t="s">
        <v>59</v>
      </c>
      <c r="F58" s="93" t="s">
        <v>839</v>
      </c>
      <c r="H58" s="93" t="s">
        <v>158</v>
      </c>
      <c r="I58" s="107"/>
      <c r="J58" s="108"/>
      <c r="K58" s="108"/>
      <c r="L58" s="93" t="s">
        <v>810</v>
      </c>
      <c r="M58" s="106">
        <v>28136</v>
      </c>
      <c r="N58" s="106" t="s">
        <v>739</v>
      </c>
      <c r="O58" s="95" t="s">
        <v>755</v>
      </c>
      <c r="P58" s="137" t="s">
        <v>1049</v>
      </c>
    </row>
    <row r="59" spans="1:16" x14ac:dyDescent="0.25">
      <c r="A59" s="95" t="s">
        <v>821</v>
      </c>
      <c r="C59" s="93" t="s">
        <v>32</v>
      </c>
      <c r="D59" s="95" t="str">
        <f t="shared" si="0"/>
        <v/>
      </c>
      <c r="E59" s="93" t="s">
        <v>33</v>
      </c>
      <c r="F59" s="93" t="s">
        <v>866</v>
      </c>
      <c r="H59" s="93" t="s">
        <v>157</v>
      </c>
      <c r="I59" s="107"/>
      <c r="J59" s="108"/>
      <c r="K59" s="108"/>
      <c r="L59" s="93" t="s">
        <v>810</v>
      </c>
      <c r="M59" s="106">
        <v>25285</v>
      </c>
      <c r="N59" s="106" t="s">
        <v>739</v>
      </c>
      <c r="O59" s="95" t="s">
        <v>746</v>
      </c>
      <c r="P59" s="137" t="s">
        <v>1049</v>
      </c>
    </row>
    <row r="60" spans="1:16" x14ac:dyDescent="0.25">
      <c r="A60" s="95" t="s">
        <v>821</v>
      </c>
      <c r="C60" s="93" t="s">
        <v>53</v>
      </c>
      <c r="D60" s="95" t="str">
        <f t="shared" si="0"/>
        <v/>
      </c>
      <c r="E60" s="93" t="s">
        <v>54</v>
      </c>
      <c r="F60" s="93" t="s">
        <v>853</v>
      </c>
      <c r="H60" s="93" t="s">
        <v>158</v>
      </c>
      <c r="I60" s="107"/>
      <c r="J60" s="108"/>
      <c r="K60" s="108"/>
      <c r="L60" s="93" t="s">
        <v>810</v>
      </c>
      <c r="M60" s="106">
        <v>23968</v>
      </c>
      <c r="N60" s="106" t="s">
        <v>739</v>
      </c>
      <c r="O60" s="95" t="s">
        <v>758</v>
      </c>
      <c r="P60" s="137" t="s">
        <v>1049</v>
      </c>
    </row>
    <row r="61" spans="1:16" x14ac:dyDescent="0.25">
      <c r="A61" s="95" t="s">
        <v>821</v>
      </c>
      <c r="C61" s="93" t="s">
        <v>630</v>
      </c>
      <c r="D61" s="95" t="str">
        <f t="shared" si="0"/>
        <v/>
      </c>
      <c r="E61" s="93" t="s">
        <v>537</v>
      </c>
      <c r="F61" s="93" t="s">
        <v>836</v>
      </c>
      <c r="H61" s="93" t="s">
        <v>157</v>
      </c>
      <c r="I61" s="107"/>
      <c r="J61" s="108"/>
      <c r="K61" s="108"/>
      <c r="L61" s="93" t="s">
        <v>810</v>
      </c>
      <c r="M61" s="106">
        <v>21500</v>
      </c>
      <c r="N61" s="106" t="s">
        <v>739</v>
      </c>
      <c r="O61" s="95" t="s">
        <v>771</v>
      </c>
      <c r="P61" s="137" t="s">
        <v>1049</v>
      </c>
    </row>
    <row r="62" spans="1:16" x14ac:dyDescent="0.25">
      <c r="A62" s="95" t="s">
        <v>821</v>
      </c>
      <c r="C62" s="93" t="s">
        <v>631</v>
      </c>
      <c r="D62" s="95" t="str">
        <f t="shared" si="0"/>
        <v>Pre-Delivery</v>
      </c>
      <c r="E62" s="93" t="s">
        <v>632</v>
      </c>
      <c r="F62" s="93" t="s">
        <v>867</v>
      </c>
      <c r="H62" s="93" t="s">
        <v>420</v>
      </c>
      <c r="I62" s="107"/>
      <c r="J62" s="108"/>
      <c r="K62" s="108"/>
      <c r="L62" s="93" t="s">
        <v>810</v>
      </c>
      <c r="M62" s="106">
        <v>20709</v>
      </c>
      <c r="N62" s="106" t="s">
        <v>739</v>
      </c>
      <c r="O62" s="95" t="s">
        <v>748</v>
      </c>
      <c r="P62" s="137" t="s">
        <v>1049</v>
      </c>
    </row>
    <row r="63" spans="1:16" x14ac:dyDescent="0.25">
      <c r="A63" s="95" t="s">
        <v>821</v>
      </c>
      <c r="C63" s="93" t="s">
        <v>715</v>
      </c>
      <c r="D63" s="95" t="str">
        <f t="shared" si="0"/>
        <v/>
      </c>
      <c r="E63" s="93" t="s">
        <v>135</v>
      </c>
      <c r="F63" s="93" t="s">
        <v>868</v>
      </c>
      <c r="H63" s="93" t="s">
        <v>410</v>
      </c>
      <c r="I63" s="107"/>
      <c r="J63" s="108"/>
      <c r="K63" s="108"/>
      <c r="L63" s="93" t="s">
        <v>810</v>
      </c>
      <c r="M63" s="106">
        <v>20589</v>
      </c>
      <c r="N63" s="106" t="s">
        <v>739</v>
      </c>
      <c r="O63" s="95" t="s">
        <v>746</v>
      </c>
      <c r="P63" s="137" t="s">
        <v>1049</v>
      </c>
    </row>
    <row r="64" spans="1:16" x14ac:dyDescent="0.25">
      <c r="A64" s="95" t="s">
        <v>821</v>
      </c>
      <c r="C64" s="93" t="s">
        <v>50</v>
      </c>
      <c r="D64" s="95" t="str">
        <f t="shared" si="0"/>
        <v/>
      </c>
      <c r="E64" s="93" t="s">
        <v>51</v>
      </c>
      <c r="F64" s="93" t="s">
        <v>869</v>
      </c>
      <c r="H64" s="93" t="s">
        <v>157</v>
      </c>
      <c r="I64" s="107"/>
      <c r="J64" s="108"/>
      <c r="K64" s="108"/>
      <c r="L64" s="93" t="s">
        <v>810</v>
      </c>
      <c r="M64" s="106">
        <v>20000</v>
      </c>
      <c r="N64" s="106" t="s">
        <v>739</v>
      </c>
      <c r="O64" s="95" t="s">
        <v>744</v>
      </c>
      <c r="P64" s="137" t="s">
        <v>1049</v>
      </c>
    </row>
    <row r="65" spans="1:16" ht="37.5" x14ac:dyDescent="0.25">
      <c r="A65" s="95" t="s">
        <v>821</v>
      </c>
      <c r="C65" s="93" t="s">
        <v>98</v>
      </c>
      <c r="D65" s="95" t="str">
        <f t="shared" si="0"/>
        <v/>
      </c>
      <c r="E65" s="93" t="s">
        <v>99</v>
      </c>
      <c r="F65" s="93" t="s">
        <v>870</v>
      </c>
      <c r="H65" s="93" t="s">
        <v>158</v>
      </c>
      <c r="I65" s="107"/>
      <c r="J65" s="108"/>
      <c r="K65" s="108"/>
      <c r="L65" s="93" t="s">
        <v>810</v>
      </c>
      <c r="M65" s="106">
        <v>19300</v>
      </c>
      <c r="N65" s="106" t="s">
        <v>739</v>
      </c>
      <c r="O65" s="95" t="s">
        <v>755</v>
      </c>
      <c r="P65" s="137" t="s">
        <v>1049</v>
      </c>
    </row>
    <row r="66" spans="1:16" x14ac:dyDescent="0.25">
      <c r="A66" s="95" t="s">
        <v>821</v>
      </c>
      <c r="C66" s="93" t="s">
        <v>713</v>
      </c>
      <c r="D66" s="95" t="str">
        <f t="shared" si="0"/>
        <v/>
      </c>
      <c r="E66" s="93" t="s">
        <v>615</v>
      </c>
      <c r="F66" s="93" t="s">
        <v>293</v>
      </c>
      <c r="H66" s="93" t="s">
        <v>158</v>
      </c>
      <c r="I66" s="107"/>
      <c r="J66" s="108"/>
      <c r="K66" s="108"/>
      <c r="L66" s="93" t="s">
        <v>810</v>
      </c>
      <c r="M66" s="106">
        <v>12020</v>
      </c>
      <c r="N66" s="106" t="s">
        <v>739</v>
      </c>
      <c r="O66" s="95" t="s">
        <v>766</v>
      </c>
      <c r="P66" s="137" t="s">
        <v>1049</v>
      </c>
    </row>
    <row r="67" spans="1:16" x14ac:dyDescent="0.25">
      <c r="A67" s="95" t="s">
        <v>821</v>
      </c>
      <c r="C67" s="93" t="s">
        <v>483</v>
      </c>
      <c r="D67" s="95" t="str">
        <f t="shared" si="0"/>
        <v/>
      </c>
      <c r="E67" s="93" t="s">
        <v>52</v>
      </c>
      <c r="F67" s="93" t="s">
        <v>871</v>
      </c>
      <c r="H67" s="93" t="s">
        <v>157</v>
      </c>
      <c r="I67" s="107"/>
      <c r="J67" s="108"/>
      <c r="K67" s="108"/>
      <c r="L67" s="93" t="s">
        <v>810</v>
      </c>
      <c r="M67" s="106">
        <v>11760</v>
      </c>
      <c r="N67" s="106" t="s">
        <v>757</v>
      </c>
      <c r="O67" s="95" t="s">
        <v>756</v>
      </c>
      <c r="P67" s="137" t="s">
        <v>1050</v>
      </c>
    </row>
    <row r="68" spans="1:16" x14ac:dyDescent="0.25">
      <c r="A68" s="95" t="s">
        <v>821</v>
      </c>
      <c r="C68" s="93" t="s">
        <v>487</v>
      </c>
      <c r="D68" s="95" t="str">
        <f t="shared" si="0"/>
        <v>Pre-Delivery</v>
      </c>
      <c r="E68" s="93" t="s">
        <v>488</v>
      </c>
      <c r="F68" s="93" t="s">
        <v>846</v>
      </c>
      <c r="H68" s="93" t="s">
        <v>158</v>
      </c>
      <c r="I68" s="107"/>
      <c r="J68" s="108"/>
      <c r="K68" s="108"/>
      <c r="L68" s="93" t="s">
        <v>810</v>
      </c>
      <c r="M68" s="106">
        <v>10858</v>
      </c>
      <c r="N68" s="106" t="s">
        <v>739</v>
      </c>
      <c r="O68" s="95" t="s">
        <v>748</v>
      </c>
      <c r="P68" s="137" t="s">
        <v>1049</v>
      </c>
    </row>
    <row r="69" spans="1:16" x14ac:dyDescent="0.25">
      <c r="A69" s="95" t="s">
        <v>821</v>
      </c>
      <c r="C69" s="93" t="s">
        <v>57</v>
      </c>
      <c r="D69" s="95" t="str">
        <f t="shared" si="0"/>
        <v/>
      </c>
      <c r="E69" s="93" t="s">
        <v>58</v>
      </c>
      <c r="F69" s="93" t="s">
        <v>858</v>
      </c>
      <c r="H69" s="93" t="s">
        <v>157</v>
      </c>
      <c r="I69" s="107"/>
      <c r="J69" s="108"/>
      <c r="K69" s="108"/>
      <c r="L69" s="93" t="s">
        <v>810</v>
      </c>
      <c r="M69" s="93" t="s">
        <v>823</v>
      </c>
      <c r="N69" s="93" t="e">
        <v>#N/A</v>
      </c>
      <c r="O69" s="95" t="e">
        <v>#N/A</v>
      </c>
      <c r="P69" s="137" t="s">
        <v>822</v>
      </c>
    </row>
    <row r="70" spans="1:16" x14ac:dyDescent="0.25">
      <c r="A70" s="95" t="s">
        <v>821</v>
      </c>
      <c r="C70" s="93" t="s">
        <v>46</v>
      </c>
      <c r="D70" s="95" t="str">
        <f t="shared" si="0"/>
        <v/>
      </c>
      <c r="E70" s="93" t="s">
        <v>47</v>
      </c>
      <c r="F70" s="93" t="s">
        <v>845</v>
      </c>
      <c r="H70" s="93" t="s">
        <v>157</v>
      </c>
      <c r="I70" s="107"/>
      <c r="J70" s="108"/>
      <c r="K70" s="108"/>
      <c r="L70" s="93" t="s">
        <v>810</v>
      </c>
      <c r="M70" s="93" t="s">
        <v>823</v>
      </c>
      <c r="N70" s="93" t="e">
        <v>#N/A</v>
      </c>
      <c r="O70" s="95" t="e">
        <v>#N/A</v>
      </c>
      <c r="P70" s="137" t="s">
        <v>822</v>
      </c>
    </row>
    <row r="71" spans="1:16" x14ac:dyDescent="0.25">
      <c r="A71" s="95" t="s">
        <v>821</v>
      </c>
      <c r="C71" s="93" t="s">
        <v>83</v>
      </c>
      <c r="D71" s="95" t="str">
        <f t="shared" ref="D71:D134" si="1">IF(OR(ISNUMBER(SEARCH("Pre Delivery",E71)),ISNUMBER(SEARCH("Pre-Delivery",E71)),ISNUMBER(SEARCH("Predelivery",E71)),ISNUMBER(SEARCH("PD -",E71)),ISNUMBER(SEARCH("PD Lubes",E71))),"Pre-Delivery","")</f>
        <v/>
      </c>
      <c r="E71" s="93" t="s">
        <v>84</v>
      </c>
      <c r="F71" s="93" t="s">
        <v>869</v>
      </c>
      <c r="H71" s="93" t="s">
        <v>157</v>
      </c>
      <c r="I71" s="107"/>
      <c r="J71" s="108"/>
      <c r="K71" s="108"/>
      <c r="L71" s="93" t="s">
        <v>810</v>
      </c>
      <c r="M71" s="93" t="s">
        <v>823</v>
      </c>
      <c r="N71" s="93" t="e">
        <v>#N/A</v>
      </c>
      <c r="O71" s="95" t="e">
        <v>#N/A</v>
      </c>
      <c r="P71" s="137" t="s">
        <v>822</v>
      </c>
    </row>
    <row r="72" spans="1:16" x14ac:dyDescent="0.25">
      <c r="A72" s="95" t="s">
        <v>821</v>
      </c>
      <c r="C72" s="93" t="s">
        <v>87</v>
      </c>
      <c r="D72" s="95" t="str">
        <f t="shared" si="1"/>
        <v/>
      </c>
      <c r="E72" s="93" t="s">
        <v>45</v>
      </c>
      <c r="F72" s="93" t="s">
        <v>835</v>
      </c>
      <c r="H72" s="93" t="s">
        <v>157</v>
      </c>
      <c r="I72" s="107"/>
      <c r="J72" s="108"/>
      <c r="K72" s="108"/>
      <c r="L72" s="93" t="s">
        <v>810</v>
      </c>
      <c r="M72" s="93" t="s">
        <v>823</v>
      </c>
      <c r="N72" s="93" t="e">
        <v>#N/A</v>
      </c>
      <c r="O72" s="95" t="e">
        <v>#N/A</v>
      </c>
      <c r="P72" s="137" t="s">
        <v>822</v>
      </c>
    </row>
    <row r="73" spans="1:16" x14ac:dyDescent="0.25">
      <c r="A73" s="95" t="s">
        <v>821</v>
      </c>
      <c r="C73" s="93" t="s">
        <v>42</v>
      </c>
      <c r="D73" s="95" t="str">
        <f t="shared" si="1"/>
        <v/>
      </c>
      <c r="E73" s="93" t="s">
        <v>43</v>
      </c>
      <c r="F73" s="93" t="s">
        <v>834</v>
      </c>
      <c r="H73" s="93" t="s">
        <v>157</v>
      </c>
      <c r="I73" s="107"/>
      <c r="J73" s="108"/>
      <c r="K73" s="108"/>
      <c r="L73" s="93" t="s">
        <v>810</v>
      </c>
      <c r="M73" s="93" t="s">
        <v>823</v>
      </c>
      <c r="N73" s="93" t="e">
        <v>#N/A</v>
      </c>
      <c r="O73" s="95" t="e">
        <v>#N/A</v>
      </c>
      <c r="P73" s="137" t="s">
        <v>822</v>
      </c>
    </row>
    <row r="74" spans="1:16" x14ac:dyDescent="0.25">
      <c r="A74" s="95" t="s">
        <v>821</v>
      </c>
      <c r="C74" s="93" t="s">
        <v>30</v>
      </c>
      <c r="D74" s="95" t="str">
        <f t="shared" si="1"/>
        <v/>
      </c>
      <c r="E74" s="93" t="s">
        <v>31</v>
      </c>
      <c r="F74" s="93" t="s">
        <v>872</v>
      </c>
      <c r="H74" s="93" t="s">
        <v>157</v>
      </c>
      <c r="I74" s="107"/>
      <c r="J74" s="108"/>
      <c r="K74" s="108"/>
      <c r="L74" s="93" t="s">
        <v>810</v>
      </c>
      <c r="M74" s="93" t="s">
        <v>823</v>
      </c>
      <c r="N74" s="93" t="e">
        <v>#N/A</v>
      </c>
      <c r="O74" s="95" t="e">
        <v>#N/A</v>
      </c>
      <c r="P74" s="137" t="s">
        <v>822</v>
      </c>
    </row>
    <row r="75" spans="1:16" x14ac:dyDescent="0.25">
      <c r="A75" s="95" t="s">
        <v>821</v>
      </c>
      <c r="C75" s="93" t="s">
        <v>484</v>
      </c>
      <c r="D75" s="95" t="str">
        <f t="shared" si="1"/>
        <v/>
      </c>
      <c r="E75" s="93" t="s">
        <v>103</v>
      </c>
      <c r="F75" s="93" t="s">
        <v>873</v>
      </c>
      <c r="H75" s="93" t="s">
        <v>157</v>
      </c>
      <c r="I75" s="107"/>
      <c r="J75" s="108"/>
      <c r="K75" s="108"/>
      <c r="L75" s="93" t="s">
        <v>810</v>
      </c>
      <c r="M75" s="93" t="s">
        <v>823</v>
      </c>
      <c r="N75" s="93" t="e">
        <v>#N/A</v>
      </c>
      <c r="O75" s="95" t="e">
        <v>#N/A</v>
      </c>
      <c r="P75" s="137" t="s">
        <v>822</v>
      </c>
    </row>
    <row r="76" spans="1:16" x14ac:dyDescent="0.25">
      <c r="A76" s="95" t="s">
        <v>821</v>
      </c>
      <c r="C76" s="93" t="s">
        <v>94</v>
      </c>
      <c r="D76" s="95" t="str">
        <f t="shared" si="1"/>
        <v/>
      </c>
      <c r="E76" s="93" t="s">
        <v>95</v>
      </c>
      <c r="F76" s="93" t="s">
        <v>858</v>
      </c>
      <c r="H76" s="93" t="s">
        <v>157</v>
      </c>
      <c r="I76" s="107"/>
      <c r="J76" s="108"/>
      <c r="K76" s="108"/>
      <c r="L76" s="93" t="s">
        <v>810</v>
      </c>
      <c r="M76" s="93" t="s">
        <v>823</v>
      </c>
      <c r="N76" s="93" t="e">
        <v>#N/A</v>
      </c>
      <c r="O76" s="95" t="e">
        <v>#N/A</v>
      </c>
      <c r="P76" s="137" t="s">
        <v>822</v>
      </c>
    </row>
    <row r="77" spans="1:16" x14ac:dyDescent="0.25">
      <c r="A77" s="95" t="s">
        <v>821</v>
      </c>
      <c r="C77" s="93" t="s">
        <v>81</v>
      </c>
      <c r="D77" s="95" t="str">
        <f t="shared" si="1"/>
        <v/>
      </c>
      <c r="E77" s="93" t="s">
        <v>82</v>
      </c>
      <c r="F77" s="93" t="s">
        <v>874</v>
      </c>
      <c r="H77" s="93" t="s">
        <v>157</v>
      </c>
      <c r="I77" s="107"/>
      <c r="J77" s="108"/>
      <c r="K77" s="108"/>
      <c r="L77" s="93" t="s">
        <v>810</v>
      </c>
      <c r="M77" s="93" t="s">
        <v>823</v>
      </c>
      <c r="N77" s="93" t="e">
        <v>#N/A</v>
      </c>
      <c r="O77" s="95" t="e">
        <v>#N/A</v>
      </c>
      <c r="P77" s="137" t="s">
        <v>822</v>
      </c>
    </row>
    <row r="78" spans="1:16" x14ac:dyDescent="0.25">
      <c r="A78" s="95" t="s">
        <v>821</v>
      </c>
      <c r="C78" s="93" t="s">
        <v>92</v>
      </c>
      <c r="D78" s="95" t="str">
        <f t="shared" si="1"/>
        <v/>
      </c>
      <c r="E78" s="93" t="s">
        <v>93</v>
      </c>
      <c r="F78" s="93" t="s">
        <v>875</v>
      </c>
      <c r="H78" s="93" t="s">
        <v>157</v>
      </c>
      <c r="I78" s="107"/>
      <c r="J78" s="108"/>
      <c r="K78" s="108"/>
      <c r="L78" s="93" t="s">
        <v>810</v>
      </c>
      <c r="M78" s="93" t="s">
        <v>823</v>
      </c>
      <c r="N78" s="93" t="e">
        <v>#N/A</v>
      </c>
      <c r="O78" s="95" t="e">
        <v>#N/A</v>
      </c>
      <c r="P78" s="137" t="s">
        <v>822</v>
      </c>
    </row>
    <row r="79" spans="1:16" x14ac:dyDescent="0.25">
      <c r="A79" s="95" t="s">
        <v>821</v>
      </c>
      <c r="C79" s="93" t="s">
        <v>621</v>
      </c>
      <c r="D79" s="95" t="str">
        <f t="shared" si="1"/>
        <v/>
      </c>
      <c r="E79" s="93" t="s">
        <v>622</v>
      </c>
      <c r="F79" s="93" t="s">
        <v>876</v>
      </c>
      <c r="H79" s="93" t="s">
        <v>157</v>
      </c>
      <c r="I79" s="107"/>
      <c r="J79" s="108"/>
      <c r="K79" s="108"/>
      <c r="L79" s="93" t="s">
        <v>810</v>
      </c>
      <c r="M79" s="93" t="s">
        <v>823</v>
      </c>
      <c r="N79" s="93" t="e">
        <v>#N/A</v>
      </c>
      <c r="O79" s="95" t="e">
        <v>#N/A</v>
      </c>
      <c r="P79" s="137" t="s">
        <v>822</v>
      </c>
    </row>
    <row r="80" spans="1:16" x14ac:dyDescent="0.25">
      <c r="A80" s="95" t="s">
        <v>821</v>
      </c>
      <c r="C80" s="93" t="s">
        <v>629</v>
      </c>
      <c r="D80" s="95" t="str">
        <f t="shared" si="1"/>
        <v/>
      </c>
      <c r="E80" s="93" t="s">
        <v>628</v>
      </c>
      <c r="F80" s="93" t="s">
        <v>835</v>
      </c>
      <c r="H80" s="93" t="s">
        <v>157</v>
      </c>
      <c r="I80" s="107"/>
      <c r="J80" s="108"/>
      <c r="K80" s="108"/>
      <c r="L80" s="93" t="s">
        <v>810</v>
      </c>
      <c r="M80" s="93" t="s">
        <v>823</v>
      </c>
      <c r="N80" s="93" t="e">
        <v>#N/A</v>
      </c>
      <c r="O80" s="95" t="e">
        <v>#N/A</v>
      </c>
      <c r="P80" s="137" t="s">
        <v>822</v>
      </c>
    </row>
    <row r="81" spans="1:16" x14ac:dyDescent="0.25">
      <c r="A81" s="95" t="s">
        <v>821</v>
      </c>
      <c r="C81" s="93" t="s">
        <v>489</v>
      </c>
      <c r="D81" s="95" t="str">
        <f t="shared" si="1"/>
        <v/>
      </c>
      <c r="E81" s="93" t="s">
        <v>220</v>
      </c>
      <c r="F81" s="93" t="s">
        <v>852</v>
      </c>
      <c r="H81" s="93" t="s">
        <v>158</v>
      </c>
      <c r="I81" s="107"/>
      <c r="J81" s="108"/>
      <c r="K81" s="108"/>
      <c r="L81" s="93" t="s">
        <v>810</v>
      </c>
      <c r="M81" s="106">
        <v>10325</v>
      </c>
      <c r="N81" s="106" t="s">
        <v>739</v>
      </c>
      <c r="O81" s="95" t="s">
        <v>751</v>
      </c>
      <c r="P81" s="137" t="s">
        <v>1049</v>
      </c>
    </row>
    <row r="82" spans="1:16" x14ac:dyDescent="0.25">
      <c r="A82" s="95" t="s">
        <v>821</v>
      </c>
      <c r="C82" s="93" t="s">
        <v>73</v>
      </c>
      <c r="D82" s="95" t="str">
        <f t="shared" si="1"/>
        <v/>
      </c>
      <c r="E82" s="93" t="s">
        <v>74</v>
      </c>
      <c r="F82" s="93" t="s">
        <v>844</v>
      </c>
      <c r="H82" s="93" t="s">
        <v>158</v>
      </c>
      <c r="I82" s="107"/>
      <c r="J82" s="108"/>
      <c r="K82" s="108"/>
      <c r="L82" s="93" t="s">
        <v>810</v>
      </c>
      <c r="M82" s="106">
        <v>9933</v>
      </c>
      <c r="N82" s="106" t="s">
        <v>739</v>
      </c>
      <c r="O82" s="95" t="s">
        <v>755</v>
      </c>
      <c r="P82" s="137" t="s">
        <v>1049</v>
      </c>
    </row>
    <row r="83" spans="1:16" x14ac:dyDescent="0.25">
      <c r="A83" s="95" t="s">
        <v>821</v>
      </c>
      <c r="C83" s="93" t="s">
        <v>636</v>
      </c>
      <c r="D83" s="95" t="str">
        <f t="shared" si="1"/>
        <v>Pre-Delivery</v>
      </c>
      <c r="E83" s="93" t="s">
        <v>637</v>
      </c>
      <c r="F83" s="93" t="s">
        <v>877</v>
      </c>
      <c r="H83" s="93" t="s">
        <v>420</v>
      </c>
      <c r="I83" s="107"/>
      <c r="J83" s="108"/>
      <c r="K83" s="108"/>
      <c r="L83" s="93" t="s">
        <v>810</v>
      </c>
      <c r="M83" s="106">
        <v>9266</v>
      </c>
      <c r="N83" s="106" t="s">
        <v>739</v>
      </c>
      <c r="O83" s="95" t="s">
        <v>748</v>
      </c>
      <c r="P83" s="137" t="s">
        <v>1049</v>
      </c>
    </row>
    <row r="84" spans="1:16" x14ac:dyDescent="0.25">
      <c r="A84" s="95" t="s">
        <v>821</v>
      </c>
      <c r="C84" s="93" t="s">
        <v>657</v>
      </c>
      <c r="D84" s="95" t="str">
        <f t="shared" si="1"/>
        <v/>
      </c>
      <c r="E84" s="93" t="s">
        <v>414</v>
      </c>
      <c r="F84" s="93" t="s">
        <v>878</v>
      </c>
      <c r="H84" s="93" t="s">
        <v>410</v>
      </c>
      <c r="I84" s="107"/>
      <c r="J84" s="108"/>
      <c r="K84" s="108"/>
      <c r="L84" s="93" t="s">
        <v>810</v>
      </c>
      <c r="M84" s="106">
        <v>9105</v>
      </c>
      <c r="N84" s="106" t="s">
        <v>739</v>
      </c>
      <c r="O84" s="95" t="s">
        <v>768</v>
      </c>
      <c r="P84" s="137" t="s">
        <v>1049</v>
      </c>
    </row>
    <row r="85" spans="1:16" x14ac:dyDescent="0.25">
      <c r="A85" s="95" t="s">
        <v>821</v>
      </c>
      <c r="C85" s="93" t="s">
        <v>624</v>
      </c>
      <c r="D85" s="95" t="str">
        <f t="shared" si="1"/>
        <v/>
      </c>
      <c r="E85" s="93" t="s">
        <v>418</v>
      </c>
      <c r="F85" s="93" t="s">
        <v>418</v>
      </c>
      <c r="H85" s="93" t="s">
        <v>420</v>
      </c>
      <c r="I85" s="107"/>
      <c r="J85" s="108"/>
      <c r="K85" s="108"/>
      <c r="L85" s="93" t="s">
        <v>810</v>
      </c>
      <c r="M85" s="106">
        <v>7740</v>
      </c>
      <c r="N85" s="106" t="s">
        <v>739</v>
      </c>
      <c r="O85" s="95" t="s">
        <v>748</v>
      </c>
      <c r="P85" s="137" t="s">
        <v>1049</v>
      </c>
    </row>
    <row r="86" spans="1:16" x14ac:dyDescent="0.25">
      <c r="A86" s="95" t="s">
        <v>821</v>
      </c>
      <c r="C86" s="93" t="s">
        <v>485</v>
      </c>
      <c r="D86" s="95" t="str">
        <f t="shared" si="1"/>
        <v/>
      </c>
      <c r="E86" s="93" t="s">
        <v>486</v>
      </c>
      <c r="F86" s="93" t="s">
        <v>879</v>
      </c>
      <c r="H86" s="93" t="s">
        <v>158</v>
      </c>
      <c r="I86" s="107"/>
      <c r="J86" s="108"/>
      <c r="K86" s="108"/>
      <c r="L86" s="93" t="s">
        <v>810</v>
      </c>
      <c r="M86" s="106">
        <v>7060</v>
      </c>
      <c r="N86" s="106" t="s">
        <v>739</v>
      </c>
      <c r="O86" s="95" t="s">
        <v>750</v>
      </c>
      <c r="P86" s="137" t="s">
        <v>1049</v>
      </c>
    </row>
    <row r="87" spans="1:16" x14ac:dyDescent="0.25">
      <c r="A87" s="95" t="s">
        <v>821</v>
      </c>
      <c r="C87" s="93" t="s">
        <v>711</v>
      </c>
      <c r="D87" s="95" t="str">
        <f t="shared" si="1"/>
        <v/>
      </c>
      <c r="E87" s="93" t="s">
        <v>436</v>
      </c>
      <c r="F87" s="93" t="s">
        <v>436</v>
      </c>
      <c r="H87" s="93" t="s">
        <v>410</v>
      </c>
      <c r="I87" s="107"/>
      <c r="J87" s="108"/>
      <c r="K87" s="108"/>
      <c r="L87" s="93" t="s">
        <v>810</v>
      </c>
      <c r="M87" s="106">
        <v>6929</v>
      </c>
      <c r="N87" s="106" t="s">
        <v>739</v>
      </c>
      <c r="O87" s="95" t="s">
        <v>749</v>
      </c>
      <c r="P87" s="137" t="s">
        <v>1049</v>
      </c>
    </row>
    <row r="88" spans="1:16" x14ac:dyDescent="0.25">
      <c r="A88" s="95" t="s">
        <v>821</v>
      </c>
      <c r="C88" s="93" t="s">
        <v>60</v>
      </c>
      <c r="D88" s="95" t="str">
        <f t="shared" si="1"/>
        <v/>
      </c>
      <c r="E88" s="93" t="s">
        <v>61</v>
      </c>
      <c r="F88" s="93" t="s">
        <v>845</v>
      </c>
      <c r="H88" s="93" t="s">
        <v>157</v>
      </c>
      <c r="I88" s="107"/>
      <c r="J88" s="108"/>
      <c r="K88" s="108"/>
      <c r="L88" s="93" t="s">
        <v>810</v>
      </c>
      <c r="M88" s="106">
        <v>6775</v>
      </c>
      <c r="N88" s="106" t="s">
        <v>739</v>
      </c>
      <c r="O88" s="95" t="s">
        <v>743</v>
      </c>
      <c r="P88" s="137" t="s">
        <v>1049</v>
      </c>
    </row>
    <row r="89" spans="1:16" x14ac:dyDescent="0.25">
      <c r="A89" s="95" t="s">
        <v>821</v>
      </c>
      <c r="C89" s="93" t="s">
        <v>706</v>
      </c>
      <c r="D89" s="95" t="str">
        <f t="shared" si="1"/>
        <v/>
      </c>
      <c r="E89" s="93" t="s">
        <v>452</v>
      </c>
      <c r="F89" s="93" t="s">
        <v>452</v>
      </c>
      <c r="H89" s="93" t="s">
        <v>410</v>
      </c>
      <c r="I89" s="107"/>
      <c r="J89" s="108"/>
      <c r="K89" s="108"/>
      <c r="L89" s="93" t="s">
        <v>810</v>
      </c>
      <c r="M89" s="106">
        <v>6363</v>
      </c>
      <c r="N89" s="106" t="s">
        <v>739</v>
      </c>
      <c r="O89" s="95" t="s">
        <v>783</v>
      </c>
      <c r="P89" s="137" t="s">
        <v>1049</v>
      </c>
    </row>
    <row r="90" spans="1:16" x14ac:dyDescent="0.25">
      <c r="A90" s="95" t="s">
        <v>821</v>
      </c>
      <c r="C90" s="93" t="s">
        <v>789</v>
      </c>
      <c r="D90" s="95" t="str">
        <f t="shared" si="1"/>
        <v/>
      </c>
      <c r="E90" s="93" t="s">
        <v>452</v>
      </c>
      <c r="F90" s="93" t="s">
        <v>452</v>
      </c>
      <c r="H90" s="93" t="s">
        <v>410</v>
      </c>
      <c r="I90" s="107"/>
      <c r="J90" s="108"/>
      <c r="K90" s="108"/>
      <c r="L90" s="93" t="s">
        <v>810</v>
      </c>
      <c r="M90" s="106">
        <v>6224</v>
      </c>
      <c r="N90" s="106" t="s">
        <v>739</v>
      </c>
      <c r="O90" s="95" t="s">
        <v>783</v>
      </c>
      <c r="P90" s="137" t="s">
        <v>1049</v>
      </c>
    </row>
    <row r="91" spans="1:16" x14ac:dyDescent="0.25">
      <c r="A91" s="95" t="s">
        <v>821</v>
      </c>
      <c r="C91" s="93" t="s">
        <v>712</v>
      </c>
      <c r="D91" s="95" t="str">
        <f t="shared" si="1"/>
        <v/>
      </c>
      <c r="E91" s="93" t="s">
        <v>662</v>
      </c>
      <c r="F91" s="93" t="s">
        <v>662</v>
      </c>
      <c r="H91" s="93" t="s">
        <v>410</v>
      </c>
      <c r="I91" s="107"/>
      <c r="J91" s="108"/>
      <c r="K91" s="108"/>
      <c r="L91" s="93" t="s">
        <v>810</v>
      </c>
      <c r="M91" s="106">
        <v>5860</v>
      </c>
      <c r="N91" s="106" t="s">
        <v>739</v>
      </c>
      <c r="O91" s="95" t="s">
        <v>749</v>
      </c>
      <c r="P91" s="137" t="s">
        <v>1049</v>
      </c>
    </row>
    <row r="92" spans="1:16" x14ac:dyDescent="0.25">
      <c r="A92" s="95" t="s">
        <v>821</v>
      </c>
      <c r="C92" s="93" t="s">
        <v>712</v>
      </c>
      <c r="D92" s="95" t="str">
        <f t="shared" si="1"/>
        <v/>
      </c>
      <c r="E92" s="93" t="s">
        <v>663</v>
      </c>
      <c r="F92" s="93" t="s">
        <v>663</v>
      </c>
      <c r="H92" s="93" t="s">
        <v>410</v>
      </c>
      <c r="I92" s="107"/>
      <c r="J92" s="108"/>
      <c r="K92" s="108"/>
      <c r="L92" s="93" t="s">
        <v>810</v>
      </c>
      <c r="M92" s="106">
        <v>5860</v>
      </c>
      <c r="N92" s="106" t="s">
        <v>739</v>
      </c>
      <c r="O92" s="95" t="s">
        <v>749</v>
      </c>
      <c r="P92" s="137" t="s">
        <v>1049</v>
      </c>
    </row>
    <row r="93" spans="1:16" x14ac:dyDescent="0.25">
      <c r="A93" s="95" t="s">
        <v>821</v>
      </c>
      <c r="C93" s="93" t="s">
        <v>96</v>
      </c>
      <c r="D93" s="95" t="str">
        <f t="shared" si="1"/>
        <v/>
      </c>
      <c r="E93" s="93" t="s">
        <v>97</v>
      </c>
      <c r="F93" s="93" t="s">
        <v>858</v>
      </c>
      <c r="H93" s="93" t="s">
        <v>157</v>
      </c>
      <c r="I93" s="107"/>
      <c r="J93" s="108"/>
      <c r="K93" s="108"/>
      <c r="L93" s="93" t="s">
        <v>810</v>
      </c>
      <c r="M93" s="106">
        <v>5766</v>
      </c>
      <c r="N93" s="106" t="s">
        <v>739</v>
      </c>
      <c r="O93" s="95" t="s">
        <v>747</v>
      </c>
      <c r="P93" s="137" t="s">
        <v>1049</v>
      </c>
    </row>
    <row r="94" spans="1:16" x14ac:dyDescent="0.25">
      <c r="A94" s="95" t="s">
        <v>821</v>
      </c>
      <c r="C94" s="93" t="s">
        <v>627</v>
      </c>
      <c r="D94" s="95" t="str">
        <f t="shared" si="1"/>
        <v/>
      </c>
      <c r="E94" s="93" t="s">
        <v>416</v>
      </c>
      <c r="F94" s="93" t="s">
        <v>416</v>
      </c>
      <c r="H94" s="93" t="s">
        <v>420</v>
      </c>
      <c r="I94" s="107"/>
      <c r="J94" s="108"/>
      <c r="K94" s="108"/>
      <c r="L94" s="93" t="s">
        <v>810</v>
      </c>
      <c r="M94" s="106">
        <v>5339</v>
      </c>
      <c r="N94" s="106" t="s">
        <v>739</v>
      </c>
      <c r="O94" s="95" t="s">
        <v>748</v>
      </c>
      <c r="P94" s="137" t="s">
        <v>1049</v>
      </c>
    </row>
    <row r="95" spans="1:16" x14ac:dyDescent="0.25">
      <c r="A95" s="95" t="s">
        <v>821</v>
      </c>
      <c r="C95" s="93" t="s">
        <v>633</v>
      </c>
      <c r="D95" s="95" t="str">
        <f t="shared" si="1"/>
        <v/>
      </c>
      <c r="E95" s="93" t="s">
        <v>417</v>
      </c>
      <c r="F95" s="93" t="s">
        <v>880</v>
      </c>
      <c r="H95" s="93" t="s">
        <v>420</v>
      </c>
      <c r="I95" s="107"/>
      <c r="J95" s="108"/>
      <c r="K95" s="108"/>
      <c r="L95" s="93" t="s">
        <v>810</v>
      </c>
      <c r="M95" s="106">
        <v>5327</v>
      </c>
      <c r="N95" s="106" t="s">
        <v>739</v>
      </c>
      <c r="O95" s="95" t="s">
        <v>748</v>
      </c>
      <c r="P95" s="137" t="s">
        <v>1049</v>
      </c>
    </row>
    <row r="96" spans="1:16" x14ac:dyDescent="0.25">
      <c r="A96" s="95" t="s">
        <v>821</v>
      </c>
      <c r="C96" s="93" t="s">
        <v>482</v>
      </c>
      <c r="D96" s="95" t="str">
        <f t="shared" si="1"/>
        <v/>
      </c>
      <c r="E96" s="93" t="s">
        <v>447</v>
      </c>
      <c r="F96" s="93" t="s">
        <v>850</v>
      </c>
      <c r="H96" s="93" t="s">
        <v>410</v>
      </c>
      <c r="I96" s="107"/>
      <c r="J96" s="108"/>
      <c r="K96" s="108"/>
      <c r="L96" s="93" t="s">
        <v>810</v>
      </c>
      <c r="M96" s="106">
        <v>5272</v>
      </c>
      <c r="N96" s="106" t="s">
        <v>739</v>
      </c>
      <c r="O96" s="95" t="s">
        <v>754</v>
      </c>
      <c r="P96" s="137" t="s">
        <v>1049</v>
      </c>
    </row>
    <row r="97" spans="1:16" x14ac:dyDescent="0.25">
      <c r="A97" s="95" t="s">
        <v>821</v>
      </c>
      <c r="C97" s="93" t="s">
        <v>732</v>
      </c>
      <c r="D97" s="95" t="str">
        <f t="shared" si="1"/>
        <v/>
      </c>
      <c r="E97" s="93" t="s">
        <v>450</v>
      </c>
      <c r="F97" s="93" t="s">
        <v>881</v>
      </c>
      <c r="H97" s="93" t="s">
        <v>410</v>
      </c>
      <c r="I97" s="107"/>
      <c r="J97" s="108"/>
      <c r="K97" s="108"/>
      <c r="L97" s="93" t="s">
        <v>810</v>
      </c>
      <c r="M97" s="106">
        <v>4987</v>
      </c>
      <c r="N97" s="106" t="s">
        <v>739</v>
      </c>
      <c r="O97" s="95" t="s">
        <v>783</v>
      </c>
      <c r="P97" s="137" t="s">
        <v>1049</v>
      </c>
    </row>
    <row r="98" spans="1:16" x14ac:dyDescent="0.25">
      <c r="A98" s="95" t="s">
        <v>821</v>
      </c>
      <c r="C98" s="93" t="s">
        <v>686</v>
      </c>
      <c r="D98" s="95" t="str">
        <f t="shared" si="1"/>
        <v/>
      </c>
      <c r="E98" s="93" t="s">
        <v>598</v>
      </c>
      <c r="F98" s="93" t="s">
        <v>919</v>
      </c>
      <c r="H98" s="93" t="s">
        <v>410</v>
      </c>
      <c r="I98" s="107"/>
      <c r="J98" s="108"/>
      <c r="K98" s="108"/>
      <c r="L98" s="93" t="s">
        <v>810</v>
      </c>
      <c r="M98" s="106">
        <v>4758</v>
      </c>
      <c r="N98" s="106" t="s">
        <v>739</v>
      </c>
      <c r="O98" s="95" t="s">
        <v>746</v>
      </c>
      <c r="P98" s="137" t="s">
        <v>1049</v>
      </c>
    </row>
    <row r="99" spans="1:16" x14ac:dyDescent="0.25">
      <c r="A99" s="95" t="s">
        <v>821</v>
      </c>
      <c r="C99" s="93" t="s">
        <v>90</v>
      </c>
      <c r="D99" s="95" t="str">
        <f t="shared" si="1"/>
        <v>Pre-Delivery</v>
      </c>
      <c r="E99" s="93" t="s">
        <v>91</v>
      </c>
      <c r="F99" s="93" t="s">
        <v>833</v>
      </c>
      <c r="H99" s="93" t="s">
        <v>163</v>
      </c>
      <c r="I99" s="107"/>
      <c r="J99" s="108"/>
      <c r="K99" s="108"/>
      <c r="L99" s="93" t="s">
        <v>810</v>
      </c>
      <c r="M99" s="106">
        <v>4414</v>
      </c>
      <c r="N99" s="106" t="s">
        <v>739</v>
      </c>
      <c r="O99" s="95" t="s">
        <v>746</v>
      </c>
      <c r="P99" s="137" t="s">
        <v>1049</v>
      </c>
    </row>
    <row r="100" spans="1:16" x14ac:dyDescent="0.25">
      <c r="A100" s="95" t="s">
        <v>821</v>
      </c>
      <c r="C100" s="93" t="s">
        <v>475</v>
      </c>
      <c r="D100" s="95" t="str">
        <f t="shared" si="1"/>
        <v/>
      </c>
      <c r="E100" s="93" t="s">
        <v>400</v>
      </c>
      <c r="F100" s="93" t="s">
        <v>400</v>
      </c>
      <c r="H100" s="93" t="s">
        <v>158</v>
      </c>
      <c r="I100" s="107"/>
      <c r="J100" s="108"/>
      <c r="K100" s="108"/>
      <c r="L100" s="93" t="s">
        <v>810</v>
      </c>
      <c r="M100" s="106">
        <v>4350</v>
      </c>
      <c r="N100" s="106" t="s">
        <v>739</v>
      </c>
      <c r="O100" s="95" t="s">
        <v>746</v>
      </c>
      <c r="P100" s="137" t="s">
        <v>1049</v>
      </c>
    </row>
    <row r="101" spans="1:16" x14ac:dyDescent="0.25">
      <c r="A101" s="95" t="s">
        <v>821</v>
      </c>
      <c r="C101" s="93" t="s">
        <v>44</v>
      </c>
      <c r="D101" s="95" t="str">
        <f t="shared" si="1"/>
        <v/>
      </c>
      <c r="E101" s="93" t="s">
        <v>45</v>
      </c>
      <c r="F101" s="93" t="s">
        <v>835</v>
      </c>
      <c r="H101" s="93" t="s">
        <v>157</v>
      </c>
      <c r="I101" s="107"/>
      <c r="J101" s="108"/>
      <c r="K101" s="108"/>
      <c r="L101" s="93" t="s">
        <v>810</v>
      </c>
      <c r="M101" s="106">
        <v>4281</v>
      </c>
      <c r="N101" s="106" t="s">
        <v>740</v>
      </c>
      <c r="O101" s="95" t="s">
        <v>745</v>
      </c>
      <c r="P101" s="137" t="s">
        <v>1050</v>
      </c>
    </row>
    <row r="102" spans="1:16" x14ac:dyDescent="0.25">
      <c r="A102" s="95" t="s">
        <v>821</v>
      </c>
      <c r="C102" s="93" t="s">
        <v>714</v>
      </c>
      <c r="D102" s="95" t="str">
        <f t="shared" si="1"/>
        <v/>
      </c>
      <c r="H102" s="93" t="s">
        <v>157</v>
      </c>
      <c r="I102" s="107"/>
      <c r="J102" s="108"/>
      <c r="K102" s="108"/>
      <c r="L102" s="93" t="s">
        <v>810</v>
      </c>
      <c r="M102" s="106">
        <v>4040</v>
      </c>
      <c r="N102" s="106" t="s">
        <v>739</v>
      </c>
      <c r="O102" s="95" t="s">
        <v>743</v>
      </c>
      <c r="P102" s="137" t="s">
        <v>1049</v>
      </c>
    </row>
    <row r="103" spans="1:16" x14ac:dyDescent="0.25">
      <c r="A103" s="95" t="s">
        <v>821</v>
      </c>
      <c r="C103" s="93" t="s">
        <v>40</v>
      </c>
      <c r="D103" s="95" t="str">
        <f t="shared" si="1"/>
        <v/>
      </c>
      <c r="E103" s="93" t="s">
        <v>41</v>
      </c>
      <c r="F103" s="93" t="s">
        <v>864</v>
      </c>
      <c r="H103" s="93" t="s">
        <v>158</v>
      </c>
      <c r="I103" s="107"/>
      <c r="J103" s="108"/>
      <c r="K103" s="108"/>
      <c r="L103" s="93" t="s">
        <v>810</v>
      </c>
      <c r="M103" s="93" t="s">
        <v>823</v>
      </c>
      <c r="N103" s="93" t="e">
        <v>#N/A</v>
      </c>
      <c r="O103" s="95" t="e">
        <v>#N/A</v>
      </c>
      <c r="P103" s="137" t="s">
        <v>822</v>
      </c>
    </row>
    <row r="104" spans="1:16" x14ac:dyDescent="0.25">
      <c r="A104" s="95" t="s">
        <v>821</v>
      </c>
      <c r="C104" s="93" t="s">
        <v>690</v>
      </c>
      <c r="D104" s="95" t="str">
        <f t="shared" si="1"/>
        <v/>
      </c>
      <c r="E104" s="93" t="s">
        <v>449</v>
      </c>
      <c r="F104" s="93" t="s">
        <v>882</v>
      </c>
      <c r="H104" s="93" t="s">
        <v>158</v>
      </c>
      <c r="I104" s="107"/>
      <c r="J104" s="108"/>
      <c r="K104" s="108"/>
      <c r="L104" s="93" t="s">
        <v>810</v>
      </c>
      <c r="M104" s="93" t="s">
        <v>823</v>
      </c>
      <c r="N104" s="93" t="e">
        <v>#N/A</v>
      </c>
      <c r="O104" s="95" t="e">
        <v>#N/A</v>
      </c>
      <c r="P104" s="137" t="s">
        <v>822</v>
      </c>
    </row>
    <row r="105" spans="1:16" ht="37.5" x14ac:dyDescent="0.25">
      <c r="A105" s="95" t="s">
        <v>821</v>
      </c>
      <c r="D105" s="95" t="str">
        <f t="shared" si="1"/>
        <v/>
      </c>
      <c r="E105" s="93" t="s">
        <v>617</v>
      </c>
      <c r="F105" s="93" t="s">
        <v>883</v>
      </c>
      <c r="H105" s="93" t="s">
        <v>158</v>
      </c>
      <c r="I105" s="107"/>
      <c r="J105" s="108"/>
      <c r="K105" s="108"/>
      <c r="L105" s="93" t="s">
        <v>810</v>
      </c>
      <c r="M105" s="93" t="s">
        <v>823</v>
      </c>
      <c r="N105" s="93" t="e">
        <v>#N/A</v>
      </c>
      <c r="O105" s="95" t="e">
        <v>#N/A</v>
      </c>
      <c r="P105" s="137" t="s">
        <v>822</v>
      </c>
    </row>
    <row r="106" spans="1:16" x14ac:dyDescent="0.25">
      <c r="A106" s="95" t="s">
        <v>821</v>
      </c>
      <c r="D106" s="95" t="str">
        <f t="shared" si="1"/>
        <v/>
      </c>
      <c r="E106" s="93" t="s">
        <v>616</v>
      </c>
      <c r="F106" s="93" t="s">
        <v>292</v>
      </c>
      <c r="H106" s="93" t="s">
        <v>158</v>
      </c>
      <c r="I106" s="107"/>
      <c r="J106" s="108"/>
      <c r="K106" s="108"/>
      <c r="L106" s="93" t="s">
        <v>810</v>
      </c>
      <c r="M106" s="93" t="s">
        <v>823</v>
      </c>
      <c r="N106" s="93" t="e">
        <v>#N/A</v>
      </c>
      <c r="O106" s="95" t="e">
        <v>#N/A</v>
      </c>
      <c r="P106" s="137" t="s">
        <v>822</v>
      </c>
    </row>
    <row r="107" spans="1:16" x14ac:dyDescent="0.25">
      <c r="A107" s="95" t="s">
        <v>821</v>
      </c>
      <c r="D107" s="95" t="str">
        <f t="shared" si="1"/>
        <v/>
      </c>
      <c r="E107" s="93" t="s">
        <v>175</v>
      </c>
      <c r="F107" s="93" t="s">
        <v>884</v>
      </c>
      <c r="H107" s="93" t="s">
        <v>158</v>
      </c>
      <c r="I107" s="107"/>
      <c r="J107" s="108"/>
      <c r="K107" s="108"/>
      <c r="L107" s="93" t="s">
        <v>810</v>
      </c>
      <c r="M107" s="93" t="s">
        <v>823</v>
      </c>
      <c r="N107" s="93" t="e">
        <v>#N/A</v>
      </c>
      <c r="O107" s="95" t="e">
        <v>#N/A</v>
      </c>
      <c r="P107" s="137" t="s">
        <v>822</v>
      </c>
    </row>
    <row r="108" spans="1:16" x14ac:dyDescent="0.25">
      <c r="A108" s="95" t="s">
        <v>821</v>
      </c>
      <c r="C108" s="93" t="s">
        <v>772</v>
      </c>
      <c r="D108" s="95" t="str">
        <f t="shared" si="1"/>
        <v/>
      </c>
      <c r="E108" s="93" t="s">
        <v>773</v>
      </c>
      <c r="F108" s="93" t="s">
        <v>773</v>
      </c>
      <c r="H108" s="93" t="s">
        <v>158</v>
      </c>
      <c r="I108" s="107"/>
      <c r="J108" s="108"/>
      <c r="K108" s="108"/>
      <c r="L108" s="93" t="s">
        <v>810</v>
      </c>
      <c r="M108" s="93" t="s">
        <v>823</v>
      </c>
      <c r="N108" s="93" t="e">
        <v>#N/A</v>
      </c>
      <c r="O108" s="95" t="e">
        <v>#N/A</v>
      </c>
      <c r="P108" s="137" t="s">
        <v>822</v>
      </c>
    </row>
    <row r="109" spans="1:16" x14ac:dyDescent="0.25">
      <c r="A109" s="95" t="s">
        <v>821</v>
      </c>
      <c r="D109" s="95" t="str">
        <f t="shared" si="1"/>
        <v/>
      </c>
      <c r="E109" s="93" t="s">
        <v>455</v>
      </c>
      <c r="F109" s="93" t="s">
        <v>885</v>
      </c>
      <c r="H109" s="93" t="s">
        <v>158</v>
      </c>
      <c r="I109" s="107"/>
      <c r="J109" s="108"/>
      <c r="K109" s="108"/>
      <c r="L109" s="93" t="s">
        <v>810</v>
      </c>
      <c r="M109" s="93" t="s">
        <v>823</v>
      </c>
      <c r="N109" s="93" t="e">
        <v>#N/A</v>
      </c>
      <c r="O109" s="95" t="e">
        <v>#N/A</v>
      </c>
      <c r="P109" s="137" t="s">
        <v>822</v>
      </c>
    </row>
    <row r="110" spans="1:16" x14ac:dyDescent="0.25">
      <c r="A110" s="95" t="s">
        <v>821</v>
      </c>
      <c r="D110" s="95" t="str">
        <f t="shared" si="1"/>
        <v/>
      </c>
      <c r="E110" s="93" t="s">
        <v>426</v>
      </c>
      <c r="F110" s="93" t="s">
        <v>426</v>
      </c>
      <c r="H110" s="93" t="s">
        <v>158</v>
      </c>
      <c r="I110" s="107"/>
      <c r="J110" s="108"/>
      <c r="K110" s="108"/>
      <c r="L110" s="93" t="s">
        <v>810</v>
      </c>
      <c r="M110" s="93" t="s">
        <v>823</v>
      </c>
      <c r="N110" s="93" t="e">
        <v>#N/A</v>
      </c>
      <c r="O110" s="95" t="e">
        <v>#N/A</v>
      </c>
      <c r="P110" s="137" t="s">
        <v>822</v>
      </c>
    </row>
    <row r="111" spans="1:16" x14ac:dyDescent="0.25">
      <c r="A111" s="95" t="s">
        <v>821</v>
      </c>
      <c r="D111" s="95" t="str">
        <f t="shared" si="1"/>
        <v/>
      </c>
      <c r="E111" s="93" t="s">
        <v>443</v>
      </c>
      <c r="F111" s="93" t="s">
        <v>886</v>
      </c>
      <c r="H111" s="93" t="s">
        <v>158</v>
      </c>
      <c r="I111" s="107"/>
      <c r="J111" s="108"/>
      <c r="K111" s="108"/>
      <c r="L111" s="93" t="s">
        <v>810</v>
      </c>
      <c r="M111" s="93" t="s">
        <v>823</v>
      </c>
      <c r="N111" s="93" t="e">
        <v>#N/A</v>
      </c>
      <c r="O111" s="95" t="e">
        <v>#N/A</v>
      </c>
      <c r="P111" s="137" t="s">
        <v>822</v>
      </c>
    </row>
    <row r="112" spans="1:16" x14ac:dyDescent="0.25">
      <c r="A112" s="95" t="s">
        <v>821</v>
      </c>
      <c r="C112" s="93" t="s">
        <v>692</v>
      </c>
      <c r="D112" s="95" t="str">
        <f t="shared" si="1"/>
        <v/>
      </c>
      <c r="E112" s="93" t="s">
        <v>659</v>
      </c>
      <c r="F112" s="93" t="s">
        <v>859</v>
      </c>
      <c r="H112" s="93" t="s">
        <v>158</v>
      </c>
      <c r="I112" s="107"/>
      <c r="J112" s="108"/>
      <c r="K112" s="108"/>
      <c r="L112" s="93" t="s">
        <v>810</v>
      </c>
      <c r="M112" s="93" t="s">
        <v>823</v>
      </c>
      <c r="N112" s="93" t="e">
        <v>#N/A</v>
      </c>
      <c r="O112" s="95" t="e">
        <v>#N/A</v>
      </c>
      <c r="P112" s="137" t="s">
        <v>822</v>
      </c>
    </row>
    <row r="113" spans="1:16" x14ac:dyDescent="0.25">
      <c r="A113" s="95" t="s">
        <v>821</v>
      </c>
      <c r="C113" s="93" t="s">
        <v>481</v>
      </c>
      <c r="D113" s="95" t="str">
        <f t="shared" si="1"/>
        <v/>
      </c>
      <c r="E113" s="93" t="s">
        <v>444</v>
      </c>
      <c r="F113" s="93" t="s">
        <v>444</v>
      </c>
      <c r="H113" s="93" t="s">
        <v>158</v>
      </c>
      <c r="I113" s="107"/>
      <c r="J113" s="108"/>
      <c r="K113" s="108"/>
      <c r="L113" s="93" t="s">
        <v>810</v>
      </c>
      <c r="M113" s="106">
        <v>3887</v>
      </c>
      <c r="N113" s="106" t="s">
        <v>739</v>
      </c>
      <c r="O113" s="95" t="s">
        <v>753</v>
      </c>
      <c r="P113" s="137" t="s">
        <v>1049</v>
      </c>
    </row>
    <row r="114" spans="1:16" x14ac:dyDescent="0.25">
      <c r="A114" s="95" t="s">
        <v>821</v>
      </c>
      <c r="C114" s="93" t="s">
        <v>634</v>
      </c>
      <c r="D114" s="95" t="str">
        <f t="shared" si="1"/>
        <v>Pre-Delivery</v>
      </c>
      <c r="E114" s="93" t="s">
        <v>635</v>
      </c>
      <c r="F114" s="93" t="s">
        <v>854</v>
      </c>
      <c r="H114" s="93" t="s">
        <v>410</v>
      </c>
      <c r="I114" s="107"/>
      <c r="J114" s="108"/>
      <c r="K114" s="108"/>
      <c r="L114" s="93" t="s">
        <v>810</v>
      </c>
      <c r="M114" s="106">
        <v>3400</v>
      </c>
      <c r="N114" s="106" t="s">
        <v>739</v>
      </c>
      <c r="O114" s="95" t="s">
        <v>746</v>
      </c>
      <c r="P114" s="137" t="s">
        <v>1049</v>
      </c>
    </row>
    <row r="115" spans="1:16" x14ac:dyDescent="0.25">
      <c r="A115" s="95" t="s">
        <v>821</v>
      </c>
      <c r="C115" s="93" t="s">
        <v>626</v>
      </c>
      <c r="D115" s="95" t="str">
        <f t="shared" si="1"/>
        <v/>
      </c>
      <c r="E115" s="93" t="s">
        <v>419</v>
      </c>
      <c r="F115" s="93" t="s">
        <v>887</v>
      </c>
      <c r="H115" s="93" t="s">
        <v>420</v>
      </c>
      <c r="I115" s="107"/>
      <c r="J115" s="108"/>
      <c r="K115" s="108"/>
      <c r="L115" s="93" t="s">
        <v>810</v>
      </c>
      <c r="M115" s="106">
        <v>3075</v>
      </c>
      <c r="N115" s="106" t="s">
        <v>739</v>
      </c>
      <c r="O115" s="95" t="s">
        <v>748</v>
      </c>
      <c r="P115" s="137" t="s">
        <v>1049</v>
      </c>
    </row>
    <row r="116" spans="1:16" x14ac:dyDescent="0.25">
      <c r="A116" s="95" t="s">
        <v>821</v>
      </c>
      <c r="C116" s="93" t="s">
        <v>786</v>
      </c>
      <c r="D116" s="95" t="str">
        <f t="shared" si="1"/>
        <v/>
      </c>
      <c r="E116" s="93" t="s">
        <v>428</v>
      </c>
      <c r="F116" s="93" t="s">
        <v>888</v>
      </c>
      <c r="H116" s="93" t="s">
        <v>410</v>
      </c>
      <c r="I116" s="107"/>
      <c r="J116" s="108"/>
      <c r="K116" s="108"/>
      <c r="L116" s="93" t="s">
        <v>810</v>
      </c>
      <c r="M116" s="106">
        <v>2698</v>
      </c>
      <c r="N116" s="106" t="s">
        <v>739</v>
      </c>
      <c r="O116" s="95" t="s">
        <v>798</v>
      </c>
      <c r="P116" s="137" t="s">
        <v>1049</v>
      </c>
    </row>
    <row r="117" spans="1:16" x14ac:dyDescent="0.25">
      <c r="A117" s="95" t="s">
        <v>821</v>
      </c>
      <c r="C117" s="93" t="s">
        <v>36</v>
      </c>
      <c r="D117" s="95" t="str">
        <f t="shared" si="1"/>
        <v/>
      </c>
      <c r="E117" s="93" t="s">
        <v>37</v>
      </c>
      <c r="F117" s="93" t="s">
        <v>889</v>
      </c>
      <c r="H117" s="93" t="s">
        <v>158</v>
      </c>
      <c r="I117" s="107"/>
      <c r="J117" s="108"/>
      <c r="K117" s="108"/>
      <c r="L117" s="93" t="s">
        <v>810</v>
      </c>
      <c r="M117" s="106">
        <v>2431</v>
      </c>
      <c r="N117" s="106" t="s">
        <v>757</v>
      </c>
      <c r="O117" s="95" t="s">
        <v>760</v>
      </c>
      <c r="P117" s="137" t="s">
        <v>1050</v>
      </c>
    </row>
    <row r="118" spans="1:16" x14ac:dyDescent="0.25">
      <c r="A118" s="95" t="s">
        <v>821</v>
      </c>
      <c r="C118" s="93" t="s">
        <v>665</v>
      </c>
      <c r="D118" s="95" t="str">
        <f t="shared" si="1"/>
        <v/>
      </c>
      <c r="E118" s="93" t="s">
        <v>177</v>
      </c>
      <c r="F118" s="93" t="s">
        <v>856</v>
      </c>
      <c r="H118" s="93" t="s">
        <v>158</v>
      </c>
      <c r="I118" s="107"/>
      <c r="J118" s="108"/>
      <c r="K118" s="108"/>
      <c r="L118" s="93" t="s">
        <v>810</v>
      </c>
      <c r="M118" s="106">
        <v>2400</v>
      </c>
      <c r="N118" s="106" t="s">
        <v>757</v>
      </c>
      <c r="O118" s="95" t="s">
        <v>767</v>
      </c>
      <c r="P118" s="137" t="s">
        <v>1050</v>
      </c>
    </row>
    <row r="119" spans="1:16" x14ac:dyDescent="0.25">
      <c r="A119" s="95" t="s">
        <v>821</v>
      </c>
      <c r="C119" s="93" t="s">
        <v>797</v>
      </c>
      <c r="D119" s="95" t="str">
        <f t="shared" si="1"/>
        <v/>
      </c>
      <c r="E119" s="93" t="s">
        <v>139</v>
      </c>
      <c r="F119" s="93" t="s">
        <v>139</v>
      </c>
      <c r="H119" s="93" t="s">
        <v>410</v>
      </c>
      <c r="I119" s="107"/>
      <c r="J119" s="108"/>
      <c r="K119" s="108"/>
      <c r="L119" s="93" t="s">
        <v>810</v>
      </c>
      <c r="M119" s="106">
        <v>2260</v>
      </c>
      <c r="N119" s="106" t="s">
        <v>739</v>
      </c>
      <c r="O119" s="95" t="s">
        <v>798</v>
      </c>
      <c r="P119" s="137" t="s">
        <v>1049</v>
      </c>
    </row>
    <row r="120" spans="1:16" x14ac:dyDescent="0.25">
      <c r="A120" s="95" t="s">
        <v>821</v>
      </c>
      <c r="C120" s="93" t="s">
        <v>638</v>
      </c>
      <c r="D120" s="95" t="str">
        <f t="shared" si="1"/>
        <v/>
      </c>
      <c r="E120" s="93" t="s">
        <v>639</v>
      </c>
      <c r="F120" s="93" t="s">
        <v>858</v>
      </c>
      <c r="H120" s="93" t="s">
        <v>157</v>
      </c>
      <c r="I120" s="107"/>
      <c r="J120" s="108"/>
      <c r="K120" s="108"/>
      <c r="L120" s="93" t="s">
        <v>810</v>
      </c>
      <c r="M120" s="106">
        <v>1911</v>
      </c>
      <c r="N120" s="106" t="s">
        <v>742</v>
      </c>
      <c r="O120" s="95" t="s">
        <v>741</v>
      </c>
      <c r="P120" s="137" t="s">
        <v>1050</v>
      </c>
    </row>
    <row r="121" spans="1:16" x14ac:dyDescent="0.25">
      <c r="A121" s="95" t="s">
        <v>821</v>
      </c>
      <c r="C121" s="93" t="s">
        <v>623</v>
      </c>
      <c r="D121" s="95" t="str">
        <f t="shared" si="1"/>
        <v/>
      </c>
      <c r="E121" s="93" t="s">
        <v>104</v>
      </c>
      <c r="F121" s="93" t="s">
        <v>574</v>
      </c>
      <c r="H121" s="93" t="s">
        <v>410</v>
      </c>
      <c r="I121" s="107"/>
      <c r="J121" s="108"/>
      <c r="K121" s="108"/>
      <c r="L121" s="93" t="s">
        <v>810</v>
      </c>
      <c r="M121" s="106">
        <v>1890</v>
      </c>
      <c r="N121" s="106" t="s">
        <v>739</v>
      </c>
      <c r="O121" s="95" t="s">
        <v>746</v>
      </c>
      <c r="P121" s="137" t="s">
        <v>1049</v>
      </c>
    </row>
    <row r="122" spans="1:16" x14ac:dyDescent="0.25">
      <c r="A122" s="95" t="s">
        <v>821</v>
      </c>
      <c r="C122" s="93" t="s">
        <v>796</v>
      </c>
      <c r="D122" s="95" t="str">
        <f t="shared" si="1"/>
        <v/>
      </c>
      <c r="E122" s="93" t="s">
        <v>442</v>
      </c>
      <c r="F122" s="93" t="s">
        <v>890</v>
      </c>
      <c r="H122" s="93" t="s">
        <v>410</v>
      </c>
      <c r="I122" s="107"/>
      <c r="J122" s="108"/>
      <c r="K122" s="108"/>
      <c r="L122" s="93" t="s">
        <v>810</v>
      </c>
      <c r="M122" s="106">
        <v>1889</v>
      </c>
      <c r="N122" s="106" t="s">
        <v>739</v>
      </c>
      <c r="O122" s="95" t="s">
        <v>784</v>
      </c>
      <c r="P122" s="137" t="s">
        <v>1050</v>
      </c>
    </row>
    <row r="123" spans="1:16" x14ac:dyDescent="0.25">
      <c r="A123" s="95" t="s">
        <v>821</v>
      </c>
      <c r="C123" s="93" t="s">
        <v>625</v>
      </c>
      <c r="D123" s="95" t="str">
        <f t="shared" si="1"/>
        <v/>
      </c>
      <c r="E123" s="93" t="s">
        <v>106</v>
      </c>
      <c r="F123" s="93" t="s">
        <v>855</v>
      </c>
      <c r="H123" s="93" t="s">
        <v>410</v>
      </c>
      <c r="I123" s="107"/>
      <c r="J123" s="108"/>
      <c r="K123" s="108"/>
      <c r="L123" s="93" t="s">
        <v>810</v>
      </c>
      <c r="M123" s="106">
        <v>1700</v>
      </c>
      <c r="N123" s="106" t="s">
        <v>739</v>
      </c>
      <c r="O123" s="95" t="s">
        <v>746</v>
      </c>
      <c r="P123" s="137" t="s">
        <v>1049</v>
      </c>
    </row>
    <row r="124" spans="1:16" x14ac:dyDescent="0.25">
      <c r="A124" s="95" t="s">
        <v>821</v>
      </c>
      <c r="C124" s="93" t="s">
        <v>667</v>
      </c>
      <c r="D124" s="95" t="str">
        <f t="shared" si="1"/>
        <v/>
      </c>
      <c r="E124" s="93" t="s">
        <v>448</v>
      </c>
      <c r="F124" s="93" t="s">
        <v>448</v>
      </c>
      <c r="H124" s="93" t="s">
        <v>158</v>
      </c>
      <c r="I124" s="107"/>
      <c r="J124" s="108"/>
      <c r="K124" s="108"/>
      <c r="L124" s="93" t="s">
        <v>810</v>
      </c>
      <c r="M124" s="106">
        <v>1630</v>
      </c>
      <c r="N124" s="106" t="s">
        <v>739</v>
      </c>
      <c r="O124" s="95" t="s">
        <v>765</v>
      </c>
      <c r="P124" s="137" t="s">
        <v>1049</v>
      </c>
    </row>
    <row r="125" spans="1:16" x14ac:dyDescent="0.25">
      <c r="A125" s="95" t="s">
        <v>821</v>
      </c>
      <c r="C125" s="93" t="s">
        <v>458</v>
      </c>
      <c r="D125" s="95" t="str">
        <f t="shared" si="1"/>
        <v/>
      </c>
      <c r="E125" s="93" t="s">
        <v>445</v>
      </c>
      <c r="F125" s="93" t="s">
        <v>842</v>
      </c>
      <c r="H125" s="93" t="s">
        <v>410</v>
      </c>
      <c r="I125" s="107"/>
      <c r="J125" s="108"/>
      <c r="K125" s="108"/>
      <c r="L125" s="93" t="s">
        <v>810</v>
      </c>
      <c r="M125" s="106">
        <v>1590</v>
      </c>
      <c r="N125" s="106" t="s">
        <v>739</v>
      </c>
      <c r="O125" s="95" t="s">
        <v>746</v>
      </c>
      <c r="P125" s="137" t="s">
        <v>1049</v>
      </c>
    </row>
    <row r="126" spans="1:16" x14ac:dyDescent="0.25">
      <c r="A126" s="95" t="s">
        <v>821</v>
      </c>
      <c r="C126" s="93" t="s">
        <v>788</v>
      </c>
      <c r="D126" s="95" t="str">
        <f t="shared" si="1"/>
        <v/>
      </c>
      <c r="E126" s="93" t="s">
        <v>451</v>
      </c>
      <c r="F126" s="93" t="s">
        <v>451</v>
      </c>
      <c r="H126" s="93" t="s">
        <v>410</v>
      </c>
      <c r="I126" s="107"/>
      <c r="J126" s="108"/>
      <c r="K126" s="108"/>
      <c r="L126" s="93" t="s">
        <v>810</v>
      </c>
      <c r="M126" s="106">
        <v>1518</v>
      </c>
      <c r="N126" s="106" t="s">
        <v>739</v>
      </c>
      <c r="O126" s="95" t="s">
        <v>783</v>
      </c>
      <c r="P126" s="137" t="s">
        <v>1049</v>
      </c>
    </row>
    <row r="127" spans="1:16" x14ac:dyDescent="0.25">
      <c r="A127" s="95" t="s">
        <v>821</v>
      </c>
      <c r="C127" s="93" t="s">
        <v>100</v>
      </c>
      <c r="D127" s="95" t="str">
        <f t="shared" si="1"/>
        <v/>
      </c>
      <c r="E127" s="93" t="s">
        <v>101</v>
      </c>
      <c r="F127" s="93" t="s">
        <v>841</v>
      </c>
      <c r="H127" s="93" t="s">
        <v>157</v>
      </c>
      <c r="I127" s="107"/>
      <c r="J127" s="108"/>
      <c r="K127" s="108"/>
      <c r="L127" s="93" t="s">
        <v>810</v>
      </c>
      <c r="M127" s="106">
        <v>1494</v>
      </c>
      <c r="N127" s="106" t="s">
        <v>739</v>
      </c>
      <c r="O127" s="95" t="s">
        <v>738</v>
      </c>
      <c r="P127" s="137" t="s">
        <v>1049</v>
      </c>
    </row>
    <row r="128" spans="1:16" x14ac:dyDescent="0.25">
      <c r="A128" s="95" t="s">
        <v>821</v>
      </c>
      <c r="C128" s="93" t="s">
        <v>800</v>
      </c>
      <c r="D128" s="95" t="str">
        <f t="shared" si="1"/>
        <v/>
      </c>
      <c r="H128" s="93" t="s">
        <v>410</v>
      </c>
      <c r="I128" s="107"/>
      <c r="J128" s="108"/>
      <c r="K128" s="108"/>
      <c r="L128" s="93" t="s">
        <v>810</v>
      </c>
      <c r="M128" s="106">
        <v>1460</v>
      </c>
      <c r="N128" s="106" t="s">
        <v>742</v>
      </c>
      <c r="O128" s="95" t="s">
        <v>741</v>
      </c>
      <c r="P128" s="137" t="s">
        <v>1050</v>
      </c>
    </row>
    <row r="129" spans="1:16" x14ac:dyDescent="0.25">
      <c r="A129" s="95" t="s">
        <v>821</v>
      </c>
      <c r="C129" s="93" t="s">
        <v>729</v>
      </c>
      <c r="D129" s="95" t="str">
        <f t="shared" si="1"/>
        <v/>
      </c>
      <c r="E129" s="93" t="s">
        <v>431</v>
      </c>
      <c r="F129" s="93" t="s">
        <v>431</v>
      </c>
      <c r="H129" s="93" t="s">
        <v>410</v>
      </c>
      <c r="I129" s="107"/>
      <c r="J129" s="108"/>
      <c r="K129" s="108"/>
      <c r="L129" s="93" t="s">
        <v>810</v>
      </c>
      <c r="M129" s="106">
        <v>1145</v>
      </c>
      <c r="N129" s="106" t="s">
        <v>739</v>
      </c>
      <c r="O129" s="95" t="s">
        <v>783</v>
      </c>
      <c r="P129" s="137" t="s">
        <v>1049</v>
      </c>
    </row>
    <row r="130" spans="1:16" x14ac:dyDescent="0.25">
      <c r="A130" s="95" t="s">
        <v>821</v>
      </c>
      <c r="C130" s="93" t="s">
        <v>38</v>
      </c>
      <c r="D130" s="95" t="str">
        <f t="shared" si="1"/>
        <v/>
      </c>
      <c r="E130" s="93" t="s">
        <v>39</v>
      </c>
      <c r="F130" s="93" t="s">
        <v>847</v>
      </c>
      <c r="H130" s="93" t="s">
        <v>157</v>
      </c>
      <c r="I130" s="107"/>
      <c r="J130" s="108"/>
      <c r="K130" s="108"/>
      <c r="L130" s="93" t="s">
        <v>810</v>
      </c>
      <c r="M130" s="106">
        <v>1101</v>
      </c>
      <c r="N130" s="106" t="s">
        <v>739</v>
      </c>
      <c r="O130" s="95" t="s">
        <v>738</v>
      </c>
      <c r="P130" s="137" t="s">
        <v>1049</v>
      </c>
    </row>
    <row r="131" spans="1:16" x14ac:dyDescent="0.25">
      <c r="A131" s="95" t="s">
        <v>821</v>
      </c>
      <c r="C131" s="93" t="s">
        <v>730</v>
      </c>
      <c r="D131" s="95" t="str">
        <f t="shared" si="1"/>
        <v/>
      </c>
      <c r="E131" s="93" t="s">
        <v>435</v>
      </c>
      <c r="F131" s="93" t="s">
        <v>435</v>
      </c>
      <c r="H131" s="93" t="s">
        <v>410</v>
      </c>
      <c r="I131" s="107"/>
      <c r="J131" s="108"/>
      <c r="K131" s="108"/>
      <c r="L131" s="93" t="s">
        <v>810</v>
      </c>
      <c r="M131" s="106">
        <v>386</v>
      </c>
      <c r="N131" s="106" t="s">
        <v>739</v>
      </c>
      <c r="O131" s="95" t="s">
        <v>784</v>
      </c>
      <c r="P131" s="137" t="s">
        <v>1050</v>
      </c>
    </row>
    <row r="132" spans="1:16" x14ac:dyDescent="0.25">
      <c r="A132" s="95" t="s">
        <v>821</v>
      </c>
      <c r="C132" s="93" t="s">
        <v>724</v>
      </c>
      <c r="D132" s="95" t="str">
        <f t="shared" si="1"/>
        <v/>
      </c>
      <c r="E132" s="93" t="s">
        <v>440</v>
      </c>
      <c r="F132" s="93" t="s">
        <v>440</v>
      </c>
      <c r="H132" s="93" t="s">
        <v>410</v>
      </c>
      <c r="I132" s="107"/>
      <c r="J132" s="108"/>
      <c r="K132" s="108"/>
      <c r="L132" s="93" t="s">
        <v>810</v>
      </c>
      <c r="M132" s="106">
        <v>386</v>
      </c>
      <c r="N132" s="106" t="s">
        <v>739</v>
      </c>
      <c r="O132" s="95" t="s">
        <v>785</v>
      </c>
      <c r="P132" s="137" t="s">
        <v>1049</v>
      </c>
    </row>
    <row r="133" spans="1:16" x14ac:dyDescent="0.25">
      <c r="A133" s="95" t="s">
        <v>821</v>
      </c>
      <c r="C133" s="93" t="s">
        <v>787</v>
      </c>
      <c r="D133" s="95" t="str">
        <f t="shared" si="1"/>
        <v/>
      </c>
      <c r="E133" s="93" t="s">
        <v>434</v>
      </c>
      <c r="F133" s="93" t="s">
        <v>891</v>
      </c>
      <c r="H133" s="93" t="s">
        <v>410</v>
      </c>
      <c r="I133" s="107"/>
      <c r="J133" s="108"/>
      <c r="K133" s="108"/>
      <c r="L133" s="93" t="s">
        <v>810</v>
      </c>
      <c r="M133" s="106">
        <v>378</v>
      </c>
      <c r="N133" s="106" t="s">
        <v>739</v>
      </c>
      <c r="O133" s="95" t="s">
        <v>746</v>
      </c>
      <c r="P133" s="137" t="s">
        <v>1049</v>
      </c>
    </row>
    <row r="134" spans="1:16" x14ac:dyDescent="0.25">
      <c r="A134" s="95" t="s">
        <v>821</v>
      </c>
      <c r="C134" s="93" t="s">
        <v>710</v>
      </c>
      <c r="D134" s="95" t="str">
        <f t="shared" si="1"/>
        <v/>
      </c>
      <c r="E134" s="93" t="s">
        <v>134</v>
      </c>
      <c r="F134" s="93" t="s">
        <v>134</v>
      </c>
      <c r="H134" s="93" t="s">
        <v>410</v>
      </c>
      <c r="I134" s="107"/>
      <c r="J134" s="108"/>
      <c r="K134" s="108"/>
      <c r="L134" s="93" t="s">
        <v>810</v>
      </c>
      <c r="M134" s="106">
        <v>330</v>
      </c>
      <c r="N134" s="106" t="s">
        <v>739</v>
      </c>
      <c r="O134" s="95" t="s">
        <v>746</v>
      </c>
      <c r="P134" s="137" t="s">
        <v>1049</v>
      </c>
    </row>
    <row r="135" spans="1:16" x14ac:dyDescent="0.25">
      <c r="A135" s="95" t="s">
        <v>821</v>
      </c>
      <c r="C135" s="93" t="s">
        <v>801</v>
      </c>
      <c r="D135" s="95" t="str">
        <f t="shared" ref="D135:D198" si="2">IF(OR(ISNUMBER(SEARCH("Pre Delivery",E135)),ISNUMBER(SEARCH("Pre-Delivery",E135)),ISNUMBER(SEARCH("Predelivery",E135)),ISNUMBER(SEARCH("PD -",E135)),ISNUMBER(SEARCH("PD Lubes",E135))),"Pre-Delivery","")</f>
        <v/>
      </c>
      <c r="E135" s="93" t="s">
        <v>917</v>
      </c>
      <c r="H135" s="93" t="s">
        <v>410</v>
      </c>
      <c r="I135" s="107"/>
      <c r="J135" s="108"/>
      <c r="K135" s="108"/>
      <c r="L135" s="93" t="s">
        <v>810</v>
      </c>
      <c r="M135" s="106">
        <v>250</v>
      </c>
      <c r="N135" s="106" t="s">
        <v>739</v>
      </c>
      <c r="O135" s="95" t="s">
        <v>738</v>
      </c>
      <c r="P135" s="137" t="s">
        <v>1049</v>
      </c>
    </row>
    <row r="136" spans="1:16" x14ac:dyDescent="0.25">
      <c r="A136" s="95" t="s">
        <v>821</v>
      </c>
      <c r="C136" s="93" t="s">
        <v>69</v>
      </c>
      <c r="D136" s="95" t="str">
        <f t="shared" si="2"/>
        <v/>
      </c>
      <c r="E136" s="93" t="s">
        <v>70</v>
      </c>
      <c r="F136" s="93" t="s">
        <v>849</v>
      </c>
      <c r="H136" s="93" t="s">
        <v>157</v>
      </c>
      <c r="I136" s="107"/>
      <c r="J136" s="108"/>
      <c r="K136" s="108"/>
      <c r="L136" s="93" t="s">
        <v>810</v>
      </c>
      <c r="M136" s="106">
        <v>201</v>
      </c>
      <c r="N136" s="106" t="s">
        <v>739</v>
      </c>
      <c r="O136" s="95" t="s">
        <v>738</v>
      </c>
      <c r="P136" s="137" t="s">
        <v>1049</v>
      </c>
    </row>
    <row r="137" spans="1:16" x14ac:dyDescent="0.25">
      <c r="A137" s="95" t="s">
        <v>821</v>
      </c>
      <c r="C137" s="93" t="s">
        <v>805</v>
      </c>
      <c r="D137" s="95" t="str">
        <f t="shared" si="2"/>
        <v/>
      </c>
      <c r="E137" s="93" t="s">
        <v>479</v>
      </c>
      <c r="F137" s="93" t="s">
        <v>452</v>
      </c>
      <c r="H137" s="93" t="s">
        <v>410</v>
      </c>
      <c r="I137" s="107"/>
      <c r="J137" s="108"/>
      <c r="K137" s="108"/>
      <c r="L137" s="93" t="s">
        <v>810</v>
      </c>
      <c r="M137" s="93" t="s">
        <v>823</v>
      </c>
      <c r="N137" s="93" t="e">
        <v>#N/A</v>
      </c>
      <c r="O137" s="95" t="e">
        <v>#N/A</v>
      </c>
      <c r="P137" s="137" t="s">
        <v>822</v>
      </c>
    </row>
    <row r="138" spans="1:16" x14ac:dyDescent="0.25">
      <c r="A138" s="95" t="s">
        <v>821</v>
      </c>
      <c r="C138" s="93" t="s">
        <v>477</v>
      </c>
      <c r="D138" s="95" t="str">
        <f t="shared" si="2"/>
        <v/>
      </c>
      <c r="E138" s="93" t="s">
        <v>432</v>
      </c>
      <c r="F138" s="93" t="s">
        <v>432</v>
      </c>
      <c r="H138" s="93" t="s">
        <v>410</v>
      </c>
      <c r="I138" s="107"/>
      <c r="J138" s="108"/>
      <c r="K138" s="108"/>
      <c r="L138" s="93" t="s">
        <v>810</v>
      </c>
      <c r="M138" s="93" t="s">
        <v>823</v>
      </c>
      <c r="N138" s="93" t="e">
        <v>#N/A</v>
      </c>
      <c r="O138" s="95" t="e">
        <v>#N/A</v>
      </c>
      <c r="P138" s="137" t="s">
        <v>822</v>
      </c>
    </row>
    <row r="139" spans="1:16" x14ac:dyDescent="0.25">
      <c r="A139" s="95" t="s">
        <v>821</v>
      </c>
      <c r="C139" s="93" t="s">
        <v>476</v>
      </c>
      <c r="D139" s="95" t="str">
        <f t="shared" si="2"/>
        <v/>
      </c>
      <c r="E139" s="93" t="s">
        <v>430</v>
      </c>
      <c r="F139" s="93" t="s">
        <v>430</v>
      </c>
      <c r="H139" s="93" t="s">
        <v>410</v>
      </c>
      <c r="I139" s="107"/>
      <c r="J139" s="108"/>
      <c r="K139" s="108"/>
      <c r="L139" s="93" t="s">
        <v>810</v>
      </c>
      <c r="M139" s="93" t="s">
        <v>823</v>
      </c>
      <c r="N139" s="93" t="e">
        <v>#N/A</v>
      </c>
      <c r="O139" s="95" t="e">
        <v>#N/A</v>
      </c>
      <c r="P139" s="137" t="s">
        <v>822</v>
      </c>
    </row>
    <row r="140" spans="1:16" x14ac:dyDescent="0.25">
      <c r="A140" s="95" t="s">
        <v>821</v>
      </c>
      <c r="C140" s="93" t="s">
        <v>480</v>
      </c>
      <c r="D140" s="95" t="str">
        <f t="shared" si="2"/>
        <v/>
      </c>
      <c r="E140" s="93" t="s">
        <v>453</v>
      </c>
      <c r="F140" s="93" t="s">
        <v>892</v>
      </c>
      <c r="H140" s="93" t="s">
        <v>410</v>
      </c>
      <c r="I140" s="107"/>
      <c r="J140" s="108"/>
      <c r="K140" s="108"/>
      <c r="L140" s="93" t="s">
        <v>810</v>
      </c>
      <c r="M140" s="93" t="s">
        <v>823</v>
      </c>
      <c r="N140" s="93" t="e">
        <v>#N/A</v>
      </c>
      <c r="O140" s="95" t="e">
        <v>#N/A</v>
      </c>
      <c r="P140" s="137" t="s">
        <v>822</v>
      </c>
    </row>
    <row r="141" spans="1:16" x14ac:dyDescent="0.25">
      <c r="A141" s="95" t="s">
        <v>821</v>
      </c>
      <c r="C141" s="93" t="s">
        <v>806</v>
      </c>
      <c r="D141" s="95" t="str">
        <f t="shared" si="2"/>
        <v/>
      </c>
      <c r="E141" s="93" t="s">
        <v>452</v>
      </c>
      <c r="F141" s="93" t="s">
        <v>452</v>
      </c>
      <c r="H141" s="93" t="s">
        <v>410</v>
      </c>
      <c r="I141" s="107"/>
      <c r="J141" s="108"/>
      <c r="K141" s="108"/>
      <c r="L141" s="93" t="s">
        <v>810</v>
      </c>
      <c r="M141" s="93" t="s">
        <v>823</v>
      </c>
      <c r="N141" s="93" t="e">
        <v>#N/A</v>
      </c>
      <c r="O141" s="95" t="e">
        <v>#N/A</v>
      </c>
      <c r="P141" s="137" t="s">
        <v>822</v>
      </c>
    </row>
    <row r="142" spans="1:16" x14ac:dyDescent="0.25">
      <c r="A142" s="95" t="s">
        <v>821</v>
      </c>
      <c r="C142" s="93" t="s">
        <v>803</v>
      </c>
      <c r="D142" s="95" t="str">
        <f t="shared" si="2"/>
        <v/>
      </c>
      <c r="E142" s="93" t="s">
        <v>433</v>
      </c>
      <c r="F142" s="93" t="s">
        <v>433</v>
      </c>
      <c r="H142" s="93" t="s">
        <v>410</v>
      </c>
      <c r="I142" s="107"/>
      <c r="J142" s="108"/>
      <c r="K142" s="108"/>
      <c r="L142" s="93" t="s">
        <v>810</v>
      </c>
      <c r="M142" s="93" t="s">
        <v>823</v>
      </c>
      <c r="N142" s="93" t="e">
        <v>#N/A</v>
      </c>
      <c r="O142" s="95" t="e">
        <v>#N/A</v>
      </c>
      <c r="P142" s="137" t="s">
        <v>822</v>
      </c>
    </row>
    <row r="143" spans="1:16" x14ac:dyDescent="0.25">
      <c r="A143" s="95" t="s">
        <v>821</v>
      </c>
      <c r="C143" s="93" t="s">
        <v>812</v>
      </c>
      <c r="D143" s="95" t="str">
        <f t="shared" si="2"/>
        <v/>
      </c>
      <c r="E143" s="93" t="s">
        <v>429</v>
      </c>
      <c r="F143" s="93" t="s">
        <v>429</v>
      </c>
      <c r="H143" s="93" t="s">
        <v>410</v>
      </c>
      <c r="I143" s="107"/>
      <c r="J143" s="108"/>
      <c r="K143" s="108"/>
      <c r="L143" s="93" t="s">
        <v>810</v>
      </c>
      <c r="M143" s="93" t="s">
        <v>823</v>
      </c>
      <c r="N143" s="93" t="e">
        <v>#N/A</v>
      </c>
      <c r="O143" s="95" t="e">
        <v>#N/A</v>
      </c>
      <c r="P143" s="137" t="s">
        <v>822</v>
      </c>
    </row>
    <row r="144" spans="1:16" x14ac:dyDescent="0.25">
      <c r="A144" s="95" t="s">
        <v>821</v>
      </c>
      <c r="D144" s="95" t="str">
        <f t="shared" si="2"/>
        <v/>
      </c>
      <c r="E144" s="93" t="s">
        <v>454</v>
      </c>
      <c r="F144" s="93" t="s">
        <v>893</v>
      </c>
      <c r="H144" s="93" t="s">
        <v>410</v>
      </c>
      <c r="I144" s="107"/>
      <c r="J144" s="108"/>
      <c r="K144" s="108"/>
      <c r="L144" s="93" t="s">
        <v>810</v>
      </c>
      <c r="M144" s="93" t="s">
        <v>823</v>
      </c>
      <c r="N144" s="93" t="e">
        <v>#N/A</v>
      </c>
      <c r="O144" s="95" t="e">
        <v>#N/A</v>
      </c>
      <c r="P144" s="137" t="s">
        <v>822</v>
      </c>
    </row>
    <row r="145" spans="1:16" x14ac:dyDescent="0.25">
      <c r="A145" s="95" t="s">
        <v>821</v>
      </c>
      <c r="C145" s="93" t="s">
        <v>811</v>
      </c>
      <c r="D145" s="95" t="str">
        <f t="shared" si="2"/>
        <v/>
      </c>
      <c r="E145" s="93" t="s">
        <v>446</v>
      </c>
      <c r="F145" s="93" t="s">
        <v>446</v>
      </c>
      <c r="H145" s="93" t="s">
        <v>410</v>
      </c>
      <c r="I145" s="107"/>
      <c r="J145" s="108"/>
      <c r="K145" s="108"/>
      <c r="L145" s="93" t="s">
        <v>810</v>
      </c>
      <c r="M145" s="93" t="s">
        <v>823</v>
      </c>
      <c r="N145" s="93" t="e">
        <v>#N/A</v>
      </c>
      <c r="O145" s="95" t="e">
        <v>#N/A</v>
      </c>
      <c r="P145" s="137" t="s">
        <v>822</v>
      </c>
    </row>
    <row r="146" spans="1:16" ht="37.5" x14ac:dyDescent="0.25">
      <c r="A146" s="95" t="s">
        <v>821</v>
      </c>
      <c r="D146" s="95" t="str">
        <f t="shared" si="2"/>
        <v/>
      </c>
      <c r="E146" s="93" t="s">
        <v>170</v>
      </c>
      <c r="F146" s="93" t="s">
        <v>894</v>
      </c>
      <c r="H146" s="93" t="s">
        <v>410</v>
      </c>
      <c r="I146" s="107"/>
      <c r="J146" s="108"/>
      <c r="K146" s="108"/>
      <c r="L146" s="93" t="s">
        <v>810</v>
      </c>
      <c r="M146" s="93" t="s">
        <v>823</v>
      </c>
      <c r="N146" s="93" t="e">
        <v>#N/A</v>
      </c>
      <c r="O146" s="95" t="e">
        <v>#N/A</v>
      </c>
      <c r="P146" s="137" t="s">
        <v>822</v>
      </c>
    </row>
    <row r="147" spans="1:16" x14ac:dyDescent="0.25">
      <c r="A147" s="95" t="s">
        <v>821</v>
      </c>
      <c r="D147" s="95" t="str">
        <f t="shared" si="2"/>
        <v/>
      </c>
      <c r="E147" s="93" t="s">
        <v>439</v>
      </c>
      <c r="F147" s="93" t="s">
        <v>895</v>
      </c>
      <c r="H147" s="93" t="s">
        <v>410</v>
      </c>
      <c r="I147" s="107"/>
      <c r="J147" s="108"/>
      <c r="K147" s="108"/>
      <c r="L147" s="93" t="s">
        <v>810</v>
      </c>
      <c r="M147" s="93" t="s">
        <v>823</v>
      </c>
      <c r="N147" s="93" t="e">
        <v>#N/A</v>
      </c>
      <c r="O147" s="95" t="e">
        <v>#N/A</v>
      </c>
      <c r="P147" s="137" t="s">
        <v>822</v>
      </c>
    </row>
    <row r="148" spans="1:16" x14ac:dyDescent="0.25">
      <c r="A148" s="95" t="s">
        <v>821</v>
      </c>
      <c r="D148" s="95" t="str">
        <f t="shared" si="2"/>
        <v/>
      </c>
      <c r="E148" s="93" t="s">
        <v>438</v>
      </c>
      <c r="F148" s="93" t="s">
        <v>896</v>
      </c>
      <c r="H148" s="93" t="s">
        <v>410</v>
      </c>
      <c r="I148" s="107"/>
      <c r="J148" s="108"/>
      <c r="K148" s="108"/>
      <c r="L148" s="93" t="s">
        <v>810</v>
      </c>
      <c r="M148" s="93" t="s">
        <v>823</v>
      </c>
      <c r="N148" s="93" t="e">
        <v>#N/A</v>
      </c>
      <c r="O148" s="95" t="e">
        <v>#N/A</v>
      </c>
      <c r="P148" s="137" t="s">
        <v>822</v>
      </c>
    </row>
    <row r="149" spans="1:16" x14ac:dyDescent="0.25">
      <c r="A149" s="95" t="s">
        <v>821</v>
      </c>
      <c r="D149" s="95" t="str">
        <f t="shared" si="2"/>
        <v/>
      </c>
      <c r="E149" s="93" t="s">
        <v>176</v>
      </c>
      <c r="F149" s="93" t="s">
        <v>897</v>
      </c>
      <c r="H149" s="93" t="s">
        <v>410</v>
      </c>
      <c r="I149" s="107"/>
      <c r="J149" s="108"/>
      <c r="K149" s="108"/>
      <c r="L149" s="93" t="s">
        <v>810</v>
      </c>
      <c r="M149" s="93" t="s">
        <v>823</v>
      </c>
      <c r="N149" s="93" t="e">
        <v>#N/A</v>
      </c>
      <c r="O149" s="95" t="e">
        <v>#N/A</v>
      </c>
      <c r="P149" s="137" t="s">
        <v>822</v>
      </c>
    </row>
    <row r="150" spans="1:16" x14ac:dyDescent="0.25">
      <c r="A150" s="95" t="s">
        <v>821</v>
      </c>
      <c r="D150" s="95" t="str">
        <f t="shared" si="2"/>
        <v/>
      </c>
      <c r="E150" s="93" t="s">
        <v>178</v>
      </c>
      <c r="F150" s="93" t="s">
        <v>865</v>
      </c>
      <c r="H150" s="93" t="s">
        <v>410</v>
      </c>
      <c r="I150" s="107"/>
      <c r="J150" s="108"/>
      <c r="K150" s="108"/>
      <c r="L150" s="93" t="s">
        <v>810</v>
      </c>
      <c r="M150" s="93" t="s">
        <v>823</v>
      </c>
      <c r="N150" s="93" t="e">
        <v>#N/A</v>
      </c>
      <c r="O150" s="95" t="e">
        <v>#N/A</v>
      </c>
      <c r="P150" s="137" t="s">
        <v>822</v>
      </c>
    </row>
    <row r="151" spans="1:16" x14ac:dyDescent="0.25">
      <c r="A151" s="95" t="s">
        <v>821</v>
      </c>
      <c r="C151" s="93" t="s">
        <v>802</v>
      </c>
      <c r="D151" s="95" t="str">
        <f t="shared" si="2"/>
        <v/>
      </c>
      <c r="E151" s="93" t="s">
        <v>774</v>
      </c>
      <c r="F151" s="93" t="s">
        <v>774</v>
      </c>
      <c r="H151" s="93" t="s">
        <v>410</v>
      </c>
      <c r="I151" s="107"/>
      <c r="J151" s="108"/>
      <c r="K151" s="108"/>
      <c r="L151" s="93" t="s">
        <v>810</v>
      </c>
      <c r="M151" s="93" t="s">
        <v>823</v>
      </c>
      <c r="N151" s="93" t="e">
        <v>#N/A</v>
      </c>
      <c r="O151" s="95" t="e">
        <v>#N/A</v>
      </c>
      <c r="P151" s="137" t="s">
        <v>822</v>
      </c>
    </row>
    <row r="152" spans="1:16" x14ac:dyDescent="0.25">
      <c r="A152" s="95" t="s">
        <v>821</v>
      </c>
      <c r="C152" s="93" t="s">
        <v>776</v>
      </c>
      <c r="D152" s="95" t="str">
        <f t="shared" si="2"/>
        <v/>
      </c>
      <c r="E152" s="93" t="s">
        <v>775</v>
      </c>
      <c r="F152" s="93" t="s">
        <v>898</v>
      </c>
      <c r="H152" s="93" t="s">
        <v>410</v>
      </c>
      <c r="I152" s="107"/>
      <c r="J152" s="108"/>
      <c r="K152" s="108"/>
      <c r="L152" s="93" t="s">
        <v>810</v>
      </c>
      <c r="M152" s="93" t="s">
        <v>823</v>
      </c>
      <c r="N152" s="93" t="e">
        <v>#N/A</v>
      </c>
      <c r="O152" s="95" t="e">
        <v>#N/A</v>
      </c>
      <c r="P152" s="137" t="s">
        <v>822</v>
      </c>
    </row>
    <row r="153" spans="1:16" x14ac:dyDescent="0.25">
      <c r="A153" s="95" t="s">
        <v>821</v>
      </c>
      <c r="D153" s="95" t="str">
        <f t="shared" si="2"/>
        <v/>
      </c>
      <c r="E153" s="93" t="s">
        <v>421</v>
      </c>
      <c r="F153" s="93" t="s">
        <v>421</v>
      </c>
      <c r="H153" s="93" t="s">
        <v>410</v>
      </c>
      <c r="I153" s="107"/>
      <c r="J153" s="108"/>
      <c r="K153" s="108"/>
      <c r="L153" s="93" t="s">
        <v>810</v>
      </c>
      <c r="M153" s="93" t="s">
        <v>823</v>
      </c>
      <c r="N153" s="93" t="e">
        <v>#N/A</v>
      </c>
      <c r="O153" s="95" t="e">
        <v>#N/A</v>
      </c>
      <c r="P153" s="137" t="s">
        <v>822</v>
      </c>
    </row>
    <row r="154" spans="1:16" x14ac:dyDescent="0.25">
      <c r="A154" s="95" t="s">
        <v>821</v>
      </c>
      <c r="D154" s="95" t="str">
        <f t="shared" si="2"/>
        <v/>
      </c>
      <c r="E154" s="93" t="s">
        <v>422</v>
      </c>
      <c r="F154" s="93" t="s">
        <v>899</v>
      </c>
      <c r="H154" s="93" t="s">
        <v>410</v>
      </c>
      <c r="I154" s="107"/>
      <c r="J154" s="108"/>
      <c r="K154" s="108"/>
      <c r="L154" s="93" t="s">
        <v>810</v>
      </c>
      <c r="M154" s="93" t="s">
        <v>823</v>
      </c>
      <c r="N154" s="93" t="e">
        <v>#N/A</v>
      </c>
      <c r="O154" s="95" t="e">
        <v>#N/A</v>
      </c>
      <c r="P154" s="137" t="s">
        <v>822</v>
      </c>
    </row>
    <row r="155" spans="1:16" x14ac:dyDescent="0.25">
      <c r="A155" s="95" t="s">
        <v>821</v>
      </c>
      <c r="D155" s="95" t="str">
        <f t="shared" si="2"/>
        <v/>
      </c>
      <c r="E155" s="93" t="s">
        <v>138</v>
      </c>
      <c r="F155" s="93" t="s">
        <v>138</v>
      </c>
      <c r="H155" s="93" t="s">
        <v>410</v>
      </c>
      <c r="I155" s="107"/>
      <c r="J155" s="108"/>
      <c r="K155" s="108"/>
      <c r="L155" s="93" t="s">
        <v>810</v>
      </c>
      <c r="M155" s="93" t="s">
        <v>823</v>
      </c>
      <c r="N155" s="93" t="e">
        <v>#N/A</v>
      </c>
      <c r="O155" s="95" t="e">
        <v>#N/A</v>
      </c>
      <c r="P155" s="137" t="s">
        <v>822</v>
      </c>
    </row>
    <row r="156" spans="1:16" x14ac:dyDescent="0.25">
      <c r="A156" s="95" t="s">
        <v>821</v>
      </c>
      <c r="D156" s="95" t="str">
        <f t="shared" si="2"/>
        <v/>
      </c>
      <c r="E156" s="93" t="s">
        <v>469</v>
      </c>
      <c r="F156" s="93" t="s">
        <v>469</v>
      </c>
      <c r="H156" s="93" t="s">
        <v>410</v>
      </c>
      <c r="I156" s="107"/>
      <c r="J156" s="108"/>
      <c r="K156" s="108"/>
      <c r="L156" s="93" t="s">
        <v>810</v>
      </c>
      <c r="M156" s="93" t="s">
        <v>823</v>
      </c>
      <c r="N156" s="93" t="e">
        <v>#N/A</v>
      </c>
      <c r="O156" s="95" t="e">
        <v>#N/A</v>
      </c>
      <c r="P156" s="137" t="s">
        <v>822</v>
      </c>
    </row>
    <row r="157" spans="1:16" x14ac:dyDescent="0.25">
      <c r="A157" s="95" t="s">
        <v>821</v>
      </c>
      <c r="D157" s="95" t="str">
        <f t="shared" si="2"/>
        <v/>
      </c>
      <c r="E157" s="93" t="s">
        <v>599</v>
      </c>
      <c r="F157" s="93" t="s">
        <v>900</v>
      </c>
      <c r="H157" s="93" t="s">
        <v>410</v>
      </c>
      <c r="I157" s="107"/>
      <c r="J157" s="108"/>
      <c r="K157" s="108"/>
      <c r="L157" s="93" t="s">
        <v>810</v>
      </c>
      <c r="M157" s="93" t="s">
        <v>823</v>
      </c>
      <c r="N157" s="93" t="e">
        <v>#N/A</v>
      </c>
      <c r="O157" s="95" t="e">
        <v>#N/A</v>
      </c>
      <c r="P157" s="137" t="s">
        <v>822</v>
      </c>
    </row>
    <row r="158" spans="1:16" x14ac:dyDescent="0.25">
      <c r="A158" s="95" t="s">
        <v>821</v>
      </c>
      <c r="C158" s="93" t="s">
        <v>735</v>
      </c>
      <c r="D158" s="95" t="str">
        <f t="shared" si="2"/>
        <v/>
      </c>
      <c r="E158" s="93" t="s">
        <v>600</v>
      </c>
      <c r="F158" s="93" t="s">
        <v>600</v>
      </c>
      <c r="H158" s="93" t="s">
        <v>410</v>
      </c>
      <c r="I158" s="107"/>
      <c r="J158" s="108"/>
      <c r="K158" s="108"/>
      <c r="L158" s="93" t="s">
        <v>810</v>
      </c>
      <c r="M158" s="93" t="s">
        <v>823</v>
      </c>
      <c r="N158" s="93" t="e">
        <v>#N/A</v>
      </c>
      <c r="O158" s="95" t="e">
        <v>#N/A</v>
      </c>
      <c r="P158" s="137" t="s">
        <v>822</v>
      </c>
    </row>
    <row r="159" spans="1:16" x14ac:dyDescent="0.25">
      <c r="A159" s="95" t="s">
        <v>821</v>
      </c>
      <c r="C159" s="93" t="s">
        <v>735</v>
      </c>
      <c r="D159" s="95" t="str">
        <f t="shared" si="2"/>
        <v/>
      </c>
      <c r="E159" s="93" t="s">
        <v>733</v>
      </c>
      <c r="F159" s="93" t="s">
        <v>901</v>
      </c>
      <c r="H159" s="93" t="s">
        <v>410</v>
      </c>
      <c r="I159" s="107"/>
      <c r="J159" s="108"/>
      <c r="K159" s="108"/>
      <c r="L159" s="93" t="s">
        <v>810</v>
      </c>
      <c r="M159" s="93" t="s">
        <v>823</v>
      </c>
      <c r="N159" s="93" t="e">
        <v>#N/A</v>
      </c>
      <c r="O159" s="95" t="e">
        <v>#N/A</v>
      </c>
      <c r="P159" s="137" t="s">
        <v>822</v>
      </c>
    </row>
    <row r="160" spans="1:16" x14ac:dyDescent="0.25">
      <c r="A160" s="95" t="s">
        <v>821</v>
      </c>
      <c r="D160" s="95" t="str">
        <f t="shared" si="2"/>
        <v/>
      </c>
      <c r="E160" s="93" t="s">
        <v>607</v>
      </c>
      <c r="F160" s="93" t="s">
        <v>902</v>
      </c>
      <c r="H160" s="93" t="s">
        <v>410</v>
      </c>
      <c r="I160" s="107"/>
      <c r="J160" s="108"/>
      <c r="K160" s="108"/>
      <c r="L160" s="93" t="s">
        <v>810</v>
      </c>
      <c r="M160" s="93" t="s">
        <v>823</v>
      </c>
      <c r="N160" s="93" t="e">
        <v>#N/A</v>
      </c>
      <c r="O160" s="95" t="e">
        <v>#N/A</v>
      </c>
      <c r="P160" s="137" t="s">
        <v>822</v>
      </c>
    </row>
    <row r="161" spans="1:16" x14ac:dyDescent="0.25">
      <c r="A161" s="95" t="s">
        <v>821</v>
      </c>
      <c r="D161" s="95" t="str">
        <f t="shared" si="2"/>
        <v/>
      </c>
      <c r="E161" s="93" t="s">
        <v>641</v>
      </c>
      <c r="F161" s="93" t="s">
        <v>903</v>
      </c>
      <c r="H161" s="93" t="s">
        <v>410</v>
      </c>
      <c r="I161" s="107"/>
      <c r="J161" s="108"/>
      <c r="K161" s="108"/>
      <c r="L161" s="93" t="s">
        <v>810</v>
      </c>
      <c r="M161" s="93" t="s">
        <v>823</v>
      </c>
      <c r="N161" s="93" t="e">
        <v>#N/A</v>
      </c>
      <c r="O161" s="95" t="e">
        <v>#N/A</v>
      </c>
      <c r="P161" s="137" t="s">
        <v>822</v>
      </c>
    </row>
    <row r="162" spans="1:16" x14ac:dyDescent="0.25">
      <c r="A162" s="95" t="s">
        <v>821</v>
      </c>
      <c r="C162" s="93" t="s">
        <v>813</v>
      </c>
      <c r="D162" s="95" t="str">
        <f t="shared" si="2"/>
        <v/>
      </c>
      <c r="E162" s="93" t="s">
        <v>725</v>
      </c>
      <c r="F162" s="93" t="s">
        <v>725</v>
      </c>
      <c r="H162" s="93" t="s">
        <v>410</v>
      </c>
      <c r="I162" s="107"/>
      <c r="J162" s="108"/>
      <c r="K162" s="108"/>
      <c r="L162" s="93" t="s">
        <v>810</v>
      </c>
      <c r="M162" s="93" t="s">
        <v>823</v>
      </c>
      <c r="N162" s="93" t="e">
        <v>#N/A</v>
      </c>
      <c r="O162" s="95" t="e">
        <v>#N/A</v>
      </c>
      <c r="P162" s="137" t="s">
        <v>822</v>
      </c>
    </row>
    <row r="163" spans="1:16" x14ac:dyDescent="0.25">
      <c r="A163" s="95" t="s">
        <v>821</v>
      </c>
      <c r="C163" s="93" t="s">
        <v>807</v>
      </c>
      <c r="D163" s="95" t="str">
        <f t="shared" si="2"/>
        <v/>
      </c>
      <c r="E163" s="93" t="s">
        <v>726</v>
      </c>
      <c r="F163" s="93" t="s">
        <v>726</v>
      </c>
      <c r="H163" s="93" t="s">
        <v>410</v>
      </c>
      <c r="I163" s="107"/>
      <c r="J163" s="108"/>
      <c r="K163" s="108"/>
      <c r="L163" s="93" t="s">
        <v>810</v>
      </c>
      <c r="M163" s="93" t="s">
        <v>823</v>
      </c>
      <c r="N163" s="93" t="e">
        <v>#N/A</v>
      </c>
      <c r="O163" s="95" t="e">
        <v>#N/A</v>
      </c>
      <c r="P163" s="137" t="s">
        <v>822</v>
      </c>
    </row>
    <row r="164" spans="1:16" x14ac:dyDescent="0.25">
      <c r="A164" s="95" t="s">
        <v>821</v>
      </c>
      <c r="C164" s="93" t="s">
        <v>48</v>
      </c>
      <c r="D164" s="95" t="str">
        <f t="shared" si="2"/>
        <v/>
      </c>
      <c r="E164" s="93" t="s">
        <v>49</v>
      </c>
      <c r="F164" s="93" t="s">
        <v>904</v>
      </c>
      <c r="H164" s="93" t="s">
        <v>157</v>
      </c>
      <c r="I164" s="107"/>
      <c r="J164" s="108"/>
      <c r="K164" s="108"/>
      <c r="L164" s="93" t="s">
        <v>810</v>
      </c>
      <c r="M164" s="106">
        <v>168</v>
      </c>
      <c r="N164" s="106" t="s">
        <v>739</v>
      </c>
      <c r="O164" s="95" t="s">
        <v>746</v>
      </c>
      <c r="P164" s="137" t="s">
        <v>1049</v>
      </c>
    </row>
    <row r="165" spans="1:16" x14ac:dyDescent="0.25">
      <c r="A165" s="95" t="s">
        <v>821</v>
      </c>
      <c r="C165" s="93" t="s">
        <v>799</v>
      </c>
      <c r="D165" s="95" t="str">
        <f t="shared" si="2"/>
        <v/>
      </c>
      <c r="F165" s="93" t="s">
        <v>902</v>
      </c>
      <c r="H165" s="93" t="s">
        <v>410</v>
      </c>
      <c r="I165" s="107"/>
      <c r="J165" s="108"/>
      <c r="K165" s="108"/>
      <c r="L165" s="93" t="s">
        <v>810</v>
      </c>
      <c r="M165" s="106">
        <v>120</v>
      </c>
      <c r="N165" s="106" t="s">
        <v>739</v>
      </c>
      <c r="O165" s="95" t="s">
        <v>784</v>
      </c>
      <c r="P165" s="137" t="s">
        <v>1050</v>
      </c>
    </row>
    <row r="166" spans="1:16" x14ac:dyDescent="0.25">
      <c r="A166" s="95" t="s">
        <v>821</v>
      </c>
      <c r="C166" s="93" t="s">
        <v>85</v>
      </c>
      <c r="D166" s="95" t="str">
        <f t="shared" si="2"/>
        <v/>
      </c>
      <c r="E166" s="93" t="s">
        <v>86</v>
      </c>
      <c r="F166" s="93" t="s">
        <v>905</v>
      </c>
      <c r="H166" s="93" t="s">
        <v>157</v>
      </c>
      <c r="I166" s="107"/>
      <c r="J166" s="108"/>
      <c r="K166" s="108"/>
      <c r="L166" s="93" t="s">
        <v>810</v>
      </c>
      <c r="M166" s="106">
        <v>63</v>
      </c>
      <c r="N166" s="106" t="s">
        <v>739</v>
      </c>
      <c r="O166" s="95" t="s">
        <v>746</v>
      </c>
      <c r="P166" s="137" t="s">
        <v>1049</v>
      </c>
    </row>
    <row r="167" spans="1:16" x14ac:dyDescent="0.25">
      <c r="A167" s="95" t="s">
        <v>821</v>
      </c>
      <c r="D167" s="95" t="str">
        <f t="shared" si="2"/>
        <v/>
      </c>
      <c r="E167" s="93" t="s">
        <v>133</v>
      </c>
      <c r="F167" s="93" t="s">
        <v>906</v>
      </c>
      <c r="H167" s="93" t="s">
        <v>410</v>
      </c>
      <c r="I167" s="107"/>
      <c r="J167" s="108"/>
      <c r="K167" s="108"/>
      <c r="L167" s="93" t="s">
        <v>810</v>
      </c>
      <c r="M167" s="93" t="s">
        <v>823</v>
      </c>
      <c r="N167" s="93" t="e">
        <v>#N/A</v>
      </c>
      <c r="O167" s="95" t="e">
        <v>#N/A</v>
      </c>
      <c r="P167" s="137" t="s">
        <v>822</v>
      </c>
    </row>
    <row r="168" spans="1:16" x14ac:dyDescent="0.25">
      <c r="A168" s="95" t="s">
        <v>821</v>
      </c>
      <c r="C168" s="93" t="s">
        <v>780</v>
      </c>
      <c r="D168" s="95" t="str">
        <f t="shared" si="2"/>
        <v/>
      </c>
      <c r="E168" s="93" t="s">
        <v>647</v>
      </c>
      <c r="F168" s="93" t="s">
        <v>907</v>
      </c>
      <c r="H168" s="93" t="s">
        <v>410</v>
      </c>
      <c r="I168" s="107"/>
      <c r="J168" s="108"/>
      <c r="K168" s="108"/>
      <c r="L168" s="93" t="s">
        <v>810</v>
      </c>
      <c r="M168" s="93" t="s">
        <v>823</v>
      </c>
      <c r="N168" s="93" t="e">
        <v>#N/A</v>
      </c>
      <c r="O168" s="95" t="e">
        <v>#N/A</v>
      </c>
      <c r="P168" s="137" t="s">
        <v>822</v>
      </c>
    </row>
    <row r="169" spans="1:16" ht="37.5" x14ac:dyDescent="0.25">
      <c r="A169" s="95" t="s">
        <v>821</v>
      </c>
      <c r="D169" s="95" t="str">
        <f t="shared" si="2"/>
        <v/>
      </c>
      <c r="E169" s="93" t="s">
        <v>650</v>
      </c>
      <c r="F169" s="93" t="s">
        <v>908</v>
      </c>
      <c r="H169" s="93" t="s">
        <v>410</v>
      </c>
      <c r="I169" s="107"/>
      <c r="J169" s="108"/>
      <c r="K169" s="108"/>
      <c r="L169" s="93" t="s">
        <v>810</v>
      </c>
      <c r="M169" s="93" t="s">
        <v>823</v>
      </c>
      <c r="N169" s="93" t="e">
        <v>#N/A</v>
      </c>
      <c r="O169" s="95" t="e">
        <v>#N/A</v>
      </c>
      <c r="P169" s="137" t="s">
        <v>822</v>
      </c>
    </row>
    <row r="170" spans="1:16" x14ac:dyDescent="0.25">
      <c r="A170" s="95" t="s">
        <v>821</v>
      </c>
      <c r="D170" s="95" t="str">
        <f t="shared" si="2"/>
        <v/>
      </c>
      <c r="E170" s="93" t="s">
        <v>675</v>
      </c>
      <c r="F170" s="93" t="s">
        <v>909</v>
      </c>
      <c r="H170" s="93" t="s">
        <v>410</v>
      </c>
      <c r="I170" s="107"/>
      <c r="J170" s="108"/>
      <c r="K170" s="108"/>
      <c r="L170" s="93" t="s">
        <v>810</v>
      </c>
      <c r="M170" s="93" t="s">
        <v>823</v>
      </c>
      <c r="N170" s="93" t="e">
        <v>#N/A</v>
      </c>
      <c r="O170" s="95" t="e">
        <v>#N/A</v>
      </c>
      <c r="P170" s="137" t="s">
        <v>822</v>
      </c>
    </row>
    <row r="171" spans="1:16" x14ac:dyDescent="0.25">
      <c r="A171" s="95" t="s">
        <v>821</v>
      </c>
      <c r="D171" s="95" t="str">
        <f t="shared" si="2"/>
        <v/>
      </c>
      <c r="E171" s="93" t="s">
        <v>678</v>
      </c>
      <c r="F171" s="93" t="s">
        <v>681</v>
      </c>
      <c r="H171" s="93" t="s">
        <v>410</v>
      </c>
      <c r="I171" s="107"/>
      <c r="J171" s="108"/>
      <c r="K171" s="108"/>
      <c r="L171" s="93" t="s">
        <v>810</v>
      </c>
      <c r="M171" s="93" t="s">
        <v>823</v>
      </c>
      <c r="N171" s="93" t="e">
        <v>#N/A</v>
      </c>
      <c r="O171" s="95" t="e">
        <v>#N/A</v>
      </c>
      <c r="P171" s="137" t="s">
        <v>822</v>
      </c>
    </row>
    <row r="172" spans="1:16" x14ac:dyDescent="0.25">
      <c r="A172" s="95" t="s">
        <v>821</v>
      </c>
      <c r="D172" s="95" t="str">
        <f t="shared" si="2"/>
        <v/>
      </c>
      <c r="E172" s="93" t="s">
        <v>679</v>
      </c>
      <c r="F172" s="93" t="s">
        <v>669</v>
      </c>
      <c r="H172" s="93" t="s">
        <v>410</v>
      </c>
      <c r="I172" s="107"/>
      <c r="J172" s="108"/>
      <c r="K172" s="108"/>
      <c r="L172" s="93" t="s">
        <v>810</v>
      </c>
      <c r="M172" s="93" t="s">
        <v>823</v>
      </c>
      <c r="N172" s="93" t="e">
        <v>#N/A</v>
      </c>
      <c r="O172" s="95" t="e">
        <v>#N/A</v>
      </c>
      <c r="P172" s="137" t="s">
        <v>822</v>
      </c>
    </row>
    <row r="173" spans="1:16" ht="18" customHeight="1" x14ac:dyDescent="0.25">
      <c r="A173" s="95" t="s">
        <v>821</v>
      </c>
      <c r="D173" s="95" t="str">
        <f t="shared" si="2"/>
        <v/>
      </c>
      <c r="E173" s="93" t="s">
        <v>681</v>
      </c>
      <c r="F173" s="93" t="s">
        <v>839</v>
      </c>
      <c r="H173" s="93" t="s">
        <v>410</v>
      </c>
      <c r="I173" s="107"/>
      <c r="J173" s="108"/>
      <c r="K173" s="108"/>
      <c r="L173" s="93" t="s">
        <v>810</v>
      </c>
      <c r="M173" s="93" t="s">
        <v>823</v>
      </c>
      <c r="N173" s="93" t="e">
        <v>#N/A</v>
      </c>
      <c r="O173" s="95" t="e">
        <v>#N/A</v>
      </c>
      <c r="P173" s="137" t="s">
        <v>822</v>
      </c>
    </row>
    <row r="174" spans="1:16" s="100" customFormat="1" ht="38.25" thickBot="1" x14ac:dyDescent="0.3">
      <c r="A174" s="98"/>
      <c r="B174" s="99"/>
      <c r="C174" s="99"/>
      <c r="D174" s="98" t="str">
        <f t="shared" si="2"/>
        <v/>
      </c>
      <c r="E174" s="99" t="s">
        <v>169</v>
      </c>
      <c r="F174" s="99" t="s">
        <v>849</v>
      </c>
      <c r="G174" s="99"/>
      <c r="H174" s="99" t="s">
        <v>157</v>
      </c>
      <c r="I174" s="109"/>
      <c r="J174" s="110"/>
      <c r="K174" s="111"/>
      <c r="L174" s="99" t="s">
        <v>810</v>
      </c>
      <c r="M174" s="99" t="s">
        <v>822</v>
      </c>
      <c r="N174" s="99" t="s">
        <v>822</v>
      </c>
      <c r="O174" s="99" t="s">
        <v>822</v>
      </c>
      <c r="P174" s="137" t="s">
        <v>822</v>
      </c>
    </row>
    <row r="175" spans="1:16" x14ac:dyDescent="0.25">
      <c r="A175" s="95" t="s">
        <v>398</v>
      </c>
      <c r="C175" s="93" t="s">
        <v>337</v>
      </c>
      <c r="D175" s="95" t="str">
        <f t="shared" si="2"/>
        <v/>
      </c>
      <c r="E175" s="93" t="s">
        <v>59</v>
      </c>
      <c r="F175" s="93" t="s">
        <v>866</v>
      </c>
      <c r="H175" s="93" t="s">
        <v>158</v>
      </c>
      <c r="I175" s="95" t="s">
        <v>7</v>
      </c>
      <c r="J175" s="105">
        <v>46087</v>
      </c>
      <c r="K175" s="108"/>
      <c r="L175" s="93" t="s">
        <v>810</v>
      </c>
      <c r="M175" s="108" t="s">
        <v>822</v>
      </c>
      <c r="N175" s="108" t="s">
        <v>822</v>
      </c>
      <c r="O175" s="108" t="s">
        <v>822</v>
      </c>
      <c r="P175" s="137" t="s">
        <v>822</v>
      </c>
    </row>
    <row r="176" spans="1:16" x14ac:dyDescent="0.25">
      <c r="A176" s="95" t="s">
        <v>398</v>
      </c>
      <c r="C176" s="93" t="s">
        <v>338</v>
      </c>
      <c r="D176" s="95" t="str">
        <f t="shared" si="2"/>
        <v/>
      </c>
      <c r="E176" s="93" t="s">
        <v>70</v>
      </c>
      <c r="F176" s="93" t="s">
        <v>840</v>
      </c>
      <c r="H176" s="93" t="s">
        <v>157</v>
      </c>
      <c r="I176" s="95" t="s">
        <v>7</v>
      </c>
      <c r="J176" s="105">
        <v>46077</v>
      </c>
      <c r="K176" s="108"/>
      <c r="L176" s="93" t="s">
        <v>810</v>
      </c>
      <c r="M176" s="108" t="s">
        <v>822</v>
      </c>
      <c r="N176" s="108" t="s">
        <v>822</v>
      </c>
      <c r="O176" s="108" t="s">
        <v>822</v>
      </c>
      <c r="P176" s="137" t="s">
        <v>822</v>
      </c>
    </row>
    <row r="177" spans="1:16" x14ac:dyDescent="0.25">
      <c r="A177" s="95" t="s">
        <v>398</v>
      </c>
      <c r="C177" s="93" t="s">
        <v>339</v>
      </c>
      <c r="D177" s="95" t="str">
        <f t="shared" si="2"/>
        <v/>
      </c>
      <c r="E177" s="93" t="s">
        <v>366</v>
      </c>
      <c r="F177" s="93" t="s">
        <v>400</v>
      </c>
      <c r="H177" s="93" t="s">
        <v>157</v>
      </c>
      <c r="I177" s="95" t="s">
        <v>7</v>
      </c>
      <c r="J177" s="105">
        <v>46041</v>
      </c>
      <c r="K177" s="108"/>
      <c r="L177" s="93" t="s">
        <v>810</v>
      </c>
      <c r="M177" s="108" t="s">
        <v>822</v>
      </c>
      <c r="N177" s="108" t="s">
        <v>822</v>
      </c>
      <c r="O177" s="108" t="s">
        <v>822</v>
      </c>
      <c r="P177" s="137" t="s">
        <v>822</v>
      </c>
    </row>
    <row r="178" spans="1:16" x14ac:dyDescent="0.25">
      <c r="A178" s="95" t="s">
        <v>398</v>
      </c>
      <c r="C178" s="93" t="s">
        <v>340</v>
      </c>
      <c r="D178" s="95" t="str">
        <f t="shared" si="2"/>
        <v/>
      </c>
      <c r="E178" s="93" t="s">
        <v>367</v>
      </c>
      <c r="F178" s="93" t="s">
        <v>835</v>
      </c>
      <c r="H178" s="93" t="s">
        <v>158</v>
      </c>
      <c r="I178" s="95" t="s">
        <v>7</v>
      </c>
      <c r="J178" s="105">
        <v>46070</v>
      </c>
      <c r="K178" s="108"/>
      <c r="L178" s="93" t="s">
        <v>810</v>
      </c>
      <c r="M178" s="108" t="s">
        <v>822</v>
      </c>
      <c r="N178" s="108" t="s">
        <v>822</v>
      </c>
      <c r="O178" s="108" t="s">
        <v>822</v>
      </c>
      <c r="P178" s="137" t="s">
        <v>822</v>
      </c>
    </row>
    <row r="179" spans="1:16" x14ac:dyDescent="0.25">
      <c r="A179" s="95" t="s">
        <v>398</v>
      </c>
      <c r="C179" s="93" t="s">
        <v>341</v>
      </c>
      <c r="D179" s="95" t="str">
        <f t="shared" si="2"/>
        <v>Pre-Delivery</v>
      </c>
      <c r="E179" s="93" t="s">
        <v>368</v>
      </c>
      <c r="F179" s="93" t="s">
        <v>858</v>
      </c>
      <c r="H179" s="93" t="s">
        <v>158</v>
      </c>
      <c r="I179" s="95" t="s">
        <v>8</v>
      </c>
      <c r="J179" s="105">
        <v>46059</v>
      </c>
      <c r="K179" s="108"/>
      <c r="L179" s="93" t="s">
        <v>810</v>
      </c>
      <c r="M179" s="108" t="s">
        <v>822</v>
      </c>
      <c r="N179" s="108" t="s">
        <v>822</v>
      </c>
      <c r="O179" s="108" t="s">
        <v>822</v>
      </c>
      <c r="P179" s="137" t="s">
        <v>822</v>
      </c>
    </row>
    <row r="180" spans="1:16" x14ac:dyDescent="0.25">
      <c r="A180" s="95" t="s">
        <v>398</v>
      </c>
      <c r="C180" s="93" t="s">
        <v>342</v>
      </c>
      <c r="D180" s="95" t="str">
        <f t="shared" si="2"/>
        <v/>
      </c>
      <c r="E180" s="93" t="s">
        <v>369</v>
      </c>
      <c r="F180" s="93" t="s">
        <v>833</v>
      </c>
      <c r="H180" s="93" t="s">
        <v>157</v>
      </c>
      <c r="I180" s="95" t="s">
        <v>7</v>
      </c>
      <c r="J180" s="105">
        <v>46043</v>
      </c>
      <c r="K180" s="108"/>
      <c r="L180" s="93" t="s">
        <v>810</v>
      </c>
      <c r="M180" s="108" t="s">
        <v>822</v>
      </c>
      <c r="N180" s="108" t="s">
        <v>822</v>
      </c>
      <c r="O180" s="108" t="s">
        <v>822</v>
      </c>
      <c r="P180" s="137" t="s">
        <v>822</v>
      </c>
    </row>
    <row r="181" spans="1:16" x14ac:dyDescent="0.25">
      <c r="A181" s="95" t="s">
        <v>398</v>
      </c>
      <c r="C181" s="93" t="s">
        <v>343</v>
      </c>
      <c r="D181" s="95" t="str">
        <f t="shared" si="2"/>
        <v/>
      </c>
      <c r="E181" s="93" t="s">
        <v>370</v>
      </c>
      <c r="F181" s="93" t="s">
        <v>833</v>
      </c>
      <c r="H181" s="93" t="s">
        <v>157</v>
      </c>
      <c r="I181" s="95" t="s">
        <v>7</v>
      </c>
      <c r="J181" s="105">
        <v>46036</v>
      </c>
      <c r="K181" s="108"/>
      <c r="L181" s="93" t="s">
        <v>810</v>
      </c>
      <c r="M181" s="108" t="s">
        <v>822</v>
      </c>
      <c r="N181" s="108" t="s">
        <v>822</v>
      </c>
      <c r="O181" s="108" t="s">
        <v>822</v>
      </c>
      <c r="P181" s="137" t="s">
        <v>822</v>
      </c>
    </row>
    <row r="182" spans="1:16" x14ac:dyDescent="0.25">
      <c r="A182" s="95" t="s">
        <v>398</v>
      </c>
      <c r="C182" s="93" t="s">
        <v>344</v>
      </c>
      <c r="D182" s="95" t="str">
        <f t="shared" si="2"/>
        <v>Pre-Delivery</v>
      </c>
      <c r="E182" s="93" t="s">
        <v>371</v>
      </c>
      <c r="F182" s="93" t="s">
        <v>844</v>
      </c>
      <c r="H182" s="93" t="s">
        <v>163</v>
      </c>
      <c r="I182" s="95" t="s">
        <v>7</v>
      </c>
      <c r="J182" s="105">
        <v>46045</v>
      </c>
      <c r="K182" s="108"/>
      <c r="L182" s="93" t="s">
        <v>810</v>
      </c>
      <c r="M182" s="108" t="s">
        <v>822</v>
      </c>
      <c r="N182" s="108" t="s">
        <v>822</v>
      </c>
      <c r="O182" s="108" t="s">
        <v>822</v>
      </c>
      <c r="P182" s="137" t="s">
        <v>822</v>
      </c>
    </row>
    <row r="183" spans="1:16" x14ac:dyDescent="0.25">
      <c r="A183" s="95" t="s">
        <v>398</v>
      </c>
      <c r="C183" s="93" t="s">
        <v>345</v>
      </c>
      <c r="D183" s="95" t="str">
        <f t="shared" si="2"/>
        <v>Pre-Delivery</v>
      </c>
      <c r="E183" s="93" t="s">
        <v>372</v>
      </c>
      <c r="F183" s="93" t="s">
        <v>841</v>
      </c>
      <c r="H183" s="93" t="s">
        <v>163</v>
      </c>
      <c r="I183" s="95" t="s">
        <v>8</v>
      </c>
      <c r="J183" s="105">
        <v>46083</v>
      </c>
      <c r="K183" s="108"/>
      <c r="L183" s="93" t="s">
        <v>810</v>
      </c>
      <c r="M183" s="108" t="s">
        <v>822</v>
      </c>
      <c r="N183" s="108" t="s">
        <v>822</v>
      </c>
      <c r="O183" s="108" t="s">
        <v>822</v>
      </c>
      <c r="P183" s="137" t="s">
        <v>822</v>
      </c>
    </row>
    <row r="184" spans="1:16" x14ac:dyDescent="0.25">
      <c r="A184" s="95" t="s">
        <v>398</v>
      </c>
      <c r="C184" s="93" t="s">
        <v>346</v>
      </c>
      <c r="D184" s="95" t="str">
        <f t="shared" si="2"/>
        <v/>
      </c>
      <c r="E184" s="93" t="s">
        <v>74</v>
      </c>
      <c r="F184" s="93" t="s">
        <v>851</v>
      </c>
      <c r="H184" s="93" t="s">
        <v>158</v>
      </c>
      <c r="I184" s="95" t="s">
        <v>7</v>
      </c>
      <c r="J184" s="105">
        <v>46087</v>
      </c>
      <c r="K184" s="108"/>
      <c r="L184" s="93" t="s">
        <v>810</v>
      </c>
      <c r="M184" s="108" t="s">
        <v>822</v>
      </c>
      <c r="N184" s="108" t="s">
        <v>822</v>
      </c>
      <c r="O184" s="108" t="s">
        <v>822</v>
      </c>
      <c r="P184" s="137" t="s">
        <v>822</v>
      </c>
    </row>
    <row r="185" spans="1:16" x14ac:dyDescent="0.25">
      <c r="A185" s="95" t="s">
        <v>398</v>
      </c>
      <c r="C185" s="93" t="s">
        <v>347</v>
      </c>
      <c r="D185" s="95" t="str">
        <f t="shared" si="2"/>
        <v/>
      </c>
      <c r="E185" s="93" t="s">
        <v>101</v>
      </c>
      <c r="F185" s="93" t="s">
        <v>843</v>
      </c>
      <c r="H185" s="93" t="s">
        <v>157</v>
      </c>
      <c r="I185" s="95" t="s">
        <v>7</v>
      </c>
      <c r="J185" s="105">
        <v>46072</v>
      </c>
      <c r="K185" s="108"/>
      <c r="L185" s="93" t="s">
        <v>810</v>
      </c>
      <c r="M185" s="108" t="s">
        <v>822</v>
      </c>
      <c r="N185" s="108" t="s">
        <v>822</v>
      </c>
      <c r="O185" s="108" t="s">
        <v>822</v>
      </c>
      <c r="P185" s="137" t="s">
        <v>822</v>
      </c>
    </row>
    <row r="186" spans="1:16" x14ac:dyDescent="0.25">
      <c r="A186" s="95" t="s">
        <v>398</v>
      </c>
      <c r="C186" s="93" t="s">
        <v>490</v>
      </c>
      <c r="D186" s="95" t="str">
        <f t="shared" si="2"/>
        <v>Pre-Delivery</v>
      </c>
      <c r="E186" s="93" t="s">
        <v>373</v>
      </c>
      <c r="F186" s="93" t="s">
        <v>869</v>
      </c>
      <c r="H186" s="93" t="s">
        <v>158</v>
      </c>
      <c r="I186" s="95" t="s">
        <v>7</v>
      </c>
      <c r="J186" s="97">
        <v>46100</v>
      </c>
      <c r="K186" s="108"/>
      <c r="L186" s="93" t="s">
        <v>810</v>
      </c>
      <c r="M186" s="108" t="s">
        <v>822</v>
      </c>
      <c r="N186" s="108" t="s">
        <v>822</v>
      </c>
      <c r="O186" s="108" t="s">
        <v>822</v>
      </c>
      <c r="P186" s="137" t="s">
        <v>822</v>
      </c>
    </row>
    <row r="187" spans="1:16" x14ac:dyDescent="0.25">
      <c r="A187" s="95" t="s">
        <v>398</v>
      </c>
      <c r="C187" s="93" t="s">
        <v>348</v>
      </c>
      <c r="D187" s="95" t="str">
        <f t="shared" si="2"/>
        <v/>
      </c>
      <c r="E187" s="93" t="s">
        <v>76</v>
      </c>
      <c r="F187" s="93" t="s">
        <v>833</v>
      </c>
      <c r="H187" s="93" t="s">
        <v>158</v>
      </c>
      <c r="I187" s="95" t="s">
        <v>7</v>
      </c>
      <c r="J187" s="105">
        <v>46037</v>
      </c>
      <c r="K187" s="108"/>
      <c r="L187" s="93" t="s">
        <v>810</v>
      </c>
      <c r="M187" s="108" t="s">
        <v>822</v>
      </c>
      <c r="N187" s="108" t="s">
        <v>822</v>
      </c>
      <c r="O187" s="108" t="s">
        <v>822</v>
      </c>
      <c r="P187" s="137" t="s">
        <v>822</v>
      </c>
    </row>
    <row r="188" spans="1:16" x14ac:dyDescent="0.25">
      <c r="A188" s="95" t="s">
        <v>398</v>
      </c>
      <c r="C188" s="93" t="s">
        <v>349</v>
      </c>
      <c r="D188" s="95" t="str">
        <f t="shared" si="2"/>
        <v/>
      </c>
      <c r="E188" s="93" t="s">
        <v>374</v>
      </c>
      <c r="F188" s="93" t="s">
        <v>837</v>
      </c>
      <c r="H188" s="93" t="s">
        <v>157</v>
      </c>
      <c r="I188" s="95" t="s">
        <v>7</v>
      </c>
      <c r="J188" s="105">
        <v>46048</v>
      </c>
      <c r="K188" s="108"/>
      <c r="L188" s="93" t="s">
        <v>810</v>
      </c>
      <c r="M188" s="108" t="s">
        <v>822</v>
      </c>
      <c r="N188" s="108" t="s">
        <v>822</v>
      </c>
      <c r="O188" s="108" t="s">
        <v>822</v>
      </c>
      <c r="P188" s="137" t="s">
        <v>822</v>
      </c>
    </row>
    <row r="189" spans="1:16" x14ac:dyDescent="0.25">
      <c r="A189" s="95" t="s">
        <v>398</v>
      </c>
      <c r="C189" s="93" t="s">
        <v>350</v>
      </c>
      <c r="D189" s="95" t="str">
        <f t="shared" si="2"/>
        <v>Pre-Delivery</v>
      </c>
      <c r="E189" s="93" t="s">
        <v>375</v>
      </c>
      <c r="F189" s="93" t="s">
        <v>833</v>
      </c>
      <c r="H189" s="93" t="s">
        <v>163</v>
      </c>
      <c r="I189" s="95" t="s">
        <v>8</v>
      </c>
      <c r="J189" s="105">
        <v>46083</v>
      </c>
      <c r="K189" s="108"/>
      <c r="L189" s="93" t="s">
        <v>810</v>
      </c>
      <c r="M189" s="108" t="s">
        <v>822</v>
      </c>
      <c r="N189" s="108" t="s">
        <v>822</v>
      </c>
      <c r="O189" s="108" t="s">
        <v>822</v>
      </c>
      <c r="P189" s="137" t="s">
        <v>822</v>
      </c>
    </row>
    <row r="190" spans="1:16" x14ac:dyDescent="0.25">
      <c r="A190" s="95" t="s">
        <v>398</v>
      </c>
      <c r="C190" s="93" t="s">
        <v>351</v>
      </c>
      <c r="D190" s="95" t="str">
        <f t="shared" si="2"/>
        <v>Pre-Delivery</v>
      </c>
      <c r="E190" s="93" t="s">
        <v>376</v>
      </c>
      <c r="F190" s="93" t="s">
        <v>837</v>
      </c>
      <c r="H190" s="93" t="s">
        <v>158</v>
      </c>
      <c r="I190" s="95" t="s">
        <v>8</v>
      </c>
      <c r="J190" s="105">
        <v>46059</v>
      </c>
      <c r="K190" s="108"/>
      <c r="L190" s="93" t="s">
        <v>810</v>
      </c>
      <c r="M190" s="108" t="s">
        <v>822</v>
      </c>
      <c r="N190" s="108" t="s">
        <v>822</v>
      </c>
      <c r="O190" s="108" t="s">
        <v>822</v>
      </c>
      <c r="P190" s="137" t="s">
        <v>822</v>
      </c>
    </row>
    <row r="191" spans="1:16" x14ac:dyDescent="0.25">
      <c r="A191" s="95" t="s">
        <v>398</v>
      </c>
      <c r="C191" s="93" t="s">
        <v>352</v>
      </c>
      <c r="D191" s="95" t="str">
        <f t="shared" si="2"/>
        <v>Pre-Delivery</v>
      </c>
      <c r="E191" s="93" t="s">
        <v>377</v>
      </c>
      <c r="F191" s="93" t="s">
        <v>848</v>
      </c>
      <c r="H191" s="93" t="s">
        <v>163</v>
      </c>
      <c r="I191" s="95" t="s">
        <v>8</v>
      </c>
      <c r="J191" s="105">
        <v>46037</v>
      </c>
      <c r="K191" s="108"/>
      <c r="L191" s="93" t="s">
        <v>810</v>
      </c>
      <c r="M191" s="108" t="s">
        <v>822</v>
      </c>
      <c r="N191" s="108" t="s">
        <v>822</v>
      </c>
      <c r="O191" s="108" t="s">
        <v>822</v>
      </c>
      <c r="P191" s="137" t="s">
        <v>822</v>
      </c>
    </row>
    <row r="192" spans="1:16" x14ac:dyDescent="0.25">
      <c r="A192" s="95" t="s">
        <v>398</v>
      </c>
      <c r="C192" s="93" t="s">
        <v>353</v>
      </c>
      <c r="D192" s="95" t="str">
        <f t="shared" si="2"/>
        <v>Pre-Delivery</v>
      </c>
      <c r="E192" s="93" t="s">
        <v>376</v>
      </c>
      <c r="F192" s="93" t="s">
        <v>834</v>
      </c>
      <c r="H192" s="93" t="s">
        <v>163</v>
      </c>
      <c r="I192" s="95" t="s">
        <v>8</v>
      </c>
      <c r="J192" s="105">
        <v>46054</v>
      </c>
      <c r="K192" s="108"/>
      <c r="L192" s="93" t="s">
        <v>810</v>
      </c>
      <c r="M192" s="108" t="s">
        <v>822</v>
      </c>
      <c r="N192" s="108" t="s">
        <v>822</v>
      </c>
      <c r="O192" s="108" t="s">
        <v>822</v>
      </c>
      <c r="P192" s="137" t="s">
        <v>822</v>
      </c>
    </row>
    <row r="193" spans="1:16" x14ac:dyDescent="0.25">
      <c r="A193" s="95" t="s">
        <v>398</v>
      </c>
      <c r="C193" s="93" t="s">
        <v>354</v>
      </c>
      <c r="D193" s="95" t="str">
        <f t="shared" si="2"/>
        <v/>
      </c>
      <c r="E193" s="93" t="s">
        <v>378</v>
      </c>
      <c r="F193" s="93" t="s">
        <v>848</v>
      </c>
      <c r="H193" s="93" t="s">
        <v>157</v>
      </c>
      <c r="I193" s="95" t="s">
        <v>7</v>
      </c>
      <c r="J193" s="105">
        <v>46063</v>
      </c>
      <c r="K193" s="108"/>
      <c r="L193" s="93" t="s">
        <v>810</v>
      </c>
      <c r="M193" s="108" t="s">
        <v>822</v>
      </c>
      <c r="N193" s="108" t="s">
        <v>822</v>
      </c>
      <c r="O193" s="108" t="s">
        <v>822</v>
      </c>
      <c r="P193" s="137" t="s">
        <v>822</v>
      </c>
    </row>
    <row r="194" spans="1:16" x14ac:dyDescent="0.25">
      <c r="A194" s="95" t="s">
        <v>398</v>
      </c>
      <c r="C194" s="93" t="s">
        <v>355</v>
      </c>
      <c r="D194" s="95" t="str">
        <f t="shared" si="2"/>
        <v/>
      </c>
      <c r="E194" s="93" t="s">
        <v>379</v>
      </c>
      <c r="F194" s="93" t="s">
        <v>845</v>
      </c>
      <c r="H194" s="93" t="s">
        <v>157</v>
      </c>
      <c r="I194" s="95" t="s">
        <v>7</v>
      </c>
      <c r="J194" s="105">
        <v>46043</v>
      </c>
      <c r="K194" s="108"/>
      <c r="L194" s="93" t="s">
        <v>810</v>
      </c>
      <c r="M194" s="108" t="s">
        <v>822</v>
      </c>
      <c r="N194" s="108" t="s">
        <v>822</v>
      </c>
      <c r="O194" s="108" t="s">
        <v>822</v>
      </c>
      <c r="P194" s="137" t="s">
        <v>822</v>
      </c>
    </row>
    <row r="195" spans="1:16" x14ac:dyDescent="0.25">
      <c r="A195" s="95" t="s">
        <v>398</v>
      </c>
      <c r="C195" s="93" t="s">
        <v>473</v>
      </c>
      <c r="D195" s="95" t="str">
        <f t="shared" si="2"/>
        <v>Pre-Delivery</v>
      </c>
      <c r="E195" s="93" t="s">
        <v>380</v>
      </c>
      <c r="F195" s="93" t="s">
        <v>833</v>
      </c>
      <c r="H195" s="93" t="s">
        <v>158</v>
      </c>
      <c r="I195" s="95" t="s">
        <v>7</v>
      </c>
      <c r="J195" s="105">
        <v>46087</v>
      </c>
      <c r="K195" s="108"/>
      <c r="L195" s="93" t="s">
        <v>810</v>
      </c>
      <c r="M195" s="108" t="s">
        <v>822</v>
      </c>
      <c r="N195" s="108" t="s">
        <v>822</v>
      </c>
      <c r="O195" s="108" t="s">
        <v>822</v>
      </c>
      <c r="P195" s="137" t="s">
        <v>822</v>
      </c>
    </row>
    <row r="196" spans="1:16" x14ac:dyDescent="0.25">
      <c r="A196" s="95" t="s">
        <v>398</v>
      </c>
      <c r="C196" s="93" t="s">
        <v>356</v>
      </c>
      <c r="D196" s="95" t="str">
        <f t="shared" si="2"/>
        <v/>
      </c>
      <c r="E196" s="93" t="s">
        <v>381</v>
      </c>
      <c r="F196" s="93" t="s">
        <v>904</v>
      </c>
      <c r="H196" s="93" t="s">
        <v>157</v>
      </c>
      <c r="I196" s="95" t="s">
        <v>7</v>
      </c>
      <c r="J196" s="105">
        <v>46045</v>
      </c>
      <c r="K196" s="108"/>
      <c r="L196" s="93" t="s">
        <v>810</v>
      </c>
      <c r="M196" s="108" t="s">
        <v>822</v>
      </c>
      <c r="N196" s="108" t="s">
        <v>822</v>
      </c>
      <c r="O196" s="108" t="s">
        <v>822</v>
      </c>
      <c r="P196" s="137" t="s">
        <v>822</v>
      </c>
    </row>
    <row r="197" spans="1:16" x14ac:dyDescent="0.25">
      <c r="A197" s="95" t="s">
        <v>398</v>
      </c>
      <c r="C197" s="93" t="s">
        <v>357</v>
      </c>
      <c r="D197" s="95" t="str">
        <f t="shared" si="2"/>
        <v>Pre-Delivery</v>
      </c>
      <c r="E197" s="93" t="s">
        <v>221</v>
      </c>
      <c r="F197" s="93" t="s">
        <v>910</v>
      </c>
      <c r="H197" s="93" t="s">
        <v>158</v>
      </c>
      <c r="I197" s="95" t="s">
        <v>7</v>
      </c>
      <c r="K197" s="108"/>
      <c r="L197" s="93" t="s">
        <v>810</v>
      </c>
      <c r="M197" s="108" t="s">
        <v>822</v>
      </c>
      <c r="N197" s="108" t="s">
        <v>822</v>
      </c>
      <c r="O197" s="108" t="s">
        <v>822</v>
      </c>
      <c r="P197" s="137" t="s">
        <v>822</v>
      </c>
    </row>
    <row r="198" spans="1:16" x14ac:dyDescent="0.25">
      <c r="A198" s="95" t="s">
        <v>398</v>
      </c>
      <c r="C198" s="93" t="s">
        <v>358</v>
      </c>
      <c r="D198" s="95" t="str">
        <f t="shared" si="2"/>
        <v/>
      </c>
      <c r="E198" s="93" t="s">
        <v>49</v>
      </c>
      <c r="F198" s="93" t="s">
        <v>910</v>
      </c>
      <c r="H198" s="93" t="s">
        <v>157</v>
      </c>
      <c r="I198" s="95" t="s">
        <v>7</v>
      </c>
      <c r="J198" s="105">
        <v>46043</v>
      </c>
      <c r="K198" s="108"/>
      <c r="L198" s="93" t="s">
        <v>810</v>
      </c>
      <c r="M198" s="108" t="s">
        <v>822</v>
      </c>
      <c r="N198" s="108" t="s">
        <v>822</v>
      </c>
      <c r="O198" s="108" t="s">
        <v>822</v>
      </c>
      <c r="P198" s="137" t="s">
        <v>822</v>
      </c>
    </row>
    <row r="199" spans="1:16" x14ac:dyDescent="0.25">
      <c r="A199" s="95" t="s">
        <v>398</v>
      </c>
      <c r="C199" s="93" t="s">
        <v>359</v>
      </c>
      <c r="D199" s="95" t="str">
        <f t="shared" ref="D199:D262" si="3">IF(OR(ISNUMBER(SEARCH("Pre Delivery",E199)),ISNUMBER(SEARCH("Pre-Delivery",E199)),ISNUMBER(SEARCH("Predelivery",E199)),ISNUMBER(SEARCH("PD -",E199)),ISNUMBER(SEARCH("PD Lubes",E199))),"Pre-Delivery","")</f>
        <v/>
      </c>
      <c r="E199" s="93" t="s">
        <v>382</v>
      </c>
      <c r="F199" s="93" t="s">
        <v>858</v>
      </c>
      <c r="H199" s="93" t="s">
        <v>157</v>
      </c>
      <c r="I199" s="95" t="s">
        <v>7</v>
      </c>
      <c r="J199" s="105">
        <v>46042</v>
      </c>
      <c r="K199" s="108"/>
      <c r="L199" s="93" t="s">
        <v>810</v>
      </c>
      <c r="M199" s="108" t="s">
        <v>822</v>
      </c>
      <c r="N199" s="108" t="s">
        <v>822</v>
      </c>
      <c r="O199" s="108" t="s">
        <v>822</v>
      </c>
      <c r="P199" s="137" t="s">
        <v>822</v>
      </c>
    </row>
    <row r="200" spans="1:16" x14ac:dyDescent="0.25">
      <c r="A200" s="95" t="s">
        <v>398</v>
      </c>
      <c r="C200" s="93" t="s">
        <v>360</v>
      </c>
      <c r="D200" s="95" t="str">
        <f t="shared" si="3"/>
        <v/>
      </c>
      <c r="E200" s="93" t="s">
        <v>382</v>
      </c>
      <c r="F200" s="93" t="s">
        <v>841</v>
      </c>
      <c r="H200" s="93" t="s">
        <v>157</v>
      </c>
      <c r="I200" s="95" t="s">
        <v>7</v>
      </c>
      <c r="J200" s="105">
        <v>46043</v>
      </c>
      <c r="K200" s="108"/>
      <c r="L200" s="93" t="s">
        <v>810</v>
      </c>
      <c r="M200" s="108" t="s">
        <v>822</v>
      </c>
      <c r="N200" s="108" t="s">
        <v>822</v>
      </c>
      <c r="O200" s="108" t="s">
        <v>822</v>
      </c>
      <c r="P200" s="137" t="s">
        <v>822</v>
      </c>
    </row>
    <row r="201" spans="1:16" x14ac:dyDescent="0.25">
      <c r="A201" s="95" t="s">
        <v>398</v>
      </c>
      <c r="C201" s="93" t="s">
        <v>361</v>
      </c>
      <c r="D201" s="95" t="str">
        <f t="shared" si="3"/>
        <v/>
      </c>
      <c r="E201" s="93" t="s">
        <v>383</v>
      </c>
      <c r="F201" s="93" t="s">
        <v>852</v>
      </c>
      <c r="H201" s="93" t="s">
        <v>157</v>
      </c>
      <c r="I201" s="95" t="s">
        <v>7</v>
      </c>
      <c r="J201" s="105">
        <v>46051</v>
      </c>
      <c r="K201" s="108"/>
      <c r="L201" s="93" t="s">
        <v>810</v>
      </c>
      <c r="M201" s="108" t="s">
        <v>822</v>
      </c>
      <c r="N201" s="108" t="s">
        <v>822</v>
      </c>
      <c r="O201" s="108" t="s">
        <v>822</v>
      </c>
      <c r="P201" s="137" t="s">
        <v>822</v>
      </c>
    </row>
    <row r="202" spans="1:16" x14ac:dyDescent="0.25">
      <c r="A202" s="95" t="s">
        <v>398</v>
      </c>
      <c r="C202" s="93" t="s">
        <v>362</v>
      </c>
      <c r="D202" s="95" t="str">
        <f t="shared" si="3"/>
        <v/>
      </c>
      <c r="E202" s="93" t="s">
        <v>54</v>
      </c>
      <c r="F202" s="93" t="s">
        <v>833</v>
      </c>
      <c r="H202" s="93" t="s">
        <v>158</v>
      </c>
      <c r="I202" s="95" t="s">
        <v>5</v>
      </c>
      <c r="J202" s="105">
        <v>46078</v>
      </c>
      <c r="K202" s="108"/>
      <c r="L202" s="93" t="s">
        <v>810</v>
      </c>
      <c r="M202" s="108" t="s">
        <v>822</v>
      </c>
      <c r="N202" s="108" t="s">
        <v>822</v>
      </c>
      <c r="O202" s="108" t="s">
        <v>822</v>
      </c>
      <c r="P202" s="137" t="s">
        <v>822</v>
      </c>
    </row>
    <row r="203" spans="1:16" x14ac:dyDescent="0.25">
      <c r="A203" s="95" t="s">
        <v>398</v>
      </c>
      <c r="C203" s="93" t="s">
        <v>363</v>
      </c>
      <c r="D203" s="95" t="str">
        <f t="shared" si="3"/>
        <v/>
      </c>
      <c r="E203" s="93" t="s">
        <v>220</v>
      </c>
      <c r="F203" s="93" t="s">
        <v>847</v>
      </c>
      <c r="H203" s="93" t="s">
        <v>158</v>
      </c>
      <c r="I203" s="95" t="s">
        <v>7</v>
      </c>
      <c r="J203" s="105">
        <v>46065</v>
      </c>
      <c r="K203" s="108"/>
      <c r="L203" s="93" t="s">
        <v>810</v>
      </c>
      <c r="M203" s="108" t="s">
        <v>822</v>
      </c>
      <c r="N203" s="108" t="s">
        <v>822</v>
      </c>
      <c r="O203" s="108" t="s">
        <v>822</v>
      </c>
      <c r="P203" s="137" t="s">
        <v>822</v>
      </c>
    </row>
    <row r="204" spans="1:16" x14ac:dyDescent="0.25">
      <c r="A204" s="95" t="s">
        <v>398</v>
      </c>
      <c r="C204" s="93" t="s">
        <v>364</v>
      </c>
      <c r="D204" s="95" t="str">
        <f t="shared" si="3"/>
        <v>Pre-Delivery</v>
      </c>
      <c r="E204" s="93" t="s">
        <v>80</v>
      </c>
      <c r="F204" s="93" t="s">
        <v>889</v>
      </c>
      <c r="H204" s="93" t="s">
        <v>163</v>
      </c>
      <c r="I204" s="95" t="s">
        <v>7</v>
      </c>
      <c r="J204" s="105">
        <v>45986</v>
      </c>
      <c r="K204" s="108"/>
      <c r="L204" s="93" t="s">
        <v>810</v>
      </c>
      <c r="M204" s="108" t="s">
        <v>822</v>
      </c>
      <c r="N204" s="108" t="s">
        <v>822</v>
      </c>
      <c r="O204" s="108" t="s">
        <v>822</v>
      </c>
      <c r="P204" s="137" t="s">
        <v>822</v>
      </c>
    </row>
    <row r="205" spans="1:16" x14ac:dyDescent="0.25">
      <c r="A205" s="95" t="s">
        <v>398</v>
      </c>
      <c r="C205" s="93" t="s">
        <v>365</v>
      </c>
      <c r="D205" s="95" t="str">
        <f t="shared" si="3"/>
        <v/>
      </c>
      <c r="E205" s="93" t="s">
        <v>39</v>
      </c>
      <c r="F205" s="93" t="s">
        <v>864</v>
      </c>
      <c r="H205" s="93" t="s">
        <v>157</v>
      </c>
      <c r="I205" s="95" t="s">
        <v>7</v>
      </c>
      <c r="J205" s="105">
        <v>46063</v>
      </c>
      <c r="K205" s="108"/>
      <c r="L205" s="93" t="s">
        <v>810</v>
      </c>
      <c r="M205" s="108" t="s">
        <v>822</v>
      </c>
      <c r="N205" s="108" t="s">
        <v>822</v>
      </c>
      <c r="O205" s="108" t="s">
        <v>822</v>
      </c>
      <c r="P205" s="137" t="s">
        <v>822</v>
      </c>
    </row>
    <row r="206" spans="1:16" x14ac:dyDescent="0.25">
      <c r="A206" s="95" t="s">
        <v>398</v>
      </c>
      <c r="D206" s="95" t="str">
        <f t="shared" si="3"/>
        <v/>
      </c>
      <c r="E206" s="93" t="s">
        <v>397</v>
      </c>
      <c r="F206" s="93" t="s">
        <v>853</v>
      </c>
      <c r="H206" s="93" t="s">
        <v>158</v>
      </c>
      <c r="K206" s="108"/>
      <c r="L206" s="93" t="s">
        <v>810</v>
      </c>
      <c r="M206" s="108" t="s">
        <v>822</v>
      </c>
      <c r="N206" s="108" t="s">
        <v>822</v>
      </c>
      <c r="O206" s="108" t="s">
        <v>822</v>
      </c>
      <c r="P206" s="137" t="s">
        <v>822</v>
      </c>
    </row>
    <row r="207" spans="1:16" x14ac:dyDescent="0.25">
      <c r="A207" s="95" t="s">
        <v>398</v>
      </c>
      <c r="D207" s="95" t="str">
        <f t="shared" si="3"/>
        <v/>
      </c>
      <c r="E207" s="93" t="s">
        <v>41</v>
      </c>
      <c r="F207" s="93" t="s">
        <v>857</v>
      </c>
      <c r="H207" s="93" t="s">
        <v>158</v>
      </c>
      <c r="K207" s="108"/>
      <c r="L207" s="93" t="s">
        <v>810</v>
      </c>
      <c r="M207" s="108" t="s">
        <v>822</v>
      </c>
      <c r="N207" s="108" t="s">
        <v>822</v>
      </c>
      <c r="O207" s="108" t="s">
        <v>822</v>
      </c>
      <c r="P207" s="137" t="s">
        <v>822</v>
      </c>
    </row>
    <row r="208" spans="1:16" x14ac:dyDescent="0.25">
      <c r="A208" s="95" t="s">
        <v>398</v>
      </c>
      <c r="D208" s="95" t="str">
        <f t="shared" si="3"/>
        <v/>
      </c>
      <c r="E208" s="93" t="s">
        <v>54</v>
      </c>
      <c r="F208" s="93" t="s">
        <v>870</v>
      </c>
      <c r="H208" s="93" t="s">
        <v>158</v>
      </c>
      <c r="K208" s="108"/>
      <c r="L208" s="93" t="s">
        <v>810</v>
      </c>
      <c r="M208" s="108" t="s">
        <v>822</v>
      </c>
      <c r="N208" s="108" t="s">
        <v>822</v>
      </c>
      <c r="O208" s="108" t="s">
        <v>822</v>
      </c>
      <c r="P208" s="137" t="s">
        <v>822</v>
      </c>
    </row>
    <row r="209" spans="1:16" x14ac:dyDescent="0.25">
      <c r="A209" s="95" t="s">
        <v>398</v>
      </c>
      <c r="D209" s="95" t="str">
        <f t="shared" si="3"/>
        <v/>
      </c>
      <c r="E209" s="93" t="s">
        <v>232</v>
      </c>
      <c r="F209" s="93" t="s">
        <v>888</v>
      </c>
      <c r="H209" s="93" t="s">
        <v>158</v>
      </c>
      <c r="K209" s="108"/>
      <c r="L209" s="93" t="s">
        <v>810</v>
      </c>
      <c r="M209" s="108" t="s">
        <v>822</v>
      </c>
      <c r="N209" s="108" t="s">
        <v>822</v>
      </c>
      <c r="O209" s="108" t="s">
        <v>822</v>
      </c>
      <c r="P209" s="137" t="s">
        <v>822</v>
      </c>
    </row>
    <row r="210" spans="1:16" ht="37.5" x14ac:dyDescent="0.25">
      <c r="A210" s="95" t="s">
        <v>398</v>
      </c>
      <c r="D210" s="95" t="str">
        <f t="shared" si="3"/>
        <v/>
      </c>
      <c r="E210" s="93" t="s">
        <v>213</v>
      </c>
      <c r="F210" s="93" t="s">
        <v>429</v>
      </c>
      <c r="H210" s="93" t="s">
        <v>158</v>
      </c>
      <c r="K210" s="108"/>
      <c r="L210" s="93" t="s">
        <v>810</v>
      </c>
      <c r="M210" s="108" t="s">
        <v>822</v>
      </c>
      <c r="N210" s="108" t="s">
        <v>822</v>
      </c>
      <c r="O210" s="108" t="s">
        <v>822</v>
      </c>
      <c r="P210" s="137" t="s">
        <v>822</v>
      </c>
    </row>
    <row r="211" spans="1:16" x14ac:dyDescent="0.25">
      <c r="A211" s="95" t="s">
        <v>398</v>
      </c>
      <c r="C211" s="93" t="s">
        <v>556</v>
      </c>
      <c r="D211" s="95" t="str">
        <f t="shared" si="3"/>
        <v/>
      </c>
      <c r="E211" s="93" t="s">
        <v>118</v>
      </c>
      <c r="F211" s="93" t="s">
        <v>430</v>
      </c>
      <c r="H211" s="93" t="s">
        <v>410</v>
      </c>
      <c r="K211" s="108"/>
      <c r="L211" s="93" t="s">
        <v>810</v>
      </c>
      <c r="M211" s="108" t="s">
        <v>822</v>
      </c>
      <c r="N211" s="108" t="s">
        <v>822</v>
      </c>
      <c r="O211" s="108" t="s">
        <v>822</v>
      </c>
      <c r="P211" s="137" t="s">
        <v>822</v>
      </c>
    </row>
    <row r="212" spans="1:16" x14ac:dyDescent="0.25">
      <c r="A212" s="95" t="s">
        <v>398</v>
      </c>
      <c r="C212" s="93" t="s">
        <v>553</v>
      </c>
      <c r="D212" s="95" t="str">
        <f t="shared" si="3"/>
        <v/>
      </c>
      <c r="E212" s="93" t="s">
        <v>119</v>
      </c>
      <c r="F212" s="93" t="s">
        <v>431</v>
      </c>
      <c r="H212" s="93" t="s">
        <v>410</v>
      </c>
      <c r="K212" s="108"/>
      <c r="L212" s="93" t="s">
        <v>810</v>
      </c>
      <c r="M212" s="108" t="s">
        <v>822</v>
      </c>
      <c r="N212" s="108" t="s">
        <v>822</v>
      </c>
      <c r="O212" s="108" t="s">
        <v>822</v>
      </c>
      <c r="P212" s="137" t="s">
        <v>822</v>
      </c>
    </row>
    <row r="213" spans="1:16" x14ac:dyDescent="0.25">
      <c r="A213" s="95" t="s">
        <v>398</v>
      </c>
      <c r="C213" s="93" t="s">
        <v>557</v>
      </c>
      <c r="D213" s="95" t="str">
        <f t="shared" si="3"/>
        <v/>
      </c>
      <c r="E213" s="93" t="s">
        <v>120</v>
      </c>
      <c r="F213" s="93" t="s">
        <v>432</v>
      </c>
      <c r="H213" s="93" t="s">
        <v>410</v>
      </c>
      <c r="K213" s="108"/>
      <c r="L213" s="93" t="s">
        <v>810</v>
      </c>
      <c r="M213" s="108" t="s">
        <v>822</v>
      </c>
      <c r="N213" s="108" t="s">
        <v>822</v>
      </c>
      <c r="O213" s="108" t="s">
        <v>822</v>
      </c>
      <c r="P213" s="137" t="s">
        <v>822</v>
      </c>
    </row>
    <row r="214" spans="1:16" x14ac:dyDescent="0.25">
      <c r="A214" s="95" t="s">
        <v>398</v>
      </c>
      <c r="C214" s="93" t="s">
        <v>554</v>
      </c>
      <c r="D214" s="95" t="str">
        <f t="shared" si="3"/>
        <v/>
      </c>
      <c r="E214" s="93" t="s">
        <v>121</v>
      </c>
      <c r="F214" s="93" t="s">
        <v>433</v>
      </c>
      <c r="H214" s="93" t="s">
        <v>410</v>
      </c>
      <c r="K214" s="108"/>
      <c r="L214" s="93" t="s">
        <v>810</v>
      </c>
      <c r="M214" s="108" t="s">
        <v>822</v>
      </c>
      <c r="N214" s="108" t="s">
        <v>822</v>
      </c>
      <c r="O214" s="108" t="s">
        <v>822</v>
      </c>
      <c r="P214" s="137" t="s">
        <v>822</v>
      </c>
    </row>
    <row r="215" spans="1:16" x14ac:dyDescent="0.25">
      <c r="A215" s="95" t="s">
        <v>398</v>
      </c>
      <c r="C215" s="93" t="s">
        <v>547</v>
      </c>
      <c r="D215" s="95" t="str">
        <f t="shared" si="3"/>
        <v/>
      </c>
      <c r="E215" s="93" t="s">
        <v>122</v>
      </c>
      <c r="F215" s="93" t="s">
        <v>891</v>
      </c>
      <c r="H215" s="93" t="s">
        <v>410</v>
      </c>
      <c r="K215" s="108"/>
      <c r="L215" s="93" t="s">
        <v>810</v>
      </c>
      <c r="M215" s="108" t="s">
        <v>822</v>
      </c>
      <c r="N215" s="108" t="s">
        <v>822</v>
      </c>
      <c r="O215" s="108" t="s">
        <v>822</v>
      </c>
      <c r="P215" s="137" t="s">
        <v>822</v>
      </c>
    </row>
    <row r="216" spans="1:16" x14ac:dyDescent="0.25">
      <c r="A216" s="95" t="s">
        <v>398</v>
      </c>
      <c r="C216" s="93" t="s">
        <v>548</v>
      </c>
      <c r="D216" s="95" t="str">
        <f t="shared" si="3"/>
        <v/>
      </c>
      <c r="E216" s="93" t="s">
        <v>123</v>
      </c>
      <c r="F216" s="93" t="s">
        <v>435</v>
      </c>
      <c r="H216" s="93" t="s">
        <v>410</v>
      </c>
      <c r="K216" s="108"/>
      <c r="L216" s="93" t="s">
        <v>810</v>
      </c>
      <c r="M216" s="108" t="s">
        <v>822</v>
      </c>
      <c r="N216" s="108" t="s">
        <v>822</v>
      </c>
      <c r="O216" s="108" t="s">
        <v>822</v>
      </c>
      <c r="P216" s="137" t="s">
        <v>822</v>
      </c>
    </row>
    <row r="217" spans="1:16" x14ac:dyDescent="0.25">
      <c r="A217" s="95" t="s">
        <v>398</v>
      </c>
      <c r="C217" s="93" t="s">
        <v>555</v>
      </c>
      <c r="D217" s="95" t="str">
        <f t="shared" si="3"/>
        <v/>
      </c>
      <c r="E217" s="93" t="s">
        <v>124</v>
      </c>
      <c r="F217" s="93" t="s">
        <v>436</v>
      </c>
      <c r="H217" s="93" t="s">
        <v>410</v>
      </c>
      <c r="K217" s="108"/>
      <c r="L217" s="93" t="s">
        <v>810</v>
      </c>
      <c r="M217" s="108" t="s">
        <v>822</v>
      </c>
      <c r="N217" s="108" t="s">
        <v>822</v>
      </c>
      <c r="O217" s="108" t="s">
        <v>822</v>
      </c>
      <c r="P217" s="137" t="s">
        <v>822</v>
      </c>
    </row>
    <row r="218" spans="1:16" x14ac:dyDescent="0.25">
      <c r="A218" s="95" t="s">
        <v>398</v>
      </c>
      <c r="C218" s="93" t="s">
        <v>559</v>
      </c>
      <c r="D218" s="95" t="str">
        <f t="shared" si="3"/>
        <v/>
      </c>
      <c r="E218" s="93" t="s">
        <v>125</v>
      </c>
      <c r="F218" s="93" t="s">
        <v>881</v>
      </c>
      <c r="H218" s="93" t="s">
        <v>410</v>
      </c>
      <c r="K218" s="108"/>
      <c r="L218" s="93" t="s">
        <v>810</v>
      </c>
      <c r="M218" s="108" t="s">
        <v>822</v>
      </c>
      <c r="N218" s="108" t="s">
        <v>822</v>
      </c>
      <c r="O218" s="108" t="s">
        <v>822</v>
      </c>
      <c r="P218" s="137" t="s">
        <v>822</v>
      </c>
    </row>
    <row r="219" spans="1:16" x14ac:dyDescent="0.25">
      <c r="A219" s="95" t="s">
        <v>398</v>
      </c>
      <c r="D219" s="95" t="str">
        <f t="shared" si="3"/>
        <v/>
      </c>
      <c r="E219" s="93" t="s">
        <v>126</v>
      </c>
      <c r="F219" s="93" t="s">
        <v>451</v>
      </c>
      <c r="H219" s="93" t="s">
        <v>410</v>
      </c>
      <c r="K219" s="108"/>
      <c r="L219" s="93" t="s">
        <v>810</v>
      </c>
      <c r="M219" s="108" t="s">
        <v>822</v>
      </c>
      <c r="N219" s="108" t="s">
        <v>822</v>
      </c>
      <c r="O219" s="108" t="s">
        <v>822</v>
      </c>
      <c r="P219" s="137" t="s">
        <v>822</v>
      </c>
    </row>
    <row r="220" spans="1:16" x14ac:dyDescent="0.25">
      <c r="A220" s="95" t="s">
        <v>398</v>
      </c>
      <c r="C220" s="93" t="s">
        <v>552</v>
      </c>
      <c r="D220" s="95" t="str">
        <f t="shared" si="3"/>
        <v/>
      </c>
      <c r="E220" s="93" t="s">
        <v>127</v>
      </c>
      <c r="F220" s="93" t="s">
        <v>452</v>
      </c>
      <c r="H220" s="93" t="s">
        <v>410</v>
      </c>
      <c r="K220" s="108"/>
      <c r="L220" s="93" t="s">
        <v>810</v>
      </c>
      <c r="M220" s="108" t="s">
        <v>822</v>
      </c>
      <c r="N220" s="108" t="s">
        <v>822</v>
      </c>
      <c r="O220" s="108" t="s">
        <v>822</v>
      </c>
      <c r="P220" s="137" t="s">
        <v>822</v>
      </c>
    </row>
    <row r="221" spans="1:16" x14ac:dyDescent="0.25">
      <c r="A221" s="95" t="s">
        <v>398</v>
      </c>
      <c r="C221" s="93" t="s">
        <v>549</v>
      </c>
      <c r="D221" s="95" t="str">
        <f t="shared" si="3"/>
        <v/>
      </c>
      <c r="E221" s="93" t="s">
        <v>128</v>
      </c>
      <c r="F221" s="93" t="s">
        <v>452</v>
      </c>
      <c r="H221" s="93" t="s">
        <v>410</v>
      </c>
      <c r="K221" s="108"/>
      <c r="L221" s="93" t="s">
        <v>810</v>
      </c>
      <c r="M221" s="108" t="s">
        <v>822</v>
      </c>
      <c r="N221" s="108" t="s">
        <v>822</v>
      </c>
      <c r="O221" s="108" t="s">
        <v>822</v>
      </c>
      <c r="P221" s="137" t="s">
        <v>822</v>
      </c>
    </row>
    <row r="222" spans="1:16" x14ac:dyDescent="0.25">
      <c r="A222" s="95" t="s">
        <v>398</v>
      </c>
      <c r="C222" s="93" t="s">
        <v>560</v>
      </c>
      <c r="D222" s="95" t="str">
        <f t="shared" si="3"/>
        <v/>
      </c>
      <c r="E222" s="93" t="s">
        <v>129</v>
      </c>
      <c r="F222" s="93" t="s">
        <v>452</v>
      </c>
      <c r="H222" s="93" t="s">
        <v>410</v>
      </c>
      <c r="K222" s="108"/>
      <c r="L222" s="93" t="s">
        <v>810</v>
      </c>
      <c r="M222" s="108" t="s">
        <v>822</v>
      </c>
      <c r="N222" s="108" t="s">
        <v>822</v>
      </c>
      <c r="O222" s="108" t="s">
        <v>822</v>
      </c>
      <c r="P222" s="137" t="s">
        <v>822</v>
      </c>
    </row>
    <row r="223" spans="1:16" x14ac:dyDescent="0.25">
      <c r="A223" s="95" t="s">
        <v>398</v>
      </c>
      <c r="C223" s="93" t="s">
        <v>558</v>
      </c>
      <c r="D223" s="95" t="str">
        <f t="shared" si="3"/>
        <v/>
      </c>
      <c r="E223" s="93" t="s">
        <v>129</v>
      </c>
      <c r="F223" s="93" t="s">
        <v>452</v>
      </c>
      <c r="H223" s="93" t="s">
        <v>410</v>
      </c>
      <c r="K223" s="108"/>
      <c r="L223" s="93" t="s">
        <v>810</v>
      </c>
      <c r="M223" s="108" t="s">
        <v>822</v>
      </c>
      <c r="N223" s="108" t="s">
        <v>822</v>
      </c>
      <c r="O223" s="108" t="s">
        <v>822</v>
      </c>
      <c r="P223" s="137" t="s">
        <v>822</v>
      </c>
    </row>
    <row r="224" spans="1:16" x14ac:dyDescent="0.25">
      <c r="A224" s="95" t="s">
        <v>398</v>
      </c>
      <c r="C224" s="93" t="s">
        <v>551</v>
      </c>
      <c r="D224" s="95" t="str">
        <f t="shared" si="3"/>
        <v/>
      </c>
      <c r="E224" s="93" t="s">
        <v>129</v>
      </c>
      <c r="F224" s="93" t="s">
        <v>892</v>
      </c>
      <c r="H224" s="93" t="s">
        <v>410</v>
      </c>
      <c r="K224" s="108"/>
      <c r="L224" s="93" t="s">
        <v>810</v>
      </c>
      <c r="M224" s="108" t="s">
        <v>822</v>
      </c>
      <c r="N224" s="108" t="s">
        <v>822</v>
      </c>
      <c r="O224" s="108" t="s">
        <v>822</v>
      </c>
      <c r="P224" s="137" t="s">
        <v>822</v>
      </c>
    </row>
    <row r="225" spans="1:16" x14ac:dyDescent="0.25">
      <c r="A225" s="95" t="s">
        <v>398</v>
      </c>
      <c r="C225" s="93" t="s">
        <v>550</v>
      </c>
      <c r="D225" s="95" t="str">
        <f t="shared" si="3"/>
        <v/>
      </c>
      <c r="E225" s="93" t="s">
        <v>129</v>
      </c>
      <c r="F225" s="93" t="s">
        <v>893</v>
      </c>
      <c r="H225" s="93" t="s">
        <v>410</v>
      </c>
      <c r="K225" s="108"/>
      <c r="L225" s="93" t="s">
        <v>810</v>
      </c>
      <c r="M225" s="108" t="s">
        <v>822</v>
      </c>
      <c r="N225" s="108" t="s">
        <v>822</v>
      </c>
      <c r="O225" s="108" t="s">
        <v>822</v>
      </c>
      <c r="P225" s="137" t="s">
        <v>822</v>
      </c>
    </row>
    <row r="226" spans="1:16" x14ac:dyDescent="0.25">
      <c r="A226" s="95" t="s">
        <v>398</v>
      </c>
      <c r="C226" s="93" t="s">
        <v>561</v>
      </c>
      <c r="D226" s="95" t="str">
        <f t="shared" si="3"/>
        <v/>
      </c>
      <c r="E226" s="93" t="s">
        <v>130</v>
      </c>
      <c r="F226" s="93" t="s">
        <v>574</v>
      </c>
      <c r="H226" s="93" t="s">
        <v>410</v>
      </c>
      <c r="K226" s="108"/>
      <c r="L226" s="93" t="s">
        <v>810</v>
      </c>
      <c r="M226" s="108" t="s">
        <v>822</v>
      </c>
      <c r="N226" s="108" t="s">
        <v>822</v>
      </c>
      <c r="O226" s="108" t="s">
        <v>822</v>
      </c>
      <c r="P226" s="137" t="s">
        <v>822</v>
      </c>
    </row>
    <row r="227" spans="1:16" x14ac:dyDescent="0.25">
      <c r="A227" s="95" t="s">
        <v>398</v>
      </c>
      <c r="D227" s="95" t="str">
        <f t="shared" si="3"/>
        <v/>
      </c>
      <c r="E227" s="93" t="s">
        <v>131</v>
      </c>
      <c r="F227" s="93" t="s">
        <v>854</v>
      </c>
      <c r="H227" s="93" t="s">
        <v>410</v>
      </c>
      <c r="K227" s="108"/>
      <c r="L227" s="93" t="s">
        <v>810</v>
      </c>
      <c r="M227" s="108" t="s">
        <v>822</v>
      </c>
      <c r="N227" s="108" t="s">
        <v>822</v>
      </c>
      <c r="O227" s="108" t="s">
        <v>822</v>
      </c>
      <c r="P227" s="137" t="s">
        <v>822</v>
      </c>
    </row>
    <row r="228" spans="1:16" x14ac:dyDescent="0.25">
      <c r="A228" s="95" t="s">
        <v>398</v>
      </c>
      <c r="C228" s="93" t="s">
        <v>603</v>
      </c>
      <c r="D228" s="95" t="str">
        <f t="shared" si="3"/>
        <v/>
      </c>
      <c r="E228" s="93" t="s">
        <v>104</v>
      </c>
      <c r="F228" s="93" t="s">
        <v>855</v>
      </c>
      <c r="H228" s="93" t="s">
        <v>410</v>
      </c>
      <c r="I228" s="95" t="s">
        <v>7</v>
      </c>
      <c r="K228" s="108"/>
      <c r="L228" s="93" t="s">
        <v>810</v>
      </c>
      <c r="M228" s="108" t="s">
        <v>822</v>
      </c>
      <c r="N228" s="108" t="s">
        <v>822</v>
      </c>
      <c r="O228" s="108" t="s">
        <v>822</v>
      </c>
      <c r="P228" s="137" t="s">
        <v>822</v>
      </c>
    </row>
    <row r="229" spans="1:16" x14ac:dyDescent="0.25">
      <c r="A229" s="95" t="s">
        <v>398</v>
      </c>
      <c r="C229" s="93" t="s">
        <v>604</v>
      </c>
      <c r="D229" s="95" t="str">
        <f t="shared" si="3"/>
        <v/>
      </c>
      <c r="E229" s="93" t="s">
        <v>105</v>
      </c>
      <c r="F229" s="93" t="s">
        <v>440</v>
      </c>
      <c r="H229" s="93" t="s">
        <v>410</v>
      </c>
      <c r="I229" s="95" t="s">
        <v>7</v>
      </c>
      <c r="K229" s="108"/>
      <c r="L229" s="93" t="s">
        <v>810</v>
      </c>
      <c r="M229" s="108" t="s">
        <v>822</v>
      </c>
      <c r="N229" s="108" t="s">
        <v>822</v>
      </c>
      <c r="O229" s="108" t="s">
        <v>822</v>
      </c>
      <c r="P229" s="137" t="s">
        <v>822</v>
      </c>
    </row>
    <row r="230" spans="1:16" x14ac:dyDescent="0.25">
      <c r="A230" s="95" t="s">
        <v>398</v>
      </c>
      <c r="C230" s="93" t="s">
        <v>605</v>
      </c>
      <c r="D230" s="95" t="str">
        <f t="shared" si="3"/>
        <v/>
      </c>
      <c r="E230" s="93" t="s">
        <v>106</v>
      </c>
      <c r="F230" s="93" t="s">
        <v>441</v>
      </c>
      <c r="H230" s="93" t="s">
        <v>410</v>
      </c>
      <c r="I230" s="95" t="s">
        <v>7</v>
      </c>
      <c r="K230" s="108"/>
      <c r="L230" s="93" t="s">
        <v>810</v>
      </c>
      <c r="M230" s="108" t="s">
        <v>822</v>
      </c>
      <c r="N230" s="108" t="s">
        <v>822</v>
      </c>
      <c r="O230" s="108" t="s">
        <v>822</v>
      </c>
      <c r="P230" s="137" t="s">
        <v>822</v>
      </c>
    </row>
    <row r="231" spans="1:16" x14ac:dyDescent="0.25">
      <c r="A231" s="95" t="s">
        <v>398</v>
      </c>
      <c r="D231" s="95" t="str">
        <f t="shared" si="3"/>
        <v/>
      </c>
      <c r="E231" s="93" t="s">
        <v>107</v>
      </c>
      <c r="F231" s="93" t="s">
        <v>890</v>
      </c>
      <c r="H231" s="93" t="s">
        <v>410</v>
      </c>
      <c r="K231" s="108"/>
      <c r="L231" s="93" t="s">
        <v>810</v>
      </c>
      <c r="M231" s="108" t="s">
        <v>822</v>
      </c>
      <c r="N231" s="108" t="s">
        <v>822</v>
      </c>
      <c r="O231" s="108" t="s">
        <v>822</v>
      </c>
      <c r="P231" s="137" t="s">
        <v>822</v>
      </c>
    </row>
    <row r="232" spans="1:16" x14ac:dyDescent="0.25">
      <c r="A232" s="95" t="s">
        <v>398</v>
      </c>
      <c r="C232" s="93" t="s">
        <v>586</v>
      </c>
      <c r="D232" s="95" t="str">
        <f t="shared" si="3"/>
        <v/>
      </c>
      <c r="E232" s="93" t="s">
        <v>108</v>
      </c>
      <c r="F232" s="93" t="s">
        <v>886</v>
      </c>
      <c r="H232" s="93" t="s">
        <v>410</v>
      </c>
      <c r="I232" s="95" t="s">
        <v>5</v>
      </c>
      <c r="K232" s="108"/>
      <c r="L232" s="93" t="s">
        <v>810</v>
      </c>
      <c r="M232" s="108" t="s">
        <v>822</v>
      </c>
      <c r="N232" s="108" t="s">
        <v>822</v>
      </c>
      <c r="O232" s="108" t="s">
        <v>822</v>
      </c>
      <c r="P232" s="137" t="s">
        <v>822</v>
      </c>
    </row>
    <row r="233" spans="1:16" x14ac:dyDescent="0.25">
      <c r="A233" s="95" t="s">
        <v>398</v>
      </c>
      <c r="D233" s="95" t="str">
        <f t="shared" si="3"/>
        <v/>
      </c>
      <c r="E233" s="93" t="s">
        <v>109</v>
      </c>
      <c r="F233" s="93" t="s">
        <v>444</v>
      </c>
      <c r="H233" s="93" t="s">
        <v>410</v>
      </c>
      <c r="K233" s="108"/>
      <c r="L233" s="93" t="s">
        <v>810</v>
      </c>
      <c r="M233" s="108" t="s">
        <v>822</v>
      </c>
      <c r="N233" s="108" t="s">
        <v>822</v>
      </c>
      <c r="O233" s="108" t="s">
        <v>822</v>
      </c>
      <c r="P233" s="137" t="s">
        <v>822</v>
      </c>
    </row>
    <row r="234" spans="1:16" x14ac:dyDescent="0.25">
      <c r="A234" s="95" t="s">
        <v>398</v>
      </c>
      <c r="D234" s="95" t="str">
        <f t="shared" si="3"/>
        <v/>
      </c>
      <c r="E234" s="93" t="s">
        <v>110</v>
      </c>
      <c r="F234" s="93" t="s">
        <v>842</v>
      </c>
      <c r="H234" s="93" t="s">
        <v>410</v>
      </c>
      <c r="K234" s="108"/>
      <c r="L234" s="93" t="s">
        <v>810</v>
      </c>
      <c r="M234" s="108" t="s">
        <v>822</v>
      </c>
      <c r="N234" s="108" t="s">
        <v>822</v>
      </c>
      <c r="O234" s="108" t="s">
        <v>822</v>
      </c>
      <c r="P234" s="137" t="s">
        <v>822</v>
      </c>
    </row>
    <row r="235" spans="1:16" x14ac:dyDescent="0.25">
      <c r="A235" s="95" t="s">
        <v>398</v>
      </c>
      <c r="C235" s="93" t="s">
        <v>546</v>
      </c>
      <c r="D235" s="95" t="str">
        <f t="shared" si="3"/>
        <v>Pre-Delivery</v>
      </c>
      <c r="E235" s="93" t="s">
        <v>543</v>
      </c>
      <c r="F235" s="93" t="s">
        <v>446</v>
      </c>
      <c r="H235" s="93" t="s">
        <v>158</v>
      </c>
      <c r="I235" s="95" t="s">
        <v>7</v>
      </c>
      <c r="J235" s="97">
        <v>46098</v>
      </c>
      <c r="K235" s="108"/>
      <c r="L235" s="93" t="s">
        <v>810</v>
      </c>
      <c r="M235" s="108" t="s">
        <v>822</v>
      </c>
      <c r="N235" s="108" t="s">
        <v>822</v>
      </c>
      <c r="O235" s="108" t="s">
        <v>822</v>
      </c>
      <c r="P235" s="137" t="s">
        <v>822</v>
      </c>
    </row>
    <row r="236" spans="1:16" x14ac:dyDescent="0.25">
      <c r="A236" s="95" t="s">
        <v>398</v>
      </c>
      <c r="C236" s="93" t="s">
        <v>466</v>
      </c>
      <c r="D236" s="95" t="str">
        <f t="shared" si="3"/>
        <v/>
      </c>
      <c r="E236" s="93" t="s">
        <v>445</v>
      </c>
      <c r="F236" s="93" t="s">
        <v>850</v>
      </c>
      <c r="H236" s="93" t="s">
        <v>410</v>
      </c>
      <c r="I236" s="95" t="s">
        <v>7</v>
      </c>
      <c r="K236" s="108"/>
      <c r="L236" s="93" t="s">
        <v>810</v>
      </c>
      <c r="M236" s="108" t="s">
        <v>822</v>
      </c>
      <c r="N236" s="108" t="s">
        <v>822</v>
      </c>
      <c r="O236" s="108" t="s">
        <v>822</v>
      </c>
      <c r="P236" s="137" t="s">
        <v>822</v>
      </c>
    </row>
    <row r="237" spans="1:16" x14ac:dyDescent="0.25">
      <c r="A237" s="95" t="s">
        <v>398</v>
      </c>
      <c r="D237" s="95" t="str">
        <f t="shared" si="3"/>
        <v/>
      </c>
      <c r="E237" s="93" t="s">
        <v>111</v>
      </c>
      <c r="F237" s="93" t="s">
        <v>911</v>
      </c>
      <c r="H237" s="93" t="s">
        <v>410</v>
      </c>
      <c r="K237" s="108"/>
      <c r="L237" s="93" t="s">
        <v>810</v>
      </c>
      <c r="M237" s="108" t="s">
        <v>822</v>
      </c>
      <c r="N237" s="108" t="s">
        <v>822</v>
      </c>
      <c r="O237" s="108" t="s">
        <v>822</v>
      </c>
      <c r="P237" s="137" t="s">
        <v>822</v>
      </c>
    </row>
    <row r="238" spans="1:16" x14ac:dyDescent="0.25">
      <c r="A238" s="95" t="s">
        <v>398</v>
      </c>
      <c r="C238" s="93" t="s">
        <v>491</v>
      </c>
      <c r="D238" s="95" t="str">
        <f t="shared" si="3"/>
        <v>Pre-Delivery</v>
      </c>
      <c r="E238" s="93" t="s">
        <v>492</v>
      </c>
      <c r="F238" s="93" t="s">
        <v>448</v>
      </c>
      <c r="H238" s="93" t="s">
        <v>410</v>
      </c>
      <c r="I238" s="95" t="s">
        <v>3</v>
      </c>
      <c r="J238" s="97">
        <v>46098</v>
      </c>
      <c r="K238" s="108"/>
      <c r="L238" s="93" t="s">
        <v>810</v>
      </c>
      <c r="M238" s="108" t="s">
        <v>822</v>
      </c>
      <c r="N238" s="108" t="s">
        <v>822</v>
      </c>
      <c r="O238" s="108" t="s">
        <v>822</v>
      </c>
      <c r="P238" s="137" t="s">
        <v>822</v>
      </c>
    </row>
    <row r="239" spans="1:16" x14ac:dyDescent="0.25">
      <c r="A239" s="95" t="s">
        <v>398</v>
      </c>
      <c r="D239" s="95" t="str">
        <f t="shared" si="3"/>
        <v/>
      </c>
      <c r="E239" s="93" t="s">
        <v>112</v>
      </c>
      <c r="F239" s="93" t="s">
        <v>888</v>
      </c>
      <c r="H239" s="93" t="s">
        <v>410</v>
      </c>
      <c r="K239" s="108"/>
      <c r="L239" s="93" t="s">
        <v>810</v>
      </c>
      <c r="M239" s="108" t="s">
        <v>822</v>
      </c>
      <c r="N239" s="108" t="s">
        <v>822</v>
      </c>
      <c r="O239" s="108" t="s">
        <v>822</v>
      </c>
      <c r="P239" s="137" t="s">
        <v>822</v>
      </c>
    </row>
    <row r="240" spans="1:16" x14ac:dyDescent="0.25">
      <c r="A240" s="95" t="s">
        <v>398</v>
      </c>
      <c r="D240" s="95" t="str">
        <f t="shared" si="3"/>
        <v/>
      </c>
      <c r="E240" s="93" t="s">
        <v>113</v>
      </c>
      <c r="F240" s="93" t="s">
        <v>882</v>
      </c>
      <c r="H240" s="93" t="s">
        <v>410</v>
      </c>
      <c r="K240" s="108"/>
      <c r="L240" s="93" t="s">
        <v>810</v>
      </c>
      <c r="M240" s="108" t="s">
        <v>822</v>
      </c>
      <c r="N240" s="108" t="s">
        <v>822</v>
      </c>
      <c r="O240" s="108" t="s">
        <v>822</v>
      </c>
      <c r="P240" s="137" t="s">
        <v>822</v>
      </c>
    </row>
    <row r="241" spans="1:16" x14ac:dyDescent="0.25">
      <c r="A241" s="95" t="s">
        <v>398</v>
      </c>
      <c r="D241" s="95" t="str">
        <f t="shared" si="3"/>
        <v/>
      </c>
      <c r="E241" s="93" t="s">
        <v>114</v>
      </c>
      <c r="F241" s="93" t="s">
        <v>912</v>
      </c>
      <c r="H241" s="93" t="s">
        <v>410</v>
      </c>
      <c r="K241" s="108"/>
      <c r="L241" s="93" t="s">
        <v>810</v>
      </c>
      <c r="M241" s="108" t="s">
        <v>822</v>
      </c>
      <c r="N241" s="108" t="s">
        <v>822</v>
      </c>
      <c r="O241" s="108" t="s">
        <v>822</v>
      </c>
      <c r="P241" s="137" t="s">
        <v>822</v>
      </c>
    </row>
    <row r="242" spans="1:16" ht="37.5" x14ac:dyDescent="0.25">
      <c r="A242" s="95" t="s">
        <v>398</v>
      </c>
      <c r="D242" s="95" t="str">
        <f t="shared" si="3"/>
        <v/>
      </c>
      <c r="E242" s="93" t="s">
        <v>115</v>
      </c>
      <c r="F242" s="93" t="s">
        <v>863</v>
      </c>
      <c r="H242" s="93" t="s">
        <v>410</v>
      </c>
      <c r="K242" s="108"/>
      <c r="L242" s="93" t="s">
        <v>810</v>
      </c>
      <c r="M242" s="108" t="s">
        <v>822</v>
      </c>
      <c r="N242" s="108" t="s">
        <v>822</v>
      </c>
      <c r="O242" s="108" t="s">
        <v>822</v>
      </c>
      <c r="P242" s="137" t="s">
        <v>822</v>
      </c>
    </row>
    <row r="243" spans="1:16" x14ac:dyDescent="0.25">
      <c r="A243" s="95" t="s">
        <v>398</v>
      </c>
      <c r="D243" s="95" t="str">
        <f t="shared" si="3"/>
        <v/>
      </c>
      <c r="E243" s="93" t="s">
        <v>116</v>
      </c>
      <c r="F243" s="93" t="s">
        <v>132</v>
      </c>
      <c r="H243" s="93" t="s">
        <v>410</v>
      </c>
      <c r="K243" s="108"/>
      <c r="L243" s="93" t="s">
        <v>810</v>
      </c>
      <c r="M243" s="108" t="s">
        <v>822</v>
      </c>
      <c r="N243" s="108" t="s">
        <v>822</v>
      </c>
      <c r="O243" s="108" t="s">
        <v>822</v>
      </c>
      <c r="P243" s="137" t="s">
        <v>822</v>
      </c>
    </row>
    <row r="244" spans="1:16" x14ac:dyDescent="0.25">
      <c r="A244" s="95" t="s">
        <v>398</v>
      </c>
      <c r="C244" s="93" t="s">
        <v>471</v>
      </c>
      <c r="D244" s="95" t="str">
        <f t="shared" si="3"/>
        <v/>
      </c>
      <c r="E244" s="93" t="s">
        <v>117</v>
      </c>
      <c r="F244" s="93" t="s">
        <v>902</v>
      </c>
      <c r="H244" s="93" t="s">
        <v>410</v>
      </c>
      <c r="I244" s="95" t="s">
        <v>7</v>
      </c>
      <c r="K244" s="108"/>
      <c r="L244" s="93" t="s">
        <v>810</v>
      </c>
      <c r="M244" s="108" t="s">
        <v>822</v>
      </c>
      <c r="N244" s="108" t="s">
        <v>822</v>
      </c>
      <c r="O244" s="108" t="s">
        <v>822</v>
      </c>
      <c r="P244" s="137" t="s">
        <v>822</v>
      </c>
    </row>
    <row r="245" spans="1:16" x14ac:dyDescent="0.25">
      <c r="A245" s="95" t="s">
        <v>398</v>
      </c>
      <c r="D245" s="95" t="str">
        <f t="shared" si="3"/>
        <v/>
      </c>
      <c r="E245" s="93" t="s">
        <v>132</v>
      </c>
      <c r="F245" s="93" t="s">
        <v>134</v>
      </c>
      <c r="H245" s="93" t="s">
        <v>410</v>
      </c>
      <c r="K245" s="108"/>
      <c r="L245" s="93" t="s">
        <v>810</v>
      </c>
      <c r="M245" s="108" t="s">
        <v>822</v>
      </c>
      <c r="N245" s="108" t="s">
        <v>822</v>
      </c>
      <c r="O245" s="108" t="s">
        <v>822</v>
      </c>
      <c r="P245" s="137" t="s">
        <v>822</v>
      </c>
    </row>
    <row r="246" spans="1:16" x14ac:dyDescent="0.25">
      <c r="A246" s="95" t="s">
        <v>398</v>
      </c>
      <c r="D246" s="95" t="str">
        <f t="shared" si="3"/>
        <v/>
      </c>
      <c r="E246" s="93" t="s">
        <v>133</v>
      </c>
      <c r="F246" s="93" t="s">
        <v>868</v>
      </c>
      <c r="H246" s="93" t="s">
        <v>410</v>
      </c>
      <c r="K246" s="108"/>
      <c r="L246" s="93" t="s">
        <v>810</v>
      </c>
      <c r="M246" s="108" t="s">
        <v>822</v>
      </c>
      <c r="N246" s="108" t="s">
        <v>822</v>
      </c>
      <c r="O246" s="108" t="s">
        <v>822</v>
      </c>
      <c r="P246" s="137" t="s">
        <v>822</v>
      </c>
    </row>
    <row r="247" spans="1:16" x14ac:dyDescent="0.25">
      <c r="A247" s="95" t="s">
        <v>398</v>
      </c>
      <c r="D247" s="95" t="str">
        <f t="shared" si="3"/>
        <v/>
      </c>
      <c r="E247" s="93" t="s">
        <v>134</v>
      </c>
      <c r="F247" s="93" t="s">
        <v>136</v>
      </c>
      <c r="H247" s="93" t="s">
        <v>410</v>
      </c>
      <c r="K247" s="108"/>
      <c r="L247" s="93" t="s">
        <v>810</v>
      </c>
      <c r="M247" s="108" t="s">
        <v>822</v>
      </c>
      <c r="N247" s="108" t="s">
        <v>822</v>
      </c>
      <c r="O247" s="108" t="s">
        <v>822</v>
      </c>
      <c r="P247" s="137" t="s">
        <v>822</v>
      </c>
    </row>
    <row r="248" spans="1:16" x14ac:dyDescent="0.25">
      <c r="A248" s="95" t="s">
        <v>398</v>
      </c>
      <c r="C248" s="93" t="s">
        <v>642</v>
      </c>
      <c r="D248" s="95" t="str">
        <f t="shared" si="3"/>
        <v/>
      </c>
      <c r="E248" s="93" t="s">
        <v>135</v>
      </c>
      <c r="F248" s="93" t="s">
        <v>846</v>
      </c>
      <c r="H248" s="93" t="s">
        <v>410</v>
      </c>
      <c r="I248" s="95" t="s">
        <v>5</v>
      </c>
      <c r="K248" s="108"/>
      <c r="L248" s="93" t="s">
        <v>810</v>
      </c>
      <c r="M248" s="108" t="s">
        <v>822</v>
      </c>
      <c r="N248" s="108" t="s">
        <v>822</v>
      </c>
      <c r="O248" s="108" t="s">
        <v>822</v>
      </c>
      <c r="P248" s="137" t="s">
        <v>822</v>
      </c>
    </row>
    <row r="249" spans="1:16" x14ac:dyDescent="0.25">
      <c r="A249" s="95" t="s">
        <v>398</v>
      </c>
      <c r="D249" s="95" t="str">
        <f t="shared" si="3"/>
        <v/>
      </c>
      <c r="E249" s="93" t="s">
        <v>136</v>
      </c>
      <c r="F249" s="93" t="s">
        <v>864</v>
      </c>
      <c r="H249" s="93" t="s">
        <v>410</v>
      </c>
      <c r="K249" s="108"/>
      <c r="L249" s="93" t="s">
        <v>810</v>
      </c>
      <c r="M249" s="108" t="s">
        <v>822</v>
      </c>
      <c r="N249" s="108" t="s">
        <v>822</v>
      </c>
      <c r="O249" s="108" t="s">
        <v>822</v>
      </c>
      <c r="P249" s="137" t="s">
        <v>822</v>
      </c>
    </row>
    <row r="250" spans="1:16" x14ac:dyDescent="0.25">
      <c r="A250" s="95" t="s">
        <v>398</v>
      </c>
      <c r="C250" s="93" t="s">
        <v>493</v>
      </c>
      <c r="D250" s="95" t="str">
        <f t="shared" si="3"/>
        <v>Pre-Delivery</v>
      </c>
      <c r="E250" s="93" t="s">
        <v>488</v>
      </c>
      <c r="F250" s="93" t="s">
        <v>138</v>
      </c>
      <c r="H250" s="93" t="s">
        <v>158</v>
      </c>
      <c r="I250" s="95" t="s">
        <v>5</v>
      </c>
      <c r="J250" s="97">
        <v>46101</v>
      </c>
      <c r="K250" s="108"/>
      <c r="L250" s="93" t="s">
        <v>810</v>
      </c>
      <c r="M250" s="108" t="s">
        <v>822</v>
      </c>
      <c r="N250" s="108" t="s">
        <v>822</v>
      </c>
      <c r="O250" s="108" t="s">
        <v>822</v>
      </c>
      <c r="P250" s="137" t="s">
        <v>822</v>
      </c>
    </row>
    <row r="251" spans="1:16" x14ac:dyDescent="0.25">
      <c r="A251" s="95" t="s">
        <v>398</v>
      </c>
      <c r="D251" s="95" t="str">
        <f t="shared" si="3"/>
        <v/>
      </c>
      <c r="E251" s="93" t="s">
        <v>137</v>
      </c>
      <c r="F251" s="93" t="s">
        <v>913</v>
      </c>
      <c r="H251" s="93" t="s">
        <v>158</v>
      </c>
      <c r="K251" s="108"/>
      <c r="L251" s="93" t="s">
        <v>810</v>
      </c>
      <c r="M251" s="108" t="s">
        <v>822</v>
      </c>
      <c r="N251" s="108" t="s">
        <v>822</v>
      </c>
      <c r="O251" s="108" t="s">
        <v>822</v>
      </c>
      <c r="P251" s="137" t="s">
        <v>822</v>
      </c>
    </row>
    <row r="252" spans="1:16" s="100" customFormat="1" ht="19.5" thickBot="1" x14ac:dyDescent="0.3">
      <c r="A252" s="98" t="s">
        <v>398</v>
      </c>
      <c r="B252" s="99"/>
      <c r="C252" s="99"/>
      <c r="D252" s="98" t="str">
        <f t="shared" si="3"/>
        <v/>
      </c>
      <c r="E252" s="99" t="s">
        <v>138</v>
      </c>
      <c r="F252" s="99" t="s">
        <v>138</v>
      </c>
      <c r="G252" s="99"/>
      <c r="H252" s="99" t="s">
        <v>158</v>
      </c>
      <c r="I252" s="98"/>
      <c r="J252" s="99"/>
      <c r="K252" s="99"/>
      <c r="L252" s="99" t="s">
        <v>810</v>
      </c>
      <c r="M252" s="110" t="s">
        <v>822</v>
      </c>
      <c r="N252" s="110" t="s">
        <v>822</v>
      </c>
      <c r="O252" s="110" t="s">
        <v>822</v>
      </c>
      <c r="P252" s="137" t="s">
        <v>822</v>
      </c>
    </row>
    <row r="253" spans="1:16" x14ac:dyDescent="0.25">
      <c r="A253" s="95" t="s">
        <v>186</v>
      </c>
      <c r="C253" s="93" t="s">
        <v>187</v>
      </c>
      <c r="D253" s="95" t="str">
        <f t="shared" si="3"/>
        <v/>
      </c>
      <c r="E253" s="93" t="s">
        <v>86</v>
      </c>
      <c r="F253" s="93" t="s">
        <v>834</v>
      </c>
      <c r="H253" s="93" t="s">
        <v>157</v>
      </c>
      <c r="I253" s="95" t="s">
        <v>7</v>
      </c>
      <c r="J253" s="105">
        <v>46064</v>
      </c>
      <c r="K253" s="97">
        <v>46079</v>
      </c>
      <c r="L253" s="93" t="s">
        <v>810</v>
      </c>
      <c r="M253" s="108" t="s">
        <v>822</v>
      </c>
      <c r="N253" s="108" t="s">
        <v>822</v>
      </c>
      <c r="O253" s="108" t="s">
        <v>822</v>
      </c>
      <c r="P253" s="137" t="s">
        <v>822</v>
      </c>
    </row>
    <row r="254" spans="1:16" x14ac:dyDescent="0.25">
      <c r="A254" s="95" t="s">
        <v>186</v>
      </c>
      <c r="C254" s="93" t="s">
        <v>188</v>
      </c>
      <c r="D254" s="95" t="str">
        <f t="shared" si="3"/>
        <v/>
      </c>
      <c r="E254" s="93" t="s">
        <v>209</v>
      </c>
      <c r="F254" s="93" t="s">
        <v>847</v>
      </c>
      <c r="H254" s="93" t="s">
        <v>158</v>
      </c>
      <c r="I254" s="95" t="s">
        <v>5</v>
      </c>
      <c r="J254" s="105">
        <v>46078</v>
      </c>
      <c r="L254" s="93" t="s">
        <v>810</v>
      </c>
      <c r="M254" s="108" t="s">
        <v>822</v>
      </c>
      <c r="N254" s="108" t="s">
        <v>822</v>
      </c>
      <c r="O254" s="108" t="s">
        <v>822</v>
      </c>
      <c r="P254" s="137" t="s">
        <v>822</v>
      </c>
    </row>
    <row r="255" spans="1:16" x14ac:dyDescent="0.25">
      <c r="A255" s="95" t="s">
        <v>186</v>
      </c>
      <c r="C255" s="93" t="s">
        <v>189</v>
      </c>
      <c r="D255" s="95" t="str">
        <f t="shared" si="3"/>
        <v/>
      </c>
      <c r="E255" s="93" t="s">
        <v>210</v>
      </c>
      <c r="F255" s="93" t="s">
        <v>869</v>
      </c>
      <c r="H255" s="93" t="s">
        <v>157</v>
      </c>
      <c r="I255" s="95" t="s">
        <v>7</v>
      </c>
      <c r="J255" s="105">
        <v>46041</v>
      </c>
      <c r="K255" s="97">
        <v>46079</v>
      </c>
      <c r="L255" s="93" t="s">
        <v>810</v>
      </c>
      <c r="M255" s="108" t="s">
        <v>822</v>
      </c>
      <c r="N255" s="108" t="s">
        <v>822</v>
      </c>
      <c r="O255" s="108" t="s">
        <v>822</v>
      </c>
      <c r="P255" s="137" t="s">
        <v>822</v>
      </c>
    </row>
    <row r="256" spans="1:16" x14ac:dyDescent="0.25">
      <c r="A256" s="95" t="s">
        <v>186</v>
      </c>
      <c r="C256" s="93" t="s">
        <v>190</v>
      </c>
      <c r="D256" s="95" t="str">
        <f t="shared" si="3"/>
        <v/>
      </c>
      <c r="E256" s="93" t="s">
        <v>39</v>
      </c>
      <c r="F256" s="93" t="s">
        <v>848</v>
      </c>
      <c r="H256" s="93" t="s">
        <v>157</v>
      </c>
      <c r="I256" s="95" t="s">
        <v>7</v>
      </c>
      <c r="J256" s="105">
        <v>46063</v>
      </c>
      <c r="K256" s="97">
        <v>46079</v>
      </c>
      <c r="L256" s="93" t="s">
        <v>810</v>
      </c>
      <c r="M256" s="108" t="s">
        <v>822</v>
      </c>
      <c r="N256" s="108" t="s">
        <v>822</v>
      </c>
      <c r="O256" s="108" t="s">
        <v>822</v>
      </c>
      <c r="P256" s="137" t="s">
        <v>822</v>
      </c>
    </row>
    <row r="257" spans="1:16" x14ac:dyDescent="0.25">
      <c r="A257" s="95" t="s">
        <v>186</v>
      </c>
      <c r="C257" s="93" t="s">
        <v>191</v>
      </c>
      <c r="D257" s="95" t="str">
        <f t="shared" si="3"/>
        <v/>
      </c>
      <c r="E257" s="93" t="s">
        <v>211</v>
      </c>
      <c r="F257" s="93" t="s">
        <v>870</v>
      </c>
      <c r="H257" s="93" t="s">
        <v>157</v>
      </c>
      <c r="I257" s="95" t="s">
        <v>7</v>
      </c>
      <c r="J257" s="105">
        <v>46048</v>
      </c>
      <c r="K257" s="97">
        <v>46079</v>
      </c>
      <c r="L257" s="93" t="s">
        <v>810</v>
      </c>
      <c r="M257" s="108" t="s">
        <v>822</v>
      </c>
      <c r="N257" s="108" t="s">
        <v>822</v>
      </c>
      <c r="O257" s="108" t="s">
        <v>822</v>
      </c>
      <c r="P257" s="137" t="s">
        <v>822</v>
      </c>
    </row>
    <row r="258" spans="1:16" x14ac:dyDescent="0.25">
      <c r="A258" s="95" t="s">
        <v>186</v>
      </c>
      <c r="C258" s="93" t="s">
        <v>192</v>
      </c>
      <c r="D258" s="95" t="str">
        <f t="shared" si="3"/>
        <v/>
      </c>
      <c r="E258" s="93" t="s">
        <v>212</v>
      </c>
      <c r="F258" s="93" t="s">
        <v>866</v>
      </c>
      <c r="H258" s="93" t="s">
        <v>157</v>
      </c>
      <c r="I258" s="95" t="s">
        <v>7</v>
      </c>
      <c r="J258" s="105">
        <v>46063</v>
      </c>
      <c r="K258" s="97">
        <v>46079</v>
      </c>
      <c r="L258" s="93" t="s">
        <v>810</v>
      </c>
      <c r="M258" s="108" t="s">
        <v>822</v>
      </c>
      <c r="N258" s="108" t="s">
        <v>822</v>
      </c>
      <c r="O258" s="108" t="s">
        <v>822</v>
      </c>
      <c r="P258" s="137" t="s">
        <v>822</v>
      </c>
    </row>
    <row r="259" spans="1:16" ht="37.5" x14ac:dyDescent="0.25">
      <c r="A259" s="95" t="s">
        <v>186</v>
      </c>
      <c r="C259" s="93" t="s">
        <v>193</v>
      </c>
      <c r="D259" s="95" t="str">
        <f t="shared" si="3"/>
        <v/>
      </c>
      <c r="E259" s="93" t="s">
        <v>213</v>
      </c>
      <c r="F259" s="93" t="s">
        <v>841</v>
      </c>
      <c r="H259" s="93" t="s">
        <v>158</v>
      </c>
      <c r="I259" s="95" t="s">
        <v>7</v>
      </c>
      <c r="J259" s="105">
        <v>46065</v>
      </c>
      <c r="L259" s="93" t="s">
        <v>810</v>
      </c>
      <c r="M259" s="108" t="s">
        <v>822</v>
      </c>
      <c r="N259" s="108" t="s">
        <v>822</v>
      </c>
      <c r="O259" s="108" t="s">
        <v>822</v>
      </c>
      <c r="P259" s="137" t="s">
        <v>822</v>
      </c>
    </row>
    <row r="260" spans="1:16" x14ac:dyDescent="0.25">
      <c r="A260" s="95" t="s">
        <v>186</v>
      </c>
      <c r="C260" s="93" t="s">
        <v>194</v>
      </c>
      <c r="D260" s="95" t="str">
        <f t="shared" si="3"/>
        <v/>
      </c>
      <c r="E260" s="93" t="s">
        <v>214</v>
      </c>
      <c r="F260" s="93" t="s">
        <v>920</v>
      </c>
      <c r="H260" s="93" t="s">
        <v>157</v>
      </c>
      <c r="I260" s="95" t="s">
        <v>7</v>
      </c>
      <c r="J260" s="105">
        <v>46041</v>
      </c>
      <c r="K260" s="97">
        <v>46079</v>
      </c>
      <c r="L260" s="93" t="s">
        <v>810</v>
      </c>
      <c r="M260" s="108" t="s">
        <v>822</v>
      </c>
      <c r="N260" s="108" t="s">
        <v>822</v>
      </c>
      <c r="O260" s="108" t="s">
        <v>822</v>
      </c>
      <c r="P260" s="137" t="s">
        <v>822</v>
      </c>
    </row>
    <row r="261" spans="1:16" x14ac:dyDescent="0.25">
      <c r="A261" s="95" t="s">
        <v>186</v>
      </c>
      <c r="C261" s="93" t="s">
        <v>195</v>
      </c>
      <c r="D261" s="95" t="str">
        <f t="shared" si="3"/>
        <v/>
      </c>
      <c r="E261" s="93" t="s">
        <v>101</v>
      </c>
      <c r="F261" s="93" t="s">
        <v>904</v>
      </c>
      <c r="H261" s="93" t="s">
        <v>157</v>
      </c>
      <c r="I261" s="95" t="s">
        <v>7</v>
      </c>
      <c r="J261" s="105">
        <v>46072</v>
      </c>
      <c r="K261" s="97">
        <v>46079</v>
      </c>
      <c r="L261" s="93" t="s">
        <v>810</v>
      </c>
      <c r="M261" s="108" t="s">
        <v>822</v>
      </c>
      <c r="N261" s="108" t="s">
        <v>822</v>
      </c>
      <c r="O261" s="108" t="s">
        <v>822</v>
      </c>
      <c r="P261" s="137" t="s">
        <v>822</v>
      </c>
    </row>
    <row r="262" spans="1:16" x14ac:dyDescent="0.25">
      <c r="A262" s="95" t="s">
        <v>186</v>
      </c>
      <c r="C262" s="93" t="s">
        <v>196</v>
      </c>
      <c r="D262" s="95" t="str">
        <f t="shared" si="3"/>
        <v/>
      </c>
      <c r="E262" s="93" t="s">
        <v>54</v>
      </c>
      <c r="F262" s="93" t="s">
        <v>858</v>
      </c>
      <c r="H262" s="93" t="s">
        <v>158</v>
      </c>
      <c r="I262" s="95" t="s">
        <v>3</v>
      </c>
      <c r="J262" s="105">
        <v>46078</v>
      </c>
      <c r="L262" s="93" t="s">
        <v>810</v>
      </c>
      <c r="M262" s="108" t="s">
        <v>822</v>
      </c>
      <c r="N262" s="108" t="s">
        <v>822</v>
      </c>
      <c r="O262" s="108" t="s">
        <v>822</v>
      </c>
      <c r="P262" s="137" t="s">
        <v>822</v>
      </c>
    </row>
    <row r="263" spans="1:16" x14ac:dyDescent="0.25">
      <c r="A263" s="95" t="s">
        <v>186</v>
      </c>
      <c r="C263" s="93" t="s">
        <v>197</v>
      </c>
      <c r="D263" s="95" t="str">
        <f t="shared" ref="D263:D326" si="4">IF(OR(ISNUMBER(SEARCH("Pre Delivery",E263)),ISNUMBER(SEARCH("Pre-Delivery",E263)),ISNUMBER(SEARCH("Predelivery",E263)),ISNUMBER(SEARCH("PD -",E263)),ISNUMBER(SEARCH("PD Lubes",E263))),"Pre-Delivery","")</f>
        <v/>
      </c>
      <c r="E263" s="93" t="s">
        <v>49</v>
      </c>
      <c r="F263" s="93" t="s">
        <v>839</v>
      </c>
      <c r="H263" s="93" t="s">
        <v>157</v>
      </c>
      <c r="I263" s="95" t="s">
        <v>7</v>
      </c>
      <c r="J263" s="105">
        <v>46043</v>
      </c>
      <c r="K263" s="97">
        <v>46079</v>
      </c>
      <c r="L263" s="93" t="s">
        <v>810</v>
      </c>
      <c r="M263" s="108" t="s">
        <v>822</v>
      </c>
      <c r="N263" s="108" t="s">
        <v>822</v>
      </c>
      <c r="O263" s="108" t="s">
        <v>822</v>
      </c>
      <c r="P263" s="137" t="s">
        <v>822</v>
      </c>
    </row>
    <row r="264" spans="1:16" x14ac:dyDescent="0.25">
      <c r="A264" s="95" t="s">
        <v>186</v>
      </c>
      <c r="C264" s="93" t="s">
        <v>198</v>
      </c>
      <c r="D264" s="95" t="str">
        <f t="shared" si="4"/>
        <v/>
      </c>
      <c r="E264" s="93" t="s">
        <v>215</v>
      </c>
      <c r="F264" s="93" t="s">
        <v>835</v>
      </c>
      <c r="H264" s="93" t="s">
        <v>157</v>
      </c>
      <c r="I264" s="95" t="s">
        <v>7</v>
      </c>
      <c r="J264" s="105">
        <v>46041</v>
      </c>
      <c r="K264" s="97">
        <v>46079</v>
      </c>
      <c r="L264" s="93" t="s">
        <v>810</v>
      </c>
      <c r="M264" s="108" t="s">
        <v>822</v>
      </c>
      <c r="N264" s="108" t="s">
        <v>822</v>
      </c>
      <c r="O264" s="108" t="s">
        <v>822</v>
      </c>
      <c r="P264" s="137" t="s">
        <v>822</v>
      </c>
    </row>
    <row r="265" spans="1:16" x14ac:dyDescent="0.25">
      <c r="A265" s="95" t="s">
        <v>186</v>
      </c>
      <c r="C265" s="93" t="s">
        <v>199</v>
      </c>
      <c r="D265" s="95" t="str">
        <f t="shared" si="4"/>
        <v/>
      </c>
      <c r="E265" s="93" t="s">
        <v>59</v>
      </c>
      <c r="F265" s="93" t="s">
        <v>840</v>
      </c>
      <c r="H265" s="93" t="s">
        <v>158</v>
      </c>
      <c r="I265" s="95" t="s">
        <v>7</v>
      </c>
      <c r="J265" s="105">
        <v>46087</v>
      </c>
      <c r="L265" s="93" t="s">
        <v>810</v>
      </c>
      <c r="M265" s="108" t="s">
        <v>822</v>
      </c>
      <c r="N265" s="108" t="s">
        <v>822</v>
      </c>
      <c r="O265" s="108" t="s">
        <v>822</v>
      </c>
      <c r="P265" s="137" t="s">
        <v>822</v>
      </c>
    </row>
    <row r="266" spans="1:16" x14ac:dyDescent="0.25">
      <c r="A266" s="95" t="s">
        <v>186</v>
      </c>
      <c r="C266" s="93" t="s">
        <v>200</v>
      </c>
      <c r="D266" s="95" t="str">
        <f t="shared" si="4"/>
        <v/>
      </c>
      <c r="E266" s="93" t="s">
        <v>45</v>
      </c>
      <c r="F266" s="93" t="s">
        <v>845</v>
      </c>
      <c r="H266" s="93" t="s">
        <v>157</v>
      </c>
      <c r="I266" s="95" t="s">
        <v>7</v>
      </c>
      <c r="J266" s="97">
        <v>46043</v>
      </c>
      <c r="K266" s="97">
        <v>46079</v>
      </c>
      <c r="L266" s="93" t="s">
        <v>810</v>
      </c>
      <c r="M266" s="108" t="s">
        <v>822</v>
      </c>
      <c r="N266" s="108" t="s">
        <v>822</v>
      </c>
      <c r="O266" s="108" t="s">
        <v>822</v>
      </c>
      <c r="P266" s="137" t="s">
        <v>822</v>
      </c>
    </row>
    <row r="267" spans="1:16" x14ac:dyDescent="0.25">
      <c r="A267" s="95" t="s">
        <v>186</v>
      </c>
      <c r="C267" s="93" t="s">
        <v>201</v>
      </c>
      <c r="D267" s="95" t="str">
        <f t="shared" si="4"/>
        <v/>
      </c>
      <c r="E267" s="93" t="s">
        <v>216</v>
      </c>
      <c r="F267" s="93" t="s">
        <v>910</v>
      </c>
      <c r="H267" s="93" t="s">
        <v>158</v>
      </c>
      <c r="I267" s="95" t="s">
        <v>7</v>
      </c>
      <c r="J267" s="105">
        <v>46070</v>
      </c>
      <c r="L267" s="93" t="s">
        <v>810</v>
      </c>
      <c r="M267" s="108" t="s">
        <v>822</v>
      </c>
      <c r="N267" s="108" t="s">
        <v>822</v>
      </c>
      <c r="O267" s="108" t="s">
        <v>822</v>
      </c>
      <c r="P267" s="137" t="s">
        <v>822</v>
      </c>
    </row>
    <row r="268" spans="1:16" x14ac:dyDescent="0.25">
      <c r="A268" s="95" t="s">
        <v>186</v>
      </c>
      <c r="C268" s="93" t="s">
        <v>202</v>
      </c>
      <c r="D268" s="95" t="str">
        <f t="shared" si="4"/>
        <v/>
      </c>
      <c r="E268" s="93" t="s">
        <v>217</v>
      </c>
      <c r="F268" s="93" t="s">
        <v>833</v>
      </c>
      <c r="H268" s="93" t="s">
        <v>157</v>
      </c>
      <c r="I268" s="95" t="s">
        <v>7</v>
      </c>
      <c r="J268" s="105">
        <v>46048</v>
      </c>
      <c r="K268" s="97">
        <v>46079</v>
      </c>
      <c r="L268" s="93" t="s">
        <v>810</v>
      </c>
      <c r="M268" s="108" t="s">
        <v>822</v>
      </c>
      <c r="N268" s="108" t="s">
        <v>822</v>
      </c>
      <c r="O268" s="108" t="s">
        <v>822</v>
      </c>
      <c r="P268" s="137" t="s">
        <v>822</v>
      </c>
    </row>
    <row r="269" spans="1:16" x14ac:dyDescent="0.25">
      <c r="A269" s="95" t="s">
        <v>186</v>
      </c>
      <c r="C269" s="93" t="s">
        <v>203</v>
      </c>
      <c r="D269" s="95" t="str">
        <f t="shared" si="4"/>
        <v/>
      </c>
      <c r="E269" s="93" t="s">
        <v>218</v>
      </c>
      <c r="F269" s="93" t="s">
        <v>844</v>
      </c>
      <c r="H269" s="93" t="s">
        <v>157</v>
      </c>
      <c r="I269" s="95" t="s">
        <v>7</v>
      </c>
      <c r="J269" s="105">
        <v>46043</v>
      </c>
      <c r="K269" s="97">
        <v>46079</v>
      </c>
      <c r="L269" s="93" t="s">
        <v>810</v>
      </c>
      <c r="M269" s="108" t="s">
        <v>822</v>
      </c>
      <c r="N269" s="108" t="s">
        <v>822</v>
      </c>
      <c r="O269" s="108" t="s">
        <v>822</v>
      </c>
      <c r="P269" s="137" t="s">
        <v>822</v>
      </c>
    </row>
    <row r="270" spans="1:16" x14ac:dyDescent="0.25">
      <c r="A270" s="95" t="s">
        <v>186</v>
      </c>
      <c r="C270" s="93" t="s">
        <v>204</v>
      </c>
      <c r="D270" s="95" t="str">
        <f t="shared" si="4"/>
        <v>Pre-Delivery</v>
      </c>
      <c r="E270" s="93" t="s">
        <v>219</v>
      </c>
      <c r="F270" s="93" t="s">
        <v>874</v>
      </c>
      <c r="H270" s="93" t="s">
        <v>163</v>
      </c>
      <c r="I270" s="95" t="s">
        <v>7</v>
      </c>
      <c r="J270" s="105">
        <v>46072</v>
      </c>
      <c r="K270" s="97">
        <v>46127</v>
      </c>
      <c r="L270" s="93" t="s">
        <v>810</v>
      </c>
      <c r="M270" s="108" t="s">
        <v>822</v>
      </c>
      <c r="N270" s="108" t="s">
        <v>822</v>
      </c>
      <c r="O270" s="108" t="s">
        <v>822</v>
      </c>
      <c r="P270" s="137" t="s">
        <v>822</v>
      </c>
    </row>
    <row r="271" spans="1:16" x14ac:dyDescent="0.25">
      <c r="A271" s="95" t="s">
        <v>186</v>
      </c>
      <c r="C271" s="93" t="s">
        <v>205</v>
      </c>
      <c r="D271" s="95" t="str">
        <f t="shared" si="4"/>
        <v/>
      </c>
      <c r="E271" s="93" t="s">
        <v>74</v>
      </c>
      <c r="F271" s="93" t="s">
        <v>873</v>
      </c>
      <c r="H271" s="93" t="s">
        <v>158</v>
      </c>
      <c r="I271" s="95" t="s">
        <v>7</v>
      </c>
      <c r="J271" s="105">
        <v>46087</v>
      </c>
      <c r="L271" s="93" t="s">
        <v>810</v>
      </c>
      <c r="M271" s="108" t="s">
        <v>822</v>
      </c>
      <c r="N271" s="108" t="s">
        <v>822</v>
      </c>
      <c r="O271" s="108" t="s">
        <v>822</v>
      </c>
      <c r="P271" s="137" t="s">
        <v>822</v>
      </c>
    </row>
    <row r="272" spans="1:16" x14ac:dyDescent="0.25">
      <c r="A272" s="95" t="s">
        <v>186</v>
      </c>
      <c r="C272" s="93" t="s">
        <v>206</v>
      </c>
      <c r="D272" s="95" t="str">
        <f t="shared" si="4"/>
        <v/>
      </c>
      <c r="E272" s="93" t="s">
        <v>82</v>
      </c>
      <c r="F272" s="93" t="s">
        <v>852</v>
      </c>
      <c r="H272" s="93" t="s">
        <v>157</v>
      </c>
      <c r="I272" s="95" t="s">
        <v>7</v>
      </c>
      <c r="J272" s="105">
        <v>46078</v>
      </c>
      <c r="K272" s="97">
        <v>46079</v>
      </c>
      <c r="L272" s="93" t="s">
        <v>810</v>
      </c>
      <c r="M272" s="108" t="s">
        <v>822</v>
      </c>
      <c r="N272" s="108" t="s">
        <v>822</v>
      </c>
      <c r="O272" s="108" t="s">
        <v>822</v>
      </c>
      <c r="P272" s="137" t="s">
        <v>822</v>
      </c>
    </row>
    <row r="273" spans="1:16" x14ac:dyDescent="0.25">
      <c r="A273" s="95" t="s">
        <v>186</v>
      </c>
      <c r="C273" s="93" t="s">
        <v>494</v>
      </c>
      <c r="D273" s="95" t="str">
        <f t="shared" si="4"/>
        <v/>
      </c>
      <c r="E273" s="93" t="s">
        <v>103</v>
      </c>
      <c r="F273" s="93" t="s">
        <v>849</v>
      </c>
      <c r="H273" s="93" t="s">
        <v>157</v>
      </c>
      <c r="I273" s="95" t="s">
        <v>7</v>
      </c>
      <c r="J273" s="97">
        <v>46086</v>
      </c>
      <c r="K273" s="97">
        <v>46079</v>
      </c>
      <c r="L273" s="93" t="s">
        <v>810</v>
      </c>
      <c r="M273" s="108" t="s">
        <v>822</v>
      </c>
      <c r="N273" s="108" t="s">
        <v>822</v>
      </c>
      <c r="O273" s="108" t="s">
        <v>822</v>
      </c>
      <c r="P273" s="137" t="s">
        <v>822</v>
      </c>
    </row>
    <row r="274" spans="1:16" x14ac:dyDescent="0.25">
      <c r="A274" s="95" t="s">
        <v>186</v>
      </c>
      <c r="C274" s="93" t="s">
        <v>495</v>
      </c>
      <c r="D274" s="95" t="str">
        <f t="shared" si="4"/>
        <v/>
      </c>
      <c r="E274" s="93" t="s">
        <v>220</v>
      </c>
      <c r="F274" s="93" t="s">
        <v>833</v>
      </c>
      <c r="H274" s="93" t="s">
        <v>158</v>
      </c>
      <c r="I274" s="95" t="s">
        <v>5</v>
      </c>
      <c r="J274" s="97">
        <v>46091</v>
      </c>
      <c r="L274" s="93" t="s">
        <v>810</v>
      </c>
      <c r="M274" s="108" t="s">
        <v>822</v>
      </c>
      <c r="N274" s="108" t="s">
        <v>822</v>
      </c>
      <c r="O274" s="108" t="s">
        <v>822</v>
      </c>
      <c r="P274" s="137" t="s">
        <v>822</v>
      </c>
    </row>
    <row r="275" spans="1:16" x14ac:dyDescent="0.25">
      <c r="A275" s="95" t="s">
        <v>186</v>
      </c>
      <c r="C275" s="93" t="s">
        <v>207</v>
      </c>
      <c r="D275" s="95" t="str">
        <f t="shared" si="4"/>
        <v/>
      </c>
      <c r="E275" s="93" t="s">
        <v>70</v>
      </c>
      <c r="F275" s="93" t="s">
        <v>889</v>
      </c>
      <c r="H275" s="93" t="s">
        <v>157</v>
      </c>
      <c r="I275" s="95" t="s">
        <v>7</v>
      </c>
      <c r="J275" s="105">
        <v>46077</v>
      </c>
      <c r="K275" s="97">
        <v>46079</v>
      </c>
      <c r="L275" s="93" t="s">
        <v>810</v>
      </c>
      <c r="M275" s="108" t="s">
        <v>822</v>
      </c>
      <c r="N275" s="108" t="s">
        <v>822</v>
      </c>
      <c r="O275" s="108" t="s">
        <v>822</v>
      </c>
      <c r="P275" s="137" t="s">
        <v>822</v>
      </c>
    </row>
    <row r="276" spans="1:16" x14ac:dyDescent="0.25">
      <c r="A276" s="95" t="s">
        <v>186</v>
      </c>
      <c r="C276" s="93" t="s">
        <v>208</v>
      </c>
      <c r="D276" s="95" t="str">
        <f t="shared" si="4"/>
        <v>Pre-Delivery</v>
      </c>
      <c r="E276" s="93" t="s">
        <v>221</v>
      </c>
      <c r="F276" s="93" t="s">
        <v>836</v>
      </c>
      <c r="H276" s="93" t="s">
        <v>158</v>
      </c>
      <c r="I276" s="95" t="s">
        <v>7</v>
      </c>
      <c r="L276" s="93" t="s">
        <v>810</v>
      </c>
      <c r="M276" s="108" t="s">
        <v>822</v>
      </c>
      <c r="N276" s="108" t="s">
        <v>822</v>
      </c>
      <c r="O276" s="108" t="s">
        <v>822</v>
      </c>
      <c r="P276" s="137" t="s">
        <v>822</v>
      </c>
    </row>
    <row r="277" spans="1:16" x14ac:dyDescent="0.25">
      <c r="A277" s="95" t="s">
        <v>186</v>
      </c>
      <c r="C277" s="93" t="s">
        <v>496</v>
      </c>
      <c r="D277" s="95" t="str">
        <f t="shared" si="4"/>
        <v/>
      </c>
      <c r="E277" s="93" t="s">
        <v>37</v>
      </c>
      <c r="F277" s="93" t="s">
        <v>864</v>
      </c>
      <c r="H277" s="93" t="s">
        <v>158</v>
      </c>
      <c r="I277" s="95" t="s">
        <v>5</v>
      </c>
      <c r="J277" s="97">
        <v>46112</v>
      </c>
      <c r="L277" s="93" t="s">
        <v>810</v>
      </c>
      <c r="M277" s="108" t="s">
        <v>822</v>
      </c>
      <c r="N277" s="108" t="s">
        <v>822</v>
      </c>
      <c r="O277" s="108" t="s">
        <v>822</v>
      </c>
      <c r="P277" s="137" t="s">
        <v>822</v>
      </c>
    </row>
    <row r="278" spans="1:16" x14ac:dyDescent="0.25">
      <c r="A278" s="95" t="s">
        <v>186</v>
      </c>
      <c r="C278" s="93" t="s">
        <v>562</v>
      </c>
      <c r="D278" s="95" t="str">
        <f t="shared" si="4"/>
        <v/>
      </c>
      <c r="E278" s="93" t="s">
        <v>563</v>
      </c>
      <c r="F278" s="93" t="s">
        <v>857</v>
      </c>
      <c r="H278" s="93" t="s">
        <v>410</v>
      </c>
      <c r="L278" s="93" t="s">
        <v>810</v>
      </c>
      <c r="M278" s="108" t="s">
        <v>822</v>
      </c>
      <c r="N278" s="108" t="s">
        <v>822</v>
      </c>
      <c r="O278" s="108" t="s">
        <v>822</v>
      </c>
      <c r="P278" s="137" t="s">
        <v>822</v>
      </c>
    </row>
    <row r="279" spans="1:16" x14ac:dyDescent="0.25">
      <c r="A279" s="95" t="s">
        <v>186</v>
      </c>
      <c r="D279" s="95" t="str">
        <f t="shared" si="4"/>
        <v/>
      </c>
      <c r="E279" s="93" t="s">
        <v>41</v>
      </c>
      <c r="F279" s="93" t="s">
        <v>864</v>
      </c>
      <c r="H279" s="93" t="s">
        <v>410</v>
      </c>
      <c r="L279" s="93" t="s">
        <v>810</v>
      </c>
      <c r="M279" s="108" t="s">
        <v>822</v>
      </c>
      <c r="N279" s="108" t="s">
        <v>822</v>
      </c>
      <c r="O279" s="108" t="s">
        <v>822</v>
      </c>
      <c r="P279" s="137" t="s">
        <v>822</v>
      </c>
    </row>
    <row r="280" spans="1:16" x14ac:dyDescent="0.25">
      <c r="A280" s="95" t="s">
        <v>186</v>
      </c>
      <c r="D280" s="95" t="str">
        <f t="shared" si="4"/>
        <v/>
      </c>
      <c r="E280" s="93" t="s">
        <v>232</v>
      </c>
      <c r="F280" s="93" t="s">
        <v>843</v>
      </c>
      <c r="H280" s="93" t="s">
        <v>410</v>
      </c>
      <c r="L280" s="93" t="s">
        <v>810</v>
      </c>
      <c r="M280" s="108" t="s">
        <v>822</v>
      </c>
      <c r="N280" s="108" t="s">
        <v>822</v>
      </c>
      <c r="O280" s="108" t="s">
        <v>822</v>
      </c>
      <c r="P280" s="137" t="s">
        <v>822</v>
      </c>
    </row>
    <row r="281" spans="1:16" ht="37.5" x14ac:dyDescent="0.25">
      <c r="A281" s="95" t="s">
        <v>186</v>
      </c>
      <c r="D281" s="95" t="str">
        <f t="shared" si="4"/>
        <v/>
      </c>
      <c r="E281" s="93" t="s">
        <v>64</v>
      </c>
      <c r="F281" s="93" t="s">
        <v>852</v>
      </c>
      <c r="H281" s="93" t="s">
        <v>410</v>
      </c>
      <c r="L281" s="93" t="s">
        <v>810</v>
      </c>
      <c r="M281" s="108" t="s">
        <v>822</v>
      </c>
      <c r="N281" s="108" t="s">
        <v>822</v>
      </c>
      <c r="O281" s="108" t="s">
        <v>822</v>
      </c>
      <c r="P281" s="137" t="s">
        <v>822</v>
      </c>
    </row>
    <row r="282" spans="1:16" x14ac:dyDescent="0.25">
      <c r="A282" s="95" t="s">
        <v>186</v>
      </c>
      <c r="C282" s="93" t="s">
        <v>265</v>
      </c>
      <c r="D282" s="95" t="str">
        <f t="shared" si="4"/>
        <v/>
      </c>
      <c r="E282" s="93" t="s">
        <v>76</v>
      </c>
      <c r="F282" s="93" t="s">
        <v>400</v>
      </c>
      <c r="H282" s="93" t="s">
        <v>158</v>
      </c>
      <c r="L282" s="93" t="s">
        <v>810</v>
      </c>
      <c r="M282" s="108" t="s">
        <v>822</v>
      </c>
      <c r="N282" s="108" t="s">
        <v>822</v>
      </c>
      <c r="O282" s="108" t="s">
        <v>822</v>
      </c>
      <c r="P282" s="137" t="s">
        <v>822</v>
      </c>
    </row>
    <row r="283" spans="1:16" x14ac:dyDescent="0.25">
      <c r="A283" s="95" t="s">
        <v>186</v>
      </c>
      <c r="C283" s="93" t="s">
        <v>495</v>
      </c>
      <c r="D283" s="95" t="str">
        <f t="shared" si="4"/>
        <v/>
      </c>
      <c r="E283" s="93" t="s">
        <v>220</v>
      </c>
      <c r="F283" s="93" t="s">
        <v>888</v>
      </c>
      <c r="H283" s="93" t="s">
        <v>158</v>
      </c>
      <c r="I283" s="95" t="s">
        <v>497</v>
      </c>
      <c r="J283" s="97">
        <v>46091</v>
      </c>
      <c r="L283" s="93" t="s">
        <v>810</v>
      </c>
      <c r="M283" s="108" t="s">
        <v>822</v>
      </c>
      <c r="N283" s="108" t="s">
        <v>822</v>
      </c>
      <c r="O283" s="108" t="s">
        <v>822</v>
      </c>
      <c r="P283" s="137" t="s">
        <v>822</v>
      </c>
    </row>
    <row r="284" spans="1:16" x14ac:dyDescent="0.25">
      <c r="A284" s="95" t="s">
        <v>186</v>
      </c>
      <c r="C284" s="93" t="s">
        <v>498</v>
      </c>
      <c r="D284" s="95" t="str">
        <f t="shared" si="4"/>
        <v>Pre-Delivery</v>
      </c>
      <c r="E284" s="93" t="s">
        <v>368</v>
      </c>
      <c r="F284" s="93" t="s">
        <v>429</v>
      </c>
      <c r="H284" s="93" t="s">
        <v>410</v>
      </c>
      <c r="I284" s="95" t="s">
        <v>7</v>
      </c>
      <c r="J284" s="97">
        <v>46094</v>
      </c>
      <c r="L284" s="93" t="s">
        <v>810</v>
      </c>
      <c r="M284" s="108" t="s">
        <v>822</v>
      </c>
      <c r="N284" s="108" t="s">
        <v>822</v>
      </c>
      <c r="O284" s="108" t="s">
        <v>822</v>
      </c>
      <c r="P284" s="137" t="s">
        <v>822</v>
      </c>
    </row>
    <row r="285" spans="1:16" x14ac:dyDescent="0.25">
      <c r="A285" s="95" t="s">
        <v>186</v>
      </c>
      <c r="D285" s="95" t="str">
        <f t="shared" si="4"/>
        <v/>
      </c>
      <c r="E285" s="93" t="s">
        <v>118</v>
      </c>
      <c r="F285" s="93" t="s">
        <v>430</v>
      </c>
      <c r="H285" s="93" t="s">
        <v>410</v>
      </c>
      <c r="L285" s="93" t="s">
        <v>810</v>
      </c>
      <c r="M285" s="108" t="s">
        <v>822</v>
      </c>
      <c r="N285" s="108" t="s">
        <v>822</v>
      </c>
      <c r="O285" s="108" t="s">
        <v>822</v>
      </c>
      <c r="P285" s="137" t="s">
        <v>822</v>
      </c>
    </row>
    <row r="286" spans="1:16" x14ac:dyDescent="0.25">
      <c r="A286" s="95" t="s">
        <v>186</v>
      </c>
      <c r="D286" s="95" t="str">
        <f t="shared" si="4"/>
        <v/>
      </c>
      <c r="E286" s="93" t="s">
        <v>119</v>
      </c>
      <c r="F286" s="93" t="s">
        <v>431</v>
      </c>
      <c r="H286" s="93" t="s">
        <v>410</v>
      </c>
      <c r="L286" s="93" t="s">
        <v>810</v>
      </c>
      <c r="M286" s="108" t="s">
        <v>822</v>
      </c>
      <c r="N286" s="108" t="s">
        <v>822</v>
      </c>
      <c r="O286" s="108" t="s">
        <v>822</v>
      </c>
      <c r="P286" s="137" t="s">
        <v>822</v>
      </c>
    </row>
    <row r="287" spans="1:16" x14ac:dyDescent="0.25">
      <c r="A287" s="95" t="s">
        <v>186</v>
      </c>
      <c r="D287" s="95" t="str">
        <f t="shared" si="4"/>
        <v/>
      </c>
      <c r="E287" s="93" t="s">
        <v>120</v>
      </c>
      <c r="F287" s="93" t="s">
        <v>432</v>
      </c>
      <c r="H287" s="93" t="s">
        <v>410</v>
      </c>
      <c r="L287" s="93" t="s">
        <v>810</v>
      </c>
      <c r="M287" s="108" t="s">
        <v>822</v>
      </c>
      <c r="N287" s="108" t="s">
        <v>822</v>
      </c>
      <c r="O287" s="108" t="s">
        <v>822</v>
      </c>
      <c r="P287" s="137" t="s">
        <v>822</v>
      </c>
    </row>
    <row r="288" spans="1:16" x14ac:dyDescent="0.25">
      <c r="A288" s="95" t="s">
        <v>186</v>
      </c>
      <c r="D288" s="95" t="str">
        <f t="shared" si="4"/>
        <v/>
      </c>
      <c r="E288" s="93" t="s">
        <v>121</v>
      </c>
      <c r="F288" s="93" t="s">
        <v>433</v>
      </c>
      <c r="H288" s="93" t="s">
        <v>410</v>
      </c>
      <c r="L288" s="93" t="s">
        <v>810</v>
      </c>
      <c r="M288" s="108" t="s">
        <v>822</v>
      </c>
      <c r="N288" s="108" t="s">
        <v>822</v>
      </c>
      <c r="O288" s="108" t="s">
        <v>822</v>
      </c>
      <c r="P288" s="137" t="s">
        <v>822</v>
      </c>
    </row>
    <row r="289" spans="1:16" x14ac:dyDescent="0.25">
      <c r="A289" s="95" t="s">
        <v>186</v>
      </c>
      <c r="D289" s="95" t="str">
        <f t="shared" si="4"/>
        <v/>
      </c>
      <c r="E289" s="93" t="s">
        <v>122</v>
      </c>
      <c r="F289" s="93" t="s">
        <v>891</v>
      </c>
      <c r="H289" s="93" t="s">
        <v>410</v>
      </c>
      <c r="L289" s="93" t="s">
        <v>810</v>
      </c>
      <c r="M289" s="108" t="s">
        <v>822</v>
      </c>
      <c r="N289" s="108" t="s">
        <v>822</v>
      </c>
      <c r="O289" s="108" t="s">
        <v>822</v>
      </c>
      <c r="P289" s="137" t="s">
        <v>822</v>
      </c>
    </row>
    <row r="290" spans="1:16" x14ac:dyDescent="0.25">
      <c r="A290" s="95" t="s">
        <v>186</v>
      </c>
      <c r="D290" s="95" t="str">
        <f t="shared" si="4"/>
        <v/>
      </c>
      <c r="E290" s="93" t="s">
        <v>123</v>
      </c>
      <c r="F290" s="93" t="s">
        <v>435</v>
      </c>
      <c r="H290" s="93" t="s">
        <v>410</v>
      </c>
      <c r="L290" s="93" t="s">
        <v>810</v>
      </c>
      <c r="M290" s="108" t="s">
        <v>822</v>
      </c>
      <c r="N290" s="108" t="s">
        <v>822</v>
      </c>
      <c r="O290" s="108" t="s">
        <v>822</v>
      </c>
      <c r="P290" s="137" t="s">
        <v>822</v>
      </c>
    </row>
    <row r="291" spans="1:16" x14ac:dyDescent="0.25">
      <c r="A291" s="95" t="s">
        <v>186</v>
      </c>
      <c r="D291" s="95" t="str">
        <f t="shared" si="4"/>
        <v/>
      </c>
      <c r="E291" s="93" t="s">
        <v>124</v>
      </c>
      <c r="F291" s="93" t="s">
        <v>436</v>
      </c>
      <c r="H291" s="93" t="s">
        <v>410</v>
      </c>
      <c r="L291" s="93" t="s">
        <v>810</v>
      </c>
      <c r="M291" s="108" t="s">
        <v>822</v>
      </c>
      <c r="N291" s="108" t="s">
        <v>822</v>
      </c>
      <c r="O291" s="108" t="s">
        <v>822</v>
      </c>
      <c r="P291" s="137" t="s">
        <v>822</v>
      </c>
    </row>
    <row r="292" spans="1:16" x14ac:dyDescent="0.25">
      <c r="A292" s="95" t="s">
        <v>186</v>
      </c>
      <c r="D292" s="95" t="str">
        <f t="shared" si="4"/>
        <v/>
      </c>
      <c r="E292" s="93" t="s">
        <v>125</v>
      </c>
      <c r="F292" s="93" t="s">
        <v>881</v>
      </c>
      <c r="H292" s="93" t="s">
        <v>410</v>
      </c>
      <c r="L292" s="93" t="s">
        <v>810</v>
      </c>
      <c r="M292" s="108" t="s">
        <v>822</v>
      </c>
      <c r="N292" s="108" t="s">
        <v>822</v>
      </c>
      <c r="O292" s="108" t="s">
        <v>822</v>
      </c>
      <c r="P292" s="137" t="s">
        <v>822</v>
      </c>
    </row>
    <row r="293" spans="1:16" x14ac:dyDescent="0.25">
      <c r="A293" s="95" t="s">
        <v>186</v>
      </c>
      <c r="D293" s="95" t="str">
        <f t="shared" si="4"/>
        <v/>
      </c>
      <c r="E293" s="93" t="s">
        <v>126</v>
      </c>
      <c r="F293" s="93" t="s">
        <v>451</v>
      </c>
      <c r="H293" s="93" t="s">
        <v>410</v>
      </c>
      <c r="L293" s="93" t="s">
        <v>810</v>
      </c>
      <c r="M293" s="108" t="s">
        <v>822</v>
      </c>
      <c r="N293" s="108" t="s">
        <v>822</v>
      </c>
      <c r="O293" s="108" t="s">
        <v>822</v>
      </c>
      <c r="P293" s="137" t="s">
        <v>822</v>
      </c>
    </row>
    <row r="294" spans="1:16" x14ac:dyDescent="0.25">
      <c r="A294" s="95" t="s">
        <v>186</v>
      </c>
      <c r="D294" s="95" t="str">
        <f t="shared" si="4"/>
        <v/>
      </c>
      <c r="E294" s="93" t="s">
        <v>127</v>
      </c>
      <c r="F294" s="93" t="s">
        <v>452</v>
      </c>
      <c r="H294" s="93" t="s">
        <v>410</v>
      </c>
      <c r="L294" s="93" t="s">
        <v>810</v>
      </c>
      <c r="M294" s="108" t="s">
        <v>822</v>
      </c>
      <c r="N294" s="108" t="s">
        <v>822</v>
      </c>
      <c r="O294" s="108" t="s">
        <v>822</v>
      </c>
      <c r="P294" s="137" t="s">
        <v>822</v>
      </c>
    </row>
    <row r="295" spans="1:16" x14ac:dyDescent="0.25">
      <c r="A295" s="95" t="s">
        <v>186</v>
      </c>
      <c r="D295" s="95" t="str">
        <f t="shared" si="4"/>
        <v/>
      </c>
      <c r="E295" s="93" t="s">
        <v>128</v>
      </c>
      <c r="F295" s="93" t="s">
        <v>452</v>
      </c>
      <c r="H295" s="93" t="s">
        <v>410</v>
      </c>
      <c r="L295" s="93" t="s">
        <v>810</v>
      </c>
      <c r="M295" s="108" t="s">
        <v>822</v>
      </c>
      <c r="N295" s="108" t="s">
        <v>822</v>
      </c>
      <c r="O295" s="108" t="s">
        <v>822</v>
      </c>
      <c r="P295" s="137" t="s">
        <v>822</v>
      </c>
    </row>
    <row r="296" spans="1:16" x14ac:dyDescent="0.25">
      <c r="A296" s="95" t="s">
        <v>186</v>
      </c>
      <c r="D296" s="95" t="str">
        <f t="shared" si="4"/>
        <v/>
      </c>
      <c r="E296" s="93" t="s">
        <v>129</v>
      </c>
      <c r="F296" s="93" t="s">
        <v>452</v>
      </c>
      <c r="H296" s="93" t="s">
        <v>410</v>
      </c>
      <c r="L296" s="93" t="s">
        <v>810</v>
      </c>
      <c r="M296" s="108" t="s">
        <v>822</v>
      </c>
      <c r="N296" s="108" t="s">
        <v>822</v>
      </c>
      <c r="O296" s="108" t="s">
        <v>822</v>
      </c>
      <c r="P296" s="137" t="s">
        <v>822</v>
      </c>
    </row>
    <row r="297" spans="1:16" x14ac:dyDescent="0.25">
      <c r="A297" s="95" t="s">
        <v>186</v>
      </c>
      <c r="D297" s="95" t="str">
        <f t="shared" si="4"/>
        <v/>
      </c>
      <c r="E297" s="93" t="s">
        <v>129</v>
      </c>
      <c r="F297" s="93" t="s">
        <v>452</v>
      </c>
      <c r="H297" s="93" t="s">
        <v>410</v>
      </c>
      <c r="L297" s="93" t="s">
        <v>810</v>
      </c>
      <c r="M297" s="108" t="s">
        <v>822</v>
      </c>
      <c r="N297" s="108" t="s">
        <v>822</v>
      </c>
      <c r="O297" s="108" t="s">
        <v>822</v>
      </c>
      <c r="P297" s="137" t="s">
        <v>822</v>
      </c>
    </row>
    <row r="298" spans="1:16" x14ac:dyDescent="0.25">
      <c r="A298" s="95" t="s">
        <v>186</v>
      </c>
      <c r="D298" s="95" t="str">
        <f t="shared" si="4"/>
        <v/>
      </c>
      <c r="E298" s="93" t="s">
        <v>129</v>
      </c>
      <c r="F298" s="93" t="s">
        <v>892</v>
      </c>
      <c r="H298" s="93" t="s">
        <v>410</v>
      </c>
      <c r="L298" s="93" t="s">
        <v>810</v>
      </c>
      <c r="M298" s="108" t="s">
        <v>822</v>
      </c>
      <c r="N298" s="108" t="s">
        <v>822</v>
      </c>
      <c r="O298" s="108" t="s">
        <v>822</v>
      </c>
      <c r="P298" s="137" t="s">
        <v>822</v>
      </c>
    </row>
    <row r="299" spans="1:16" x14ac:dyDescent="0.25">
      <c r="A299" s="95" t="s">
        <v>186</v>
      </c>
      <c r="D299" s="95" t="str">
        <f t="shared" si="4"/>
        <v/>
      </c>
      <c r="E299" s="93" t="s">
        <v>129</v>
      </c>
      <c r="F299" s="93" t="s">
        <v>893</v>
      </c>
      <c r="H299" s="93" t="s">
        <v>410</v>
      </c>
      <c r="L299" s="93" t="s">
        <v>810</v>
      </c>
      <c r="M299" s="108" t="s">
        <v>822</v>
      </c>
      <c r="N299" s="108" t="s">
        <v>822</v>
      </c>
      <c r="O299" s="108" t="s">
        <v>822</v>
      </c>
      <c r="P299" s="137" t="s">
        <v>822</v>
      </c>
    </row>
    <row r="300" spans="1:16" x14ac:dyDescent="0.25">
      <c r="A300" s="95" t="s">
        <v>186</v>
      </c>
      <c r="D300" s="95" t="str">
        <f t="shared" si="4"/>
        <v/>
      </c>
      <c r="E300" s="93" t="s">
        <v>130</v>
      </c>
      <c r="F300" s="93" t="s">
        <v>574</v>
      </c>
      <c r="H300" s="93" t="s">
        <v>410</v>
      </c>
      <c r="L300" s="93" t="s">
        <v>810</v>
      </c>
      <c r="M300" s="108" t="s">
        <v>822</v>
      </c>
      <c r="N300" s="108" t="s">
        <v>822</v>
      </c>
      <c r="O300" s="108" t="s">
        <v>822</v>
      </c>
      <c r="P300" s="137" t="s">
        <v>822</v>
      </c>
    </row>
    <row r="301" spans="1:16" x14ac:dyDescent="0.25">
      <c r="A301" s="95" t="s">
        <v>186</v>
      </c>
      <c r="D301" s="95" t="str">
        <f t="shared" si="4"/>
        <v/>
      </c>
      <c r="E301" s="93" t="s">
        <v>131</v>
      </c>
      <c r="F301" s="93" t="s">
        <v>854</v>
      </c>
      <c r="H301" s="93" t="s">
        <v>410</v>
      </c>
      <c r="L301" s="93" t="s">
        <v>810</v>
      </c>
      <c r="M301" s="108" t="s">
        <v>822</v>
      </c>
      <c r="N301" s="108" t="s">
        <v>822</v>
      </c>
      <c r="O301" s="108" t="s">
        <v>822</v>
      </c>
      <c r="P301" s="137" t="s">
        <v>822</v>
      </c>
    </row>
    <row r="302" spans="1:16" x14ac:dyDescent="0.25">
      <c r="A302" s="95" t="s">
        <v>186</v>
      </c>
      <c r="C302" s="93" t="s">
        <v>570</v>
      </c>
      <c r="D302" s="95" t="str">
        <f t="shared" si="4"/>
        <v/>
      </c>
      <c r="E302" s="93" t="s">
        <v>104</v>
      </c>
      <c r="F302" s="93" t="s">
        <v>855</v>
      </c>
      <c r="H302" s="93" t="s">
        <v>410</v>
      </c>
      <c r="I302" s="95" t="s">
        <v>5</v>
      </c>
      <c r="L302" s="93" t="s">
        <v>810</v>
      </c>
      <c r="M302" s="108" t="s">
        <v>822</v>
      </c>
      <c r="N302" s="108" t="s">
        <v>822</v>
      </c>
      <c r="O302" s="108" t="s">
        <v>822</v>
      </c>
      <c r="P302" s="137" t="s">
        <v>822</v>
      </c>
    </row>
    <row r="303" spans="1:16" x14ac:dyDescent="0.25">
      <c r="A303" s="95" t="s">
        <v>186</v>
      </c>
      <c r="C303" s="93" t="s">
        <v>575</v>
      </c>
      <c r="D303" s="95" t="str">
        <f t="shared" si="4"/>
        <v/>
      </c>
      <c r="E303" s="93" t="s">
        <v>105</v>
      </c>
      <c r="F303" s="93" t="s">
        <v>440</v>
      </c>
      <c r="H303" s="93" t="s">
        <v>410</v>
      </c>
      <c r="I303" s="95" t="s">
        <v>5</v>
      </c>
      <c r="L303" s="93" t="s">
        <v>810</v>
      </c>
      <c r="M303" s="108" t="s">
        <v>822</v>
      </c>
      <c r="N303" s="108" t="s">
        <v>822</v>
      </c>
      <c r="O303" s="108" t="s">
        <v>822</v>
      </c>
      <c r="P303" s="137" t="s">
        <v>822</v>
      </c>
    </row>
    <row r="304" spans="1:16" x14ac:dyDescent="0.25">
      <c r="A304" s="95" t="s">
        <v>186</v>
      </c>
      <c r="C304" s="93" t="s">
        <v>579</v>
      </c>
      <c r="D304" s="95" t="str">
        <f t="shared" si="4"/>
        <v/>
      </c>
      <c r="E304" s="93" t="s">
        <v>106</v>
      </c>
      <c r="F304" s="93" t="s">
        <v>441</v>
      </c>
      <c r="H304" s="93" t="s">
        <v>410</v>
      </c>
      <c r="L304" s="93" t="s">
        <v>810</v>
      </c>
      <c r="M304" s="108" t="s">
        <v>822</v>
      </c>
      <c r="N304" s="108" t="s">
        <v>822</v>
      </c>
      <c r="O304" s="108" t="s">
        <v>822</v>
      </c>
      <c r="P304" s="137" t="s">
        <v>822</v>
      </c>
    </row>
    <row r="305" spans="1:16" x14ac:dyDescent="0.25">
      <c r="A305" s="95" t="s">
        <v>186</v>
      </c>
      <c r="D305" s="95" t="str">
        <f t="shared" si="4"/>
        <v/>
      </c>
      <c r="E305" s="93" t="s">
        <v>107</v>
      </c>
      <c r="F305" s="93" t="s">
        <v>890</v>
      </c>
      <c r="H305" s="93" t="s">
        <v>410</v>
      </c>
      <c r="L305" s="93" t="s">
        <v>810</v>
      </c>
      <c r="M305" s="108" t="s">
        <v>822</v>
      </c>
      <c r="N305" s="108" t="s">
        <v>822</v>
      </c>
      <c r="O305" s="108" t="s">
        <v>822</v>
      </c>
      <c r="P305" s="137" t="s">
        <v>822</v>
      </c>
    </row>
    <row r="306" spans="1:16" x14ac:dyDescent="0.25">
      <c r="A306" s="95" t="s">
        <v>186</v>
      </c>
      <c r="C306" s="93" t="s">
        <v>583</v>
      </c>
      <c r="D306" s="95" t="str">
        <f t="shared" si="4"/>
        <v/>
      </c>
      <c r="E306" s="93" t="s">
        <v>108</v>
      </c>
      <c r="F306" s="93" t="s">
        <v>886</v>
      </c>
      <c r="H306" s="93" t="s">
        <v>410</v>
      </c>
      <c r="I306" s="95" t="s">
        <v>5</v>
      </c>
      <c r="L306" s="93" t="s">
        <v>810</v>
      </c>
      <c r="M306" s="108" t="s">
        <v>822</v>
      </c>
      <c r="N306" s="108" t="s">
        <v>822</v>
      </c>
      <c r="O306" s="108" t="s">
        <v>822</v>
      </c>
      <c r="P306" s="137" t="s">
        <v>822</v>
      </c>
    </row>
    <row r="307" spans="1:16" x14ac:dyDescent="0.25">
      <c r="A307" s="95" t="s">
        <v>186</v>
      </c>
      <c r="D307" s="95" t="str">
        <f t="shared" si="4"/>
        <v/>
      </c>
      <c r="E307" s="93" t="s">
        <v>109</v>
      </c>
      <c r="F307" s="93" t="s">
        <v>444</v>
      </c>
      <c r="H307" s="93" t="s">
        <v>410</v>
      </c>
      <c r="L307" s="93" t="s">
        <v>810</v>
      </c>
      <c r="M307" s="108" t="s">
        <v>822</v>
      </c>
      <c r="N307" s="108" t="s">
        <v>822</v>
      </c>
      <c r="O307" s="108" t="s">
        <v>822</v>
      </c>
      <c r="P307" s="137" t="s">
        <v>822</v>
      </c>
    </row>
    <row r="308" spans="1:16" x14ac:dyDescent="0.25">
      <c r="A308" s="95" t="s">
        <v>186</v>
      </c>
      <c r="D308" s="95" t="str">
        <f t="shared" si="4"/>
        <v/>
      </c>
      <c r="E308" s="93" t="s">
        <v>110</v>
      </c>
      <c r="F308" s="93" t="s">
        <v>842</v>
      </c>
      <c r="H308" s="93" t="s">
        <v>410</v>
      </c>
      <c r="L308" s="93" t="s">
        <v>810</v>
      </c>
      <c r="M308" s="108" t="s">
        <v>822</v>
      </c>
      <c r="N308" s="108" t="s">
        <v>822</v>
      </c>
      <c r="O308" s="108" t="s">
        <v>822</v>
      </c>
      <c r="P308" s="137" t="s">
        <v>822</v>
      </c>
    </row>
    <row r="309" spans="1:16" x14ac:dyDescent="0.25">
      <c r="A309" s="95" t="s">
        <v>186</v>
      </c>
      <c r="C309" s="93" t="s">
        <v>564</v>
      </c>
      <c r="D309" s="95" t="str">
        <f t="shared" si="4"/>
        <v>Pre-Delivery</v>
      </c>
      <c r="E309" s="93" t="s">
        <v>543</v>
      </c>
      <c r="F309" s="93" t="s">
        <v>446</v>
      </c>
      <c r="H309" s="93" t="s">
        <v>410</v>
      </c>
      <c r="J309" s="93" t="s">
        <v>825</v>
      </c>
      <c r="L309" s="93" t="s">
        <v>810</v>
      </c>
      <c r="M309" s="108" t="s">
        <v>822</v>
      </c>
      <c r="N309" s="108" t="s">
        <v>822</v>
      </c>
      <c r="O309" s="108" t="s">
        <v>822</v>
      </c>
      <c r="P309" s="137" t="s">
        <v>822</v>
      </c>
    </row>
    <row r="310" spans="1:16" x14ac:dyDescent="0.25">
      <c r="A310" s="95" t="s">
        <v>186</v>
      </c>
      <c r="C310" s="93" t="s">
        <v>460</v>
      </c>
      <c r="D310" s="95" t="str">
        <f t="shared" si="4"/>
        <v/>
      </c>
      <c r="E310" s="93" t="s">
        <v>445</v>
      </c>
      <c r="F310" s="93" t="s">
        <v>850</v>
      </c>
      <c r="H310" s="93" t="s">
        <v>410</v>
      </c>
      <c r="I310" s="95" t="s">
        <v>7</v>
      </c>
      <c r="L310" s="93" t="s">
        <v>810</v>
      </c>
      <c r="M310" s="108" t="s">
        <v>822</v>
      </c>
      <c r="N310" s="108" t="s">
        <v>822</v>
      </c>
      <c r="O310" s="108" t="s">
        <v>822</v>
      </c>
      <c r="P310" s="137" t="s">
        <v>822</v>
      </c>
    </row>
    <row r="311" spans="1:16" x14ac:dyDescent="0.25">
      <c r="A311" s="95" t="s">
        <v>186</v>
      </c>
      <c r="D311" s="95" t="str">
        <f t="shared" si="4"/>
        <v/>
      </c>
      <c r="E311" s="93" t="s">
        <v>111</v>
      </c>
      <c r="F311" s="93" t="s">
        <v>911</v>
      </c>
      <c r="H311" s="93" t="s">
        <v>410</v>
      </c>
      <c r="L311" s="93" t="s">
        <v>810</v>
      </c>
      <c r="M311" s="108" t="s">
        <v>822</v>
      </c>
      <c r="N311" s="108" t="s">
        <v>822</v>
      </c>
      <c r="O311" s="108" t="s">
        <v>822</v>
      </c>
      <c r="P311" s="137" t="s">
        <v>822</v>
      </c>
    </row>
    <row r="312" spans="1:16" x14ac:dyDescent="0.25">
      <c r="A312" s="95" t="s">
        <v>186</v>
      </c>
      <c r="C312" s="93" t="s">
        <v>499</v>
      </c>
      <c r="D312" s="95" t="str">
        <f t="shared" si="4"/>
        <v>Pre-Delivery</v>
      </c>
      <c r="E312" s="93" t="s">
        <v>492</v>
      </c>
      <c r="F312" s="93" t="s">
        <v>448</v>
      </c>
      <c r="H312" s="93" t="s">
        <v>410</v>
      </c>
      <c r="I312" s="95" t="s">
        <v>497</v>
      </c>
      <c r="J312" s="97">
        <v>46101</v>
      </c>
      <c r="L312" s="93" t="s">
        <v>810</v>
      </c>
      <c r="M312" s="108" t="s">
        <v>822</v>
      </c>
      <c r="N312" s="108" t="s">
        <v>822</v>
      </c>
      <c r="O312" s="108" t="s">
        <v>822</v>
      </c>
      <c r="P312" s="137" t="s">
        <v>822</v>
      </c>
    </row>
    <row r="313" spans="1:16" x14ac:dyDescent="0.25">
      <c r="A313" s="95" t="s">
        <v>186</v>
      </c>
      <c r="D313" s="95" t="str">
        <f t="shared" si="4"/>
        <v/>
      </c>
      <c r="E313" s="93" t="s">
        <v>112</v>
      </c>
      <c r="F313" s="93" t="s">
        <v>888</v>
      </c>
      <c r="H313" s="93" t="s">
        <v>410</v>
      </c>
      <c r="L313" s="93" t="s">
        <v>810</v>
      </c>
      <c r="M313" s="108" t="s">
        <v>822</v>
      </c>
      <c r="N313" s="108" t="s">
        <v>822</v>
      </c>
      <c r="O313" s="108" t="s">
        <v>822</v>
      </c>
      <c r="P313" s="137" t="s">
        <v>822</v>
      </c>
    </row>
    <row r="314" spans="1:16" x14ac:dyDescent="0.25">
      <c r="A314" s="95" t="s">
        <v>186</v>
      </c>
      <c r="D314" s="95" t="str">
        <f t="shared" si="4"/>
        <v/>
      </c>
      <c r="E314" s="93" t="s">
        <v>113</v>
      </c>
      <c r="F314" s="93" t="s">
        <v>882</v>
      </c>
      <c r="H314" s="93" t="s">
        <v>410</v>
      </c>
      <c r="L314" s="93" t="s">
        <v>810</v>
      </c>
      <c r="M314" s="108" t="s">
        <v>822</v>
      </c>
      <c r="N314" s="108" t="s">
        <v>822</v>
      </c>
      <c r="O314" s="108" t="s">
        <v>822</v>
      </c>
      <c r="P314" s="137" t="s">
        <v>822</v>
      </c>
    </row>
    <row r="315" spans="1:16" x14ac:dyDescent="0.25">
      <c r="A315" s="95" t="s">
        <v>186</v>
      </c>
      <c r="D315" s="95" t="str">
        <f t="shared" si="4"/>
        <v/>
      </c>
      <c r="E315" s="93" t="s">
        <v>114</v>
      </c>
      <c r="F315" s="93" t="s">
        <v>912</v>
      </c>
      <c r="H315" s="93" t="s">
        <v>410</v>
      </c>
      <c r="L315" s="93" t="s">
        <v>810</v>
      </c>
      <c r="M315" s="108" t="s">
        <v>822</v>
      </c>
      <c r="N315" s="108" t="s">
        <v>822</v>
      </c>
      <c r="O315" s="108" t="s">
        <v>822</v>
      </c>
      <c r="P315" s="137" t="s">
        <v>822</v>
      </c>
    </row>
    <row r="316" spans="1:16" ht="37.5" x14ac:dyDescent="0.25">
      <c r="A316" s="95" t="s">
        <v>186</v>
      </c>
      <c r="D316" s="95" t="str">
        <f t="shared" si="4"/>
        <v/>
      </c>
      <c r="E316" s="93" t="s">
        <v>115</v>
      </c>
      <c r="F316" s="93" t="s">
        <v>863</v>
      </c>
      <c r="H316" s="93" t="s">
        <v>410</v>
      </c>
      <c r="L316" s="93" t="s">
        <v>810</v>
      </c>
      <c r="M316" s="108" t="s">
        <v>822</v>
      </c>
      <c r="N316" s="108" t="s">
        <v>822</v>
      </c>
      <c r="O316" s="108" t="s">
        <v>822</v>
      </c>
      <c r="P316" s="137" t="s">
        <v>822</v>
      </c>
    </row>
    <row r="317" spans="1:16" x14ac:dyDescent="0.25">
      <c r="A317" s="95" t="s">
        <v>186</v>
      </c>
      <c r="D317" s="95" t="str">
        <f t="shared" si="4"/>
        <v/>
      </c>
      <c r="E317" s="93" t="s">
        <v>116</v>
      </c>
      <c r="F317" s="93" t="s">
        <v>132</v>
      </c>
      <c r="H317" s="93" t="s">
        <v>410</v>
      </c>
      <c r="L317" s="93" t="s">
        <v>810</v>
      </c>
      <c r="M317" s="108" t="s">
        <v>822</v>
      </c>
      <c r="N317" s="108" t="s">
        <v>822</v>
      </c>
      <c r="O317" s="108" t="s">
        <v>822</v>
      </c>
      <c r="P317" s="137" t="s">
        <v>822</v>
      </c>
    </row>
    <row r="318" spans="1:16" x14ac:dyDescent="0.25">
      <c r="A318" s="95" t="s">
        <v>186</v>
      </c>
      <c r="D318" s="95" t="str">
        <f t="shared" si="4"/>
        <v/>
      </c>
      <c r="E318" s="93" t="s">
        <v>117</v>
      </c>
      <c r="F318" s="93" t="s">
        <v>902</v>
      </c>
      <c r="H318" s="93" t="s">
        <v>410</v>
      </c>
      <c r="L318" s="93" t="s">
        <v>810</v>
      </c>
      <c r="M318" s="108" t="s">
        <v>822</v>
      </c>
      <c r="N318" s="108" t="s">
        <v>822</v>
      </c>
      <c r="O318" s="108" t="s">
        <v>822</v>
      </c>
      <c r="P318" s="137" t="s">
        <v>822</v>
      </c>
    </row>
    <row r="319" spans="1:16" x14ac:dyDescent="0.25">
      <c r="A319" s="95" t="s">
        <v>186</v>
      </c>
      <c r="D319" s="95" t="str">
        <f t="shared" si="4"/>
        <v/>
      </c>
      <c r="E319" s="93" t="s">
        <v>132</v>
      </c>
      <c r="F319" s="93" t="s">
        <v>134</v>
      </c>
      <c r="H319" s="93" t="s">
        <v>410</v>
      </c>
      <c r="L319" s="93" t="s">
        <v>810</v>
      </c>
      <c r="M319" s="108" t="s">
        <v>822</v>
      </c>
      <c r="N319" s="108" t="s">
        <v>822</v>
      </c>
      <c r="O319" s="108" t="s">
        <v>822</v>
      </c>
      <c r="P319" s="137" t="s">
        <v>822</v>
      </c>
    </row>
    <row r="320" spans="1:16" x14ac:dyDescent="0.25">
      <c r="A320" s="95" t="s">
        <v>186</v>
      </c>
      <c r="D320" s="95" t="str">
        <f t="shared" si="4"/>
        <v/>
      </c>
      <c r="E320" s="93" t="s">
        <v>133</v>
      </c>
      <c r="F320" s="93" t="s">
        <v>868</v>
      </c>
      <c r="H320" s="93" t="s">
        <v>410</v>
      </c>
      <c r="L320" s="93" t="s">
        <v>810</v>
      </c>
      <c r="M320" s="108" t="s">
        <v>822</v>
      </c>
      <c r="N320" s="108" t="s">
        <v>822</v>
      </c>
      <c r="O320" s="108" t="s">
        <v>822</v>
      </c>
      <c r="P320" s="137" t="s">
        <v>822</v>
      </c>
    </row>
    <row r="321" spans="1:16" x14ac:dyDescent="0.25">
      <c r="A321" s="95" t="s">
        <v>186</v>
      </c>
      <c r="D321" s="95" t="str">
        <f t="shared" si="4"/>
        <v/>
      </c>
      <c r="E321" s="93" t="s">
        <v>134</v>
      </c>
      <c r="F321" s="93" t="s">
        <v>136</v>
      </c>
      <c r="H321" s="93" t="s">
        <v>410</v>
      </c>
      <c r="L321" s="93" t="s">
        <v>810</v>
      </c>
      <c r="M321" s="108" t="s">
        <v>822</v>
      </c>
      <c r="N321" s="108" t="s">
        <v>822</v>
      </c>
      <c r="O321" s="108" t="s">
        <v>822</v>
      </c>
      <c r="P321" s="137" t="s">
        <v>822</v>
      </c>
    </row>
    <row r="322" spans="1:16" x14ac:dyDescent="0.25">
      <c r="A322" s="95" t="s">
        <v>186</v>
      </c>
      <c r="D322" s="95" t="str">
        <f t="shared" si="4"/>
        <v/>
      </c>
      <c r="E322" s="93" t="s">
        <v>135</v>
      </c>
      <c r="F322" s="93" t="s">
        <v>846</v>
      </c>
      <c r="H322" s="93" t="s">
        <v>410</v>
      </c>
      <c r="L322" s="93" t="s">
        <v>810</v>
      </c>
      <c r="M322" s="108" t="s">
        <v>822</v>
      </c>
      <c r="N322" s="108" t="s">
        <v>822</v>
      </c>
      <c r="O322" s="108" t="s">
        <v>822</v>
      </c>
      <c r="P322" s="137" t="s">
        <v>822</v>
      </c>
    </row>
    <row r="323" spans="1:16" x14ac:dyDescent="0.25">
      <c r="A323" s="95" t="s">
        <v>186</v>
      </c>
      <c r="D323" s="95" t="str">
        <f t="shared" si="4"/>
        <v/>
      </c>
      <c r="E323" s="93" t="s">
        <v>136</v>
      </c>
      <c r="F323" s="93" t="s">
        <v>864</v>
      </c>
      <c r="H323" s="93" t="s">
        <v>410</v>
      </c>
      <c r="L323" s="93" t="s">
        <v>810</v>
      </c>
      <c r="M323" s="108" t="s">
        <v>822</v>
      </c>
      <c r="N323" s="108" t="s">
        <v>822</v>
      </c>
      <c r="O323" s="108" t="s">
        <v>822</v>
      </c>
      <c r="P323" s="137" t="s">
        <v>822</v>
      </c>
    </row>
    <row r="324" spans="1:16" x14ac:dyDescent="0.25">
      <c r="A324" s="95" t="s">
        <v>186</v>
      </c>
      <c r="C324" s="93" t="s">
        <v>500</v>
      </c>
      <c r="D324" s="95" t="str">
        <f t="shared" si="4"/>
        <v>Pre-Delivery</v>
      </c>
      <c r="E324" s="93" t="s">
        <v>488</v>
      </c>
      <c r="F324" s="93" t="s">
        <v>138</v>
      </c>
      <c r="H324" s="93" t="s">
        <v>158</v>
      </c>
      <c r="I324" s="95" t="s">
        <v>5</v>
      </c>
      <c r="J324" s="97">
        <v>46101</v>
      </c>
      <c r="L324" s="93" t="s">
        <v>810</v>
      </c>
      <c r="M324" s="108" t="s">
        <v>822</v>
      </c>
      <c r="N324" s="108" t="s">
        <v>822</v>
      </c>
      <c r="O324" s="108" t="s">
        <v>822</v>
      </c>
      <c r="P324" s="137" t="s">
        <v>822</v>
      </c>
    </row>
    <row r="325" spans="1:16" x14ac:dyDescent="0.25">
      <c r="A325" s="95" t="s">
        <v>186</v>
      </c>
      <c r="D325" s="95" t="str">
        <f t="shared" si="4"/>
        <v/>
      </c>
      <c r="E325" s="93" t="s">
        <v>137</v>
      </c>
      <c r="F325" s="93" t="s">
        <v>859</v>
      </c>
      <c r="H325" s="93" t="s">
        <v>158</v>
      </c>
      <c r="L325" s="93" t="s">
        <v>810</v>
      </c>
      <c r="M325" s="108" t="s">
        <v>822</v>
      </c>
      <c r="N325" s="108" t="s">
        <v>822</v>
      </c>
      <c r="O325" s="108" t="s">
        <v>822</v>
      </c>
      <c r="P325" s="137" t="s">
        <v>822</v>
      </c>
    </row>
    <row r="326" spans="1:16" x14ac:dyDescent="0.25">
      <c r="A326" s="95" t="s">
        <v>186</v>
      </c>
      <c r="D326" s="95" t="str">
        <f t="shared" si="4"/>
        <v/>
      </c>
      <c r="E326" s="93" t="s">
        <v>138</v>
      </c>
      <c r="F326" s="93" t="s">
        <v>860</v>
      </c>
      <c r="H326" s="93" t="s">
        <v>158</v>
      </c>
      <c r="L326" s="93" t="s">
        <v>810</v>
      </c>
      <c r="M326" s="108" t="s">
        <v>822</v>
      </c>
      <c r="N326" s="108" t="s">
        <v>822</v>
      </c>
      <c r="O326" s="108" t="s">
        <v>822</v>
      </c>
      <c r="P326" s="137" t="s">
        <v>822</v>
      </c>
    </row>
    <row r="327" spans="1:16" x14ac:dyDescent="0.25">
      <c r="A327" s="95" t="s">
        <v>186</v>
      </c>
      <c r="D327" s="95" t="str">
        <f t="shared" ref="D327:D390" si="5">IF(OR(ISNUMBER(SEARCH("Pre Delivery",E327)),ISNUMBER(SEARCH("Pre-Delivery",E327)),ISNUMBER(SEARCH("Predelivery",E327)),ISNUMBER(SEARCH("PD -",E327)),ISNUMBER(SEARCH("PD Lubes",E327))),"Pre-Delivery","")</f>
        <v/>
      </c>
      <c r="E327" s="93" t="s">
        <v>289</v>
      </c>
      <c r="F327" s="93" t="s">
        <v>883</v>
      </c>
      <c r="H327" s="93" t="s">
        <v>158</v>
      </c>
      <c r="L327" s="93" t="s">
        <v>810</v>
      </c>
      <c r="M327" s="108" t="s">
        <v>822</v>
      </c>
      <c r="N327" s="108" t="s">
        <v>822</v>
      </c>
      <c r="O327" s="108" t="s">
        <v>822</v>
      </c>
      <c r="P327" s="137" t="s">
        <v>822</v>
      </c>
    </row>
    <row r="328" spans="1:16" x14ac:dyDescent="0.25">
      <c r="A328" s="95" t="s">
        <v>186</v>
      </c>
      <c r="D328" s="95" t="str">
        <f t="shared" si="5"/>
        <v/>
      </c>
      <c r="E328" s="93" t="s">
        <v>824</v>
      </c>
      <c r="F328" s="93" t="s">
        <v>860</v>
      </c>
      <c r="H328" s="93" t="s">
        <v>158</v>
      </c>
      <c r="L328" s="93" t="s">
        <v>810</v>
      </c>
      <c r="M328" s="108" t="s">
        <v>822</v>
      </c>
      <c r="N328" s="108" t="s">
        <v>822</v>
      </c>
      <c r="O328" s="108" t="s">
        <v>822</v>
      </c>
      <c r="P328" s="137" t="s">
        <v>822</v>
      </c>
    </row>
    <row r="329" spans="1:16" ht="37.5" x14ac:dyDescent="0.25">
      <c r="A329" s="95" t="s">
        <v>186</v>
      </c>
      <c r="D329" s="95" t="str">
        <f t="shared" si="5"/>
        <v/>
      </c>
      <c r="E329" s="93" t="s">
        <v>291</v>
      </c>
      <c r="F329" s="93" t="s">
        <v>879</v>
      </c>
      <c r="H329" s="93" t="s">
        <v>158</v>
      </c>
      <c r="L329" s="93" t="s">
        <v>810</v>
      </c>
      <c r="M329" s="108" t="s">
        <v>822</v>
      </c>
      <c r="N329" s="108" t="s">
        <v>822</v>
      </c>
      <c r="O329" s="108" t="s">
        <v>822</v>
      </c>
      <c r="P329" s="137" t="s">
        <v>822</v>
      </c>
    </row>
    <row r="330" spans="1:16" x14ac:dyDescent="0.25">
      <c r="A330" s="95" t="s">
        <v>186</v>
      </c>
      <c r="D330" s="95" t="str">
        <f t="shared" si="5"/>
        <v/>
      </c>
      <c r="E330" s="93" t="s">
        <v>292</v>
      </c>
      <c r="F330" s="93" t="s">
        <v>293</v>
      </c>
      <c r="H330" s="93" t="s">
        <v>158</v>
      </c>
      <c r="L330" s="93" t="s">
        <v>810</v>
      </c>
      <c r="M330" s="108" t="s">
        <v>822</v>
      </c>
      <c r="N330" s="108" t="s">
        <v>822</v>
      </c>
      <c r="O330" s="108" t="s">
        <v>822</v>
      </c>
      <c r="P330" s="137" t="s">
        <v>822</v>
      </c>
    </row>
    <row r="331" spans="1:16" x14ac:dyDescent="0.25">
      <c r="A331" s="95" t="s">
        <v>186</v>
      </c>
      <c r="C331" s="93" t="s">
        <v>501</v>
      </c>
      <c r="D331" s="95" t="str">
        <f t="shared" si="5"/>
        <v/>
      </c>
      <c r="E331" s="93" t="s">
        <v>486</v>
      </c>
      <c r="F331" s="93" t="s">
        <v>879</v>
      </c>
      <c r="H331" s="93" t="s">
        <v>158</v>
      </c>
      <c r="I331" s="95" t="s">
        <v>5</v>
      </c>
      <c r="J331" s="97">
        <v>46111</v>
      </c>
      <c r="L331" s="93" t="s">
        <v>810</v>
      </c>
      <c r="M331" s="108" t="s">
        <v>822</v>
      </c>
      <c r="N331" s="108" t="s">
        <v>822</v>
      </c>
      <c r="O331" s="108" t="s">
        <v>822</v>
      </c>
      <c r="P331" s="137" t="s">
        <v>822</v>
      </c>
    </row>
    <row r="332" spans="1:16" x14ac:dyDescent="0.25">
      <c r="A332" s="95" t="s">
        <v>186</v>
      </c>
      <c r="D332" s="95" t="str">
        <f t="shared" si="5"/>
        <v/>
      </c>
      <c r="E332" s="93" t="s">
        <v>293</v>
      </c>
      <c r="F332" s="93" t="s">
        <v>833</v>
      </c>
      <c r="H332" s="93" t="s">
        <v>158</v>
      </c>
      <c r="L332" s="93" t="s">
        <v>810</v>
      </c>
      <c r="M332" s="108" t="s">
        <v>822</v>
      </c>
      <c r="N332" s="108" t="s">
        <v>822</v>
      </c>
      <c r="O332" s="108" t="s">
        <v>822</v>
      </c>
      <c r="P332" s="137" t="s">
        <v>822</v>
      </c>
    </row>
    <row r="333" spans="1:16" x14ac:dyDescent="0.25">
      <c r="A333" s="95" t="s">
        <v>186</v>
      </c>
      <c r="D333" s="95" t="str">
        <f t="shared" si="5"/>
        <v/>
      </c>
      <c r="F333" s="93" t="s">
        <v>848</v>
      </c>
      <c r="H333" s="93" t="s">
        <v>158</v>
      </c>
      <c r="L333" s="93" t="s">
        <v>810</v>
      </c>
      <c r="M333" s="108" t="s">
        <v>822</v>
      </c>
      <c r="N333" s="108" t="s">
        <v>822</v>
      </c>
      <c r="O333" s="108" t="s">
        <v>822</v>
      </c>
      <c r="P333" s="137" t="s">
        <v>822</v>
      </c>
    </row>
    <row r="334" spans="1:16" x14ac:dyDescent="0.25">
      <c r="A334" s="95" t="s">
        <v>186</v>
      </c>
      <c r="D334" s="95" t="str">
        <f t="shared" si="5"/>
        <v/>
      </c>
      <c r="E334" s="93" t="s">
        <v>167</v>
      </c>
      <c r="F334" s="93" t="s">
        <v>669</v>
      </c>
      <c r="H334" s="93" t="s">
        <v>158</v>
      </c>
      <c r="L334" s="93" t="s">
        <v>810</v>
      </c>
      <c r="M334" s="108" t="s">
        <v>822</v>
      </c>
      <c r="N334" s="108" t="s">
        <v>822</v>
      </c>
      <c r="O334" s="108" t="s">
        <v>822</v>
      </c>
      <c r="P334" s="137" t="s">
        <v>822</v>
      </c>
    </row>
    <row r="335" spans="1:16" x14ac:dyDescent="0.25">
      <c r="A335" s="95" t="s">
        <v>186</v>
      </c>
      <c r="D335" s="95" t="str">
        <f t="shared" si="5"/>
        <v/>
      </c>
      <c r="E335" s="93" t="s">
        <v>168</v>
      </c>
      <c r="F335" s="93" t="s">
        <v>894</v>
      </c>
      <c r="H335" s="93" t="s">
        <v>158</v>
      </c>
      <c r="L335" s="93" t="s">
        <v>810</v>
      </c>
      <c r="M335" s="108" t="s">
        <v>822</v>
      </c>
      <c r="N335" s="108" t="s">
        <v>822</v>
      </c>
      <c r="O335" s="108" t="s">
        <v>822</v>
      </c>
      <c r="P335" s="137" t="s">
        <v>822</v>
      </c>
    </row>
    <row r="336" spans="1:16" ht="37.5" x14ac:dyDescent="0.25">
      <c r="A336" s="95" t="s">
        <v>186</v>
      </c>
      <c r="D336" s="95" t="str">
        <f t="shared" si="5"/>
        <v/>
      </c>
      <c r="E336" s="93" t="s">
        <v>169</v>
      </c>
      <c r="F336" s="93" t="s">
        <v>914</v>
      </c>
      <c r="H336" s="93" t="s">
        <v>158</v>
      </c>
      <c r="L336" s="93" t="s">
        <v>810</v>
      </c>
      <c r="M336" s="108" t="s">
        <v>822</v>
      </c>
      <c r="N336" s="108" t="s">
        <v>822</v>
      </c>
      <c r="O336" s="108" t="s">
        <v>822</v>
      </c>
      <c r="P336" s="137" t="s">
        <v>822</v>
      </c>
    </row>
    <row r="337" spans="1:16" ht="37.5" x14ac:dyDescent="0.25">
      <c r="A337" s="95" t="s">
        <v>186</v>
      </c>
      <c r="D337" s="95" t="str">
        <f t="shared" si="5"/>
        <v/>
      </c>
      <c r="E337" s="93" t="s">
        <v>170</v>
      </c>
      <c r="F337" s="93" t="s">
        <v>895</v>
      </c>
      <c r="H337" s="93" t="s">
        <v>158</v>
      </c>
      <c r="L337" s="93" t="s">
        <v>810</v>
      </c>
      <c r="M337" s="108" t="s">
        <v>822</v>
      </c>
      <c r="N337" s="108" t="s">
        <v>822</v>
      </c>
      <c r="O337" s="108" t="s">
        <v>822</v>
      </c>
      <c r="P337" s="137" t="s">
        <v>822</v>
      </c>
    </row>
    <row r="338" spans="1:16" x14ac:dyDescent="0.25">
      <c r="A338" s="95" t="s">
        <v>186</v>
      </c>
      <c r="D338" s="95" t="str">
        <f t="shared" si="5"/>
        <v/>
      </c>
      <c r="E338" s="93" t="s">
        <v>171</v>
      </c>
      <c r="F338" s="93" t="s">
        <v>896</v>
      </c>
      <c r="H338" s="93" t="s">
        <v>158</v>
      </c>
      <c r="L338" s="93" t="s">
        <v>810</v>
      </c>
      <c r="M338" s="108" t="s">
        <v>822</v>
      </c>
      <c r="N338" s="108" t="s">
        <v>822</v>
      </c>
      <c r="O338" s="108" t="s">
        <v>822</v>
      </c>
      <c r="P338" s="137" t="s">
        <v>822</v>
      </c>
    </row>
    <row r="339" spans="1:16" x14ac:dyDescent="0.25">
      <c r="A339" s="95" t="s">
        <v>186</v>
      </c>
      <c r="D339" s="95" t="str">
        <f t="shared" si="5"/>
        <v/>
      </c>
      <c r="E339" s="93" t="s">
        <v>172</v>
      </c>
      <c r="F339" s="93" t="s">
        <v>883</v>
      </c>
      <c r="H339" s="93" t="s">
        <v>158</v>
      </c>
      <c r="L339" s="93" t="s">
        <v>810</v>
      </c>
      <c r="M339" s="108" t="s">
        <v>822</v>
      </c>
      <c r="N339" s="108" t="s">
        <v>822</v>
      </c>
      <c r="O339" s="108" t="s">
        <v>822</v>
      </c>
      <c r="P339" s="137" t="s">
        <v>822</v>
      </c>
    </row>
    <row r="340" spans="1:16" x14ac:dyDescent="0.25">
      <c r="A340" s="95" t="s">
        <v>186</v>
      </c>
      <c r="D340" s="95" t="str">
        <f t="shared" si="5"/>
        <v/>
      </c>
      <c r="E340" s="93" t="s">
        <v>173</v>
      </c>
      <c r="F340" s="93" t="s">
        <v>884</v>
      </c>
      <c r="H340" s="93" t="s">
        <v>158</v>
      </c>
      <c r="L340" s="93" t="s">
        <v>810</v>
      </c>
      <c r="M340" s="108" t="s">
        <v>822</v>
      </c>
      <c r="N340" s="108" t="s">
        <v>822</v>
      </c>
      <c r="O340" s="108" t="s">
        <v>822</v>
      </c>
      <c r="P340" s="137" t="s">
        <v>822</v>
      </c>
    </row>
    <row r="341" spans="1:16" ht="37.5" x14ac:dyDescent="0.25">
      <c r="A341" s="95" t="s">
        <v>186</v>
      </c>
      <c r="D341" s="95" t="str">
        <f t="shared" si="5"/>
        <v/>
      </c>
      <c r="E341" s="93" t="s">
        <v>174</v>
      </c>
      <c r="F341" s="93" t="s">
        <v>897</v>
      </c>
      <c r="H341" s="93" t="s">
        <v>158</v>
      </c>
      <c r="L341" s="93" t="s">
        <v>810</v>
      </c>
      <c r="M341" s="108" t="s">
        <v>822</v>
      </c>
      <c r="N341" s="108" t="s">
        <v>822</v>
      </c>
      <c r="O341" s="108" t="s">
        <v>822</v>
      </c>
      <c r="P341" s="137" t="s">
        <v>822</v>
      </c>
    </row>
    <row r="342" spans="1:16" x14ac:dyDescent="0.25">
      <c r="A342" s="95" t="s">
        <v>186</v>
      </c>
      <c r="D342" s="95" t="str">
        <f t="shared" si="5"/>
        <v/>
      </c>
      <c r="E342" s="93" t="s">
        <v>175</v>
      </c>
      <c r="F342" s="93" t="s">
        <v>139</v>
      </c>
      <c r="H342" s="93" t="s">
        <v>158</v>
      </c>
      <c r="L342" s="93" t="s">
        <v>810</v>
      </c>
      <c r="M342" s="108" t="s">
        <v>822</v>
      </c>
      <c r="N342" s="108" t="s">
        <v>822</v>
      </c>
      <c r="O342" s="108" t="s">
        <v>822</v>
      </c>
      <c r="P342" s="137" t="s">
        <v>822</v>
      </c>
    </row>
    <row r="343" spans="1:16" x14ac:dyDescent="0.25">
      <c r="A343" s="95" t="s">
        <v>186</v>
      </c>
      <c r="D343" s="95" t="str">
        <f t="shared" si="5"/>
        <v/>
      </c>
      <c r="E343" s="93" t="s">
        <v>176</v>
      </c>
      <c r="F343" s="93" t="s">
        <v>856</v>
      </c>
      <c r="H343" s="93" t="s">
        <v>158</v>
      </c>
      <c r="L343" s="93" t="s">
        <v>810</v>
      </c>
      <c r="M343" s="108" t="s">
        <v>822</v>
      </c>
      <c r="N343" s="108" t="s">
        <v>822</v>
      </c>
      <c r="O343" s="108" t="s">
        <v>822</v>
      </c>
      <c r="P343" s="137" t="s">
        <v>822</v>
      </c>
    </row>
    <row r="344" spans="1:16" x14ac:dyDescent="0.25">
      <c r="A344" s="95" t="s">
        <v>186</v>
      </c>
      <c r="D344" s="95" t="str">
        <f t="shared" si="5"/>
        <v/>
      </c>
      <c r="E344" s="93" t="s">
        <v>139</v>
      </c>
      <c r="F344" s="93" t="s">
        <v>865</v>
      </c>
      <c r="H344" s="93" t="s">
        <v>158</v>
      </c>
      <c r="L344" s="93" t="s">
        <v>810</v>
      </c>
      <c r="M344" s="108" t="s">
        <v>822</v>
      </c>
      <c r="N344" s="108" t="s">
        <v>822</v>
      </c>
      <c r="O344" s="108" t="s">
        <v>822</v>
      </c>
      <c r="P344" s="137" t="s">
        <v>822</v>
      </c>
    </row>
    <row r="345" spans="1:16" x14ac:dyDescent="0.25">
      <c r="A345" s="95" t="s">
        <v>186</v>
      </c>
      <c r="C345" s="93" t="s">
        <v>651</v>
      </c>
      <c r="D345" s="95" t="str">
        <f t="shared" si="5"/>
        <v/>
      </c>
      <c r="E345" s="93" t="s">
        <v>177</v>
      </c>
      <c r="F345" s="93" t="s">
        <v>915</v>
      </c>
      <c r="H345" s="93" t="s">
        <v>158</v>
      </c>
      <c r="I345" s="95" t="s">
        <v>5</v>
      </c>
      <c r="L345" s="93" t="s">
        <v>810</v>
      </c>
      <c r="M345" s="108" t="s">
        <v>822</v>
      </c>
      <c r="N345" s="108" t="s">
        <v>822</v>
      </c>
      <c r="O345" s="108" t="s">
        <v>822</v>
      </c>
      <c r="P345" s="137" t="s">
        <v>822</v>
      </c>
    </row>
    <row r="346" spans="1:16" x14ac:dyDescent="0.25">
      <c r="A346" s="95" t="s">
        <v>186</v>
      </c>
      <c r="D346" s="95" t="str">
        <f t="shared" si="5"/>
        <v/>
      </c>
      <c r="E346" s="93" t="s">
        <v>178</v>
      </c>
      <c r="F346" s="93" t="s">
        <v>868</v>
      </c>
      <c r="H346" s="93" t="s">
        <v>158</v>
      </c>
      <c r="L346" s="93" t="s">
        <v>810</v>
      </c>
      <c r="M346" s="108" t="s">
        <v>822</v>
      </c>
      <c r="N346" s="108" t="s">
        <v>822</v>
      </c>
      <c r="O346" s="108" t="s">
        <v>822</v>
      </c>
      <c r="P346" s="137" t="s">
        <v>822</v>
      </c>
    </row>
    <row r="347" spans="1:16" x14ac:dyDescent="0.25">
      <c r="A347" s="95" t="s">
        <v>186</v>
      </c>
      <c r="D347" s="95" t="str">
        <f t="shared" si="5"/>
        <v/>
      </c>
      <c r="E347" s="93" t="s">
        <v>409</v>
      </c>
      <c r="F347" s="93" t="s">
        <v>916</v>
      </c>
      <c r="H347" s="93" t="s">
        <v>158</v>
      </c>
      <c r="L347" s="93" t="s">
        <v>810</v>
      </c>
      <c r="M347" s="108" t="s">
        <v>822</v>
      </c>
      <c r="N347" s="108" t="s">
        <v>822</v>
      </c>
      <c r="O347" s="108" t="s">
        <v>822</v>
      </c>
      <c r="P347" s="137" t="s">
        <v>822</v>
      </c>
    </row>
    <row r="348" spans="1:16" x14ac:dyDescent="0.25">
      <c r="A348" s="95" t="s">
        <v>186</v>
      </c>
      <c r="D348" s="95" t="str">
        <f t="shared" si="5"/>
        <v/>
      </c>
      <c r="E348" s="93" t="s">
        <v>135</v>
      </c>
      <c r="F348" s="93" t="s">
        <v>878</v>
      </c>
      <c r="H348" s="93" t="s">
        <v>158</v>
      </c>
      <c r="L348" s="93" t="s">
        <v>810</v>
      </c>
      <c r="M348" s="108" t="s">
        <v>822</v>
      </c>
      <c r="N348" s="108" t="s">
        <v>822</v>
      </c>
      <c r="O348" s="108" t="s">
        <v>822</v>
      </c>
      <c r="P348" s="137" t="s">
        <v>822</v>
      </c>
    </row>
    <row r="349" spans="1:16" x14ac:dyDescent="0.25">
      <c r="A349" s="95" t="s">
        <v>186</v>
      </c>
      <c r="D349" s="95" t="str">
        <f t="shared" si="5"/>
        <v/>
      </c>
      <c r="E349" s="93" t="s">
        <v>412</v>
      </c>
      <c r="F349" s="93" t="s">
        <v>885</v>
      </c>
      <c r="H349" s="93" t="s">
        <v>158</v>
      </c>
      <c r="L349" s="93" t="s">
        <v>810</v>
      </c>
      <c r="M349" s="108" t="s">
        <v>822</v>
      </c>
      <c r="N349" s="108" t="s">
        <v>822</v>
      </c>
      <c r="O349" s="108" t="s">
        <v>822</v>
      </c>
      <c r="P349" s="137" t="s">
        <v>822</v>
      </c>
    </row>
    <row r="350" spans="1:16" x14ac:dyDescent="0.25">
      <c r="A350" s="95" t="s">
        <v>186</v>
      </c>
      <c r="D350" s="95" t="str">
        <f t="shared" si="5"/>
        <v/>
      </c>
      <c r="E350" s="93" t="s">
        <v>414</v>
      </c>
      <c r="F350" s="93" t="s">
        <v>421</v>
      </c>
      <c r="H350" s="93" t="s">
        <v>158</v>
      </c>
      <c r="L350" s="93" t="s">
        <v>810</v>
      </c>
      <c r="M350" s="108" t="s">
        <v>822</v>
      </c>
      <c r="N350" s="108" t="s">
        <v>822</v>
      </c>
      <c r="O350" s="108" t="s">
        <v>822</v>
      </c>
      <c r="P350" s="137" t="s">
        <v>822</v>
      </c>
    </row>
    <row r="351" spans="1:16" x14ac:dyDescent="0.25">
      <c r="A351" s="95" t="s">
        <v>186</v>
      </c>
      <c r="D351" s="95" t="str">
        <f t="shared" si="5"/>
        <v/>
      </c>
      <c r="E351" s="93" t="s">
        <v>455</v>
      </c>
      <c r="F351" s="93" t="s">
        <v>899</v>
      </c>
      <c r="H351" s="93" t="s">
        <v>158</v>
      </c>
      <c r="L351" s="93" t="s">
        <v>810</v>
      </c>
      <c r="M351" s="108" t="s">
        <v>822</v>
      </c>
      <c r="N351" s="108" t="s">
        <v>822</v>
      </c>
      <c r="O351" s="108" t="s">
        <v>822</v>
      </c>
      <c r="P351" s="137" t="s">
        <v>822</v>
      </c>
    </row>
    <row r="352" spans="1:16" x14ac:dyDescent="0.25">
      <c r="A352" s="95" t="s">
        <v>186</v>
      </c>
      <c r="D352" s="95" t="str">
        <f t="shared" si="5"/>
        <v/>
      </c>
      <c r="E352" s="93" t="s">
        <v>421</v>
      </c>
      <c r="F352" s="93" t="s">
        <v>423</v>
      </c>
      <c r="H352" s="93" t="s">
        <v>158</v>
      </c>
      <c r="L352" s="93" t="s">
        <v>810</v>
      </c>
      <c r="M352" s="108" t="s">
        <v>822</v>
      </c>
      <c r="N352" s="108" t="s">
        <v>822</v>
      </c>
      <c r="O352" s="108" t="s">
        <v>822</v>
      </c>
      <c r="P352" s="137" t="s">
        <v>822</v>
      </c>
    </row>
    <row r="353" spans="1:16" x14ac:dyDescent="0.25">
      <c r="A353" s="95" t="s">
        <v>186</v>
      </c>
      <c r="D353" s="95" t="str">
        <f t="shared" si="5"/>
        <v/>
      </c>
      <c r="E353" s="93" t="s">
        <v>422</v>
      </c>
      <c r="F353" s="93" t="s">
        <v>426</v>
      </c>
      <c r="H353" s="93" t="s">
        <v>158</v>
      </c>
      <c r="L353" s="93" t="s">
        <v>810</v>
      </c>
      <c r="M353" s="108" t="s">
        <v>822</v>
      </c>
      <c r="N353" s="108" t="s">
        <v>822</v>
      </c>
      <c r="O353" s="108" t="s">
        <v>822</v>
      </c>
      <c r="P353" s="137" t="s">
        <v>822</v>
      </c>
    </row>
    <row r="354" spans="1:16" x14ac:dyDescent="0.25">
      <c r="A354" s="95" t="s">
        <v>186</v>
      </c>
      <c r="D354" s="95" t="str">
        <f t="shared" si="5"/>
        <v/>
      </c>
      <c r="E354" s="93" t="s">
        <v>423</v>
      </c>
      <c r="F354" s="93" t="s">
        <v>843</v>
      </c>
      <c r="H354" s="93" t="s">
        <v>158</v>
      </c>
      <c r="L354" s="93" t="s">
        <v>810</v>
      </c>
      <c r="M354" s="108" t="s">
        <v>822</v>
      </c>
      <c r="N354" s="108" t="s">
        <v>822</v>
      </c>
      <c r="O354" s="108" t="s">
        <v>822</v>
      </c>
      <c r="P354" s="137" t="s">
        <v>822</v>
      </c>
    </row>
    <row r="355" spans="1:16" s="100" customFormat="1" ht="19.5" thickBot="1" x14ac:dyDescent="0.3">
      <c r="A355" s="98" t="s">
        <v>186</v>
      </c>
      <c r="B355" s="99"/>
      <c r="C355" s="99"/>
      <c r="D355" s="98" t="str">
        <f t="shared" si="5"/>
        <v/>
      </c>
      <c r="E355" s="99" t="s">
        <v>426</v>
      </c>
      <c r="F355" s="99" t="s">
        <v>845</v>
      </c>
      <c r="G355" s="99"/>
      <c r="H355" s="99" t="s">
        <v>158</v>
      </c>
      <c r="I355" s="98"/>
      <c r="J355" s="99"/>
      <c r="K355" s="99"/>
      <c r="L355" s="99" t="s">
        <v>810</v>
      </c>
      <c r="M355" s="110" t="s">
        <v>822</v>
      </c>
      <c r="N355" s="110" t="s">
        <v>822</v>
      </c>
      <c r="O355" s="110" t="s">
        <v>822</v>
      </c>
      <c r="P355" s="137" t="s">
        <v>822</v>
      </c>
    </row>
    <row r="356" spans="1:16" x14ac:dyDescent="0.25">
      <c r="A356" s="95" t="s">
        <v>236</v>
      </c>
      <c r="C356" s="93" t="s">
        <v>252</v>
      </c>
      <c r="D356" s="95" t="str">
        <f t="shared" si="5"/>
        <v/>
      </c>
      <c r="E356" s="93" t="s">
        <v>76</v>
      </c>
      <c r="F356" s="93" t="s">
        <v>910</v>
      </c>
      <c r="H356" s="93" t="s">
        <v>158</v>
      </c>
      <c r="I356" s="95" t="s">
        <v>7</v>
      </c>
      <c r="J356" s="105">
        <v>46037</v>
      </c>
      <c r="L356" s="93" t="s">
        <v>810</v>
      </c>
      <c r="M356" s="108" t="s">
        <v>822</v>
      </c>
      <c r="N356" s="108" t="s">
        <v>822</v>
      </c>
      <c r="O356" s="108" t="s">
        <v>822</v>
      </c>
      <c r="P356" s="137" t="s">
        <v>822</v>
      </c>
    </row>
    <row r="357" spans="1:16" x14ac:dyDescent="0.25">
      <c r="A357" s="95" t="s">
        <v>236</v>
      </c>
      <c r="C357" s="93" t="s">
        <v>248</v>
      </c>
      <c r="D357" s="95" t="str">
        <f t="shared" si="5"/>
        <v/>
      </c>
      <c r="E357" s="93" t="s">
        <v>260</v>
      </c>
      <c r="F357" s="93" t="s">
        <v>910</v>
      </c>
      <c r="H357" s="93" t="s">
        <v>157</v>
      </c>
      <c r="I357" s="95" t="s">
        <v>7</v>
      </c>
      <c r="J357" s="105">
        <v>46048</v>
      </c>
      <c r="L357" s="93" t="s">
        <v>810</v>
      </c>
      <c r="M357" s="108" t="s">
        <v>822</v>
      </c>
      <c r="N357" s="108" t="s">
        <v>822</v>
      </c>
      <c r="O357" s="108" t="s">
        <v>822</v>
      </c>
      <c r="P357" s="137" t="s">
        <v>822</v>
      </c>
    </row>
    <row r="358" spans="1:16" x14ac:dyDescent="0.25">
      <c r="A358" s="95" t="s">
        <v>236</v>
      </c>
      <c r="C358" s="93" t="s">
        <v>247</v>
      </c>
      <c r="D358" s="95" t="str">
        <f t="shared" si="5"/>
        <v/>
      </c>
      <c r="E358" s="93" t="s">
        <v>259</v>
      </c>
      <c r="F358" s="93" t="s">
        <v>834</v>
      </c>
      <c r="H358" s="93" t="s">
        <v>157</v>
      </c>
      <c r="I358" s="95" t="s">
        <v>7</v>
      </c>
      <c r="J358" s="105">
        <v>46048</v>
      </c>
      <c r="L358" s="93" t="s">
        <v>810</v>
      </c>
      <c r="M358" s="108" t="s">
        <v>822</v>
      </c>
      <c r="N358" s="108" t="s">
        <v>822</v>
      </c>
      <c r="O358" s="108" t="s">
        <v>822</v>
      </c>
      <c r="P358" s="137" t="s">
        <v>822</v>
      </c>
    </row>
    <row r="359" spans="1:16" x14ac:dyDescent="0.25">
      <c r="A359" s="95" t="s">
        <v>236</v>
      </c>
      <c r="C359" s="93" t="s">
        <v>239</v>
      </c>
      <c r="D359" s="95" t="str">
        <f t="shared" si="5"/>
        <v/>
      </c>
      <c r="E359" s="93" t="s">
        <v>256</v>
      </c>
      <c r="F359" s="93" t="s">
        <v>870</v>
      </c>
      <c r="H359" s="93" t="s">
        <v>157</v>
      </c>
      <c r="I359" s="95" t="s">
        <v>7</v>
      </c>
      <c r="J359" s="105">
        <v>46049</v>
      </c>
      <c r="K359" s="97">
        <v>46079</v>
      </c>
      <c r="L359" s="93" t="s">
        <v>810</v>
      </c>
      <c r="M359" s="108" t="s">
        <v>822</v>
      </c>
      <c r="N359" s="108" t="s">
        <v>822</v>
      </c>
      <c r="O359" s="108" t="s">
        <v>822</v>
      </c>
      <c r="P359" s="137" t="s">
        <v>822</v>
      </c>
    </row>
    <row r="360" spans="1:16" x14ac:dyDescent="0.25">
      <c r="A360" s="95" t="s">
        <v>236</v>
      </c>
      <c r="C360" s="93" t="s">
        <v>246</v>
      </c>
      <c r="D360" s="95" t="str">
        <f t="shared" si="5"/>
        <v/>
      </c>
      <c r="E360" s="93" t="s">
        <v>258</v>
      </c>
      <c r="F360" s="93" t="s">
        <v>848</v>
      </c>
      <c r="H360" s="93" t="s">
        <v>157</v>
      </c>
      <c r="I360" s="95" t="s">
        <v>7</v>
      </c>
      <c r="J360" s="105">
        <v>46049</v>
      </c>
      <c r="L360" s="93" t="s">
        <v>810</v>
      </c>
      <c r="M360" s="108" t="s">
        <v>822</v>
      </c>
      <c r="N360" s="108" t="s">
        <v>822</v>
      </c>
      <c r="O360" s="108" t="s">
        <v>822</v>
      </c>
      <c r="P360" s="137" t="s">
        <v>822</v>
      </c>
    </row>
    <row r="361" spans="1:16" ht="37.5" x14ac:dyDescent="0.25">
      <c r="A361" s="95" t="s">
        <v>236</v>
      </c>
      <c r="C361" s="93" t="s">
        <v>244</v>
      </c>
      <c r="D361" s="95" t="str">
        <f t="shared" si="5"/>
        <v/>
      </c>
      <c r="E361" s="93" t="s">
        <v>257</v>
      </c>
      <c r="F361" s="93" t="s">
        <v>889</v>
      </c>
      <c r="H361" s="93" t="s">
        <v>158</v>
      </c>
      <c r="I361" s="95" t="s">
        <v>7</v>
      </c>
      <c r="J361" s="105">
        <v>46065</v>
      </c>
      <c r="L361" s="93" t="s">
        <v>810</v>
      </c>
      <c r="M361" s="108" t="s">
        <v>822</v>
      </c>
      <c r="N361" s="108" t="s">
        <v>822</v>
      </c>
      <c r="O361" s="108" t="s">
        <v>822</v>
      </c>
      <c r="P361" s="137" t="s">
        <v>822</v>
      </c>
    </row>
    <row r="362" spans="1:16" x14ac:dyDescent="0.25">
      <c r="A362" s="95" t="s">
        <v>236</v>
      </c>
      <c r="C362" s="93" t="s">
        <v>238</v>
      </c>
      <c r="D362" s="95" t="str">
        <f t="shared" si="5"/>
        <v/>
      </c>
      <c r="E362" s="93" t="s">
        <v>255</v>
      </c>
      <c r="F362" s="93" t="s">
        <v>840</v>
      </c>
      <c r="H362" s="93" t="s">
        <v>157</v>
      </c>
      <c r="I362" s="95" t="s">
        <v>7</v>
      </c>
      <c r="J362" s="105">
        <v>46064</v>
      </c>
      <c r="K362" s="97">
        <v>46079</v>
      </c>
      <c r="L362" s="93" t="s">
        <v>810</v>
      </c>
      <c r="M362" s="108" t="s">
        <v>822</v>
      </c>
      <c r="N362" s="108" t="s">
        <v>822</v>
      </c>
      <c r="O362" s="108" t="s">
        <v>822</v>
      </c>
      <c r="P362" s="137" t="s">
        <v>822</v>
      </c>
    </row>
    <row r="363" spans="1:16" x14ac:dyDescent="0.25">
      <c r="A363" s="95" t="s">
        <v>236</v>
      </c>
      <c r="C363" s="93" t="s">
        <v>243</v>
      </c>
      <c r="D363" s="95" t="str">
        <f t="shared" si="5"/>
        <v/>
      </c>
      <c r="E363" s="93" t="s">
        <v>37</v>
      </c>
      <c r="F363" s="93" t="s">
        <v>913</v>
      </c>
      <c r="H363" s="93" t="s">
        <v>158</v>
      </c>
      <c r="I363" s="95" t="s">
        <v>7</v>
      </c>
      <c r="J363" s="105">
        <v>46084</v>
      </c>
      <c r="L363" s="93" t="s">
        <v>810</v>
      </c>
      <c r="M363" s="108" t="s">
        <v>822</v>
      </c>
      <c r="N363" s="108" t="s">
        <v>822</v>
      </c>
      <c r="O363" s="108" t="s">
        <v>822</v>
      </c>
      <c r="P363" s="137" t="s">
        <v>822</v>
      </c>
    </row>
    <row r="364" spans="1:16" x14ac:dyDescent="0.25">
      <c r="A364" s="95" t="s">
        <v>236</v>
      </c>
      <c r="C364" s="93" t="s">
        <v>237</v>
      </c>
      <c r="D364" s="95" t="str">
        <f t="shared" si="5"/>
        <v/>
      </c>
      <c r="E364" s="93" t="s">
        <v>254</v>
      </c>
      <c r="F364" s="93" t="s">
        <v>847</v>
      </c>
      <c r="H364" s="93" t="s">
        <v>158</v>
      </c>
      <c r="I364" s="95" t="s">
        <v>7</v>
      </c>
      <c r="J364" s="105">
        <v>46070</v>
      </c>
      <c r="L364" s="93" t="s">
        <v>810</v>
      </c>
      <c r="M364" s="108" t="s">
        <v>822</v>
      </c>
      <c r="N364" s="108" t="s">
        <v>822</v>
      </c>
      <c r="O364" s="108" t="s">
        <v>822</v>
      </c>
      <c r="P364" s="137" t="s">
        <v>822</v>
      </c>
    </row>
    <row r="365" spans="1:16" x14ac:dyDescent="0.25">
      <c r="A365" s="95" t="s">
        <v>236</v>
      </c>
      <c r="C365" s="93" t="s">
        <v>240</v>
      </c>
      <c r="D365" s="95" t="str">
        <f t="shared" si="5"/>
        <v/>
      </c>
      <c r="E365" s="93" t="s">
        <v>86</v>
      </c>
      <c r="F365" s="93" t="s">
        <v>841</v>
      </c>
      <c r="H365" s="93" t="s">
        <v>157</v>
      </c>
      <c r="I365" s="95" t="s">
        <v>7</v>
      </c>
      <c r="J365" s="105">
        <v>46064</v>
      </c>
      <c r="K365" s="97">
        <v>46079</v>
      </c>
      <c r="L365" s="93" t="s">
        <v>810</v>
      </c>
      <c r="M365" s="108" t="s">
        <v>822</v>
      </c>
      <c r="N365" s="108" t="s">
        <v>822</v>
      </c>
      <c r="O365" s="108" t="s">
        <v>822</v>
      </c>
      <c r="P365" s="137" t="s">
        <v>822</v>
      </c>
    </row>
    <row r="366" spans="1:16" x14ac:dyDescent="0.25">
      <c r="A366" s="95" t="s">
        <v>236</v>
      </c>
      <c r="C366" s="93" t="s">
        <v>249</v>
      </c>
      <c r="D366" s="95" t="str">
        <f t="shared" si="5"/>
        <v/>
      </c>
      <c r="E366" s="93" t="s">
        <v>39</v>
      </c>
      <c r="F366" s="93" t="s">
        <v>849</v>
      </c>
      <c r="H366" s="93" t="s">
        <v>157</v>
      </c>
      <c r="I366" s="95" t="s">
        <v>7</v>
      </c>
      <c r="J366" s="105">
        <v>46071</v>
      </c>
      <c r="L366" s="93" t="s">
        <v>810</v>
      </c>
      <c r="M366" s="108" t="s">
        <v>822</v>
      </c>
      <c r="N366" s="108" t="s">
        <v>822</v>
      </c>
      <c r="O366" s="108" t="s">
        <v>822</v>
      </c>
      <c r="P366" s="137" t="s">
        <v>822</v>
      </c>
    </row>
    <row r="367" spans="1:16" x14ac:dyDescent="0.25">
      <c r="A367" s="95" t="s">
        <v>236</v>
      </c>
      <c r="C367" s="93" t="s">
        <v>250</v>
      </c>
      <c r="D367" s="95" t="str">
        <f t="shared" si="5"/>
        <v/>
      </c>
      <c r="E367" s="93" t="s">
        <v>101</v>
      </c>
      <c r="F367" s="93" t="s">
        <v>841</v>
      </c>
      <c r="H367" s="93" t="s">
        <v>157</v>
      </c>
      <c r="I367" s="95" t="s">
        <v>7</v>
      </c>
      <c r="J367" s="105">
        <v>46072</v>
      </c>
      <c r="L367" s="93" t="s">
        <v>810</v>
      </c>
      <c r="M367" s="108" t="s">
        <v>822</v>
      </c>
      <c r="N367" s="108" t="s">
        <v>822</v>
      </c>
      <c r="O367" s="108" t="s">
        <v>822</v>
      </c>
      <c r="P367" s="137" t="s">
        <v>822</v>
      </c>
    </row>
    <row r="368" spans="1:16" x14ac:dyDescent="0.25">
      <c r="A368" s="95" t="s">
        <v>236</v>
      </c>
      <c r="C368" s="93" t="s">
        <v>245</v>
      </c>
      <c r="D368" s="95" t="str">
        <f t="shared" si="5"/>
        <v/>
      </c>
      <c r="E368" s="93" t="s">
        <v>70</v>
      </c>
      <c r="F368" s="93" t="s">
        <v>833</v>
      </c>
      <c r="H368" s="93" t="s">
        <v>157</v>
      </c>
      <c r="I368" s="95" t="s">
        <v>7</v>
      </c>
      <c r="J368" s="105">
        <v>46077</v>
      </c>
      <c r="L368" s="93" t="s">
        <v>810</v>
      </c>
      <c r="M368" s="108" t="s">
        <v>822</v>
      </c>
      <c r="N368" s="108" t="s">
        <v>822</v>
      </c>
      <c r="O368" s="108" t="s">
        <v>822</v>
      </c>
      <c r="P368" s="137" t="s">
        <v>822</v>
      </c>
    </row>
    <row r="369" spans="1:16" x14ac:dyDescent="0.25">
      <c r="A369" s="95" t="s">
        <v>236</v>
      </c>
      <c r="C369" s="93" t="s">
        <v>253</v>
      </c>
      <c r="D369" s="95" t="str">
        <f t="shared" si="5"/>
        <v/>
      </c>
      <c r="E369" s="93" t="s">
        <v>54</v>
      </c>
      <c r="F369" s="93" t="s">
        <v>839</v>
      </c>
      <c r="H369" s="93" t="s">
        <v>158</v>
      </c>
      <c r="I369" s="95" t="s">
        <v>5</v>
      </c>
      <c r="J369" s="105">
        <v>46078</v>
      </c>
      <c r="L369" s="93" t="s">
        <v>810</v>
      </c>
      <c r="M369" s="108" t="s">
        <v>822</v>
      </c>
      <c r="N369" s="108" t="s">
        <v>822</v>
      </c>
      <c r="O369" s="108" t="s">
        <v>822</v>
      </c>
      <c r="P369" s="137" t="s">
        <v>822</v>
      </c>
    </row>
    <row r="370" spans="1:16" x14ac:dyDescent="0.25">
      <c r="A370" s="95" t="s">
        <v>236</v>
      </c>
      <c r="C370" s="93" t="s">
        <v>241</v>
      </c>
      <c r="D370" s="95" t="str">
        <f t="shared" si="5"/>
        <v>Pre-Delivery</v>
      </c>
      <c r="E370" s="93" t="s">
        <v>221</v>
      </c>
      <c r="F370" s="93" t="s">
        <v>844</v>
      </c>
      <c r="H370" s="93" t="s">
        <v>158</v>
      </c>
      <c r="I370" s="95" t="s">
        <v>7</v>
      </c>
      <c r="L370" s="93" t="s">
        <v>810</v>
      </c>
      <c r="M370" s="108" t="s">
        <v>822</v>
      </c>
      <c r="N370" s="108" t="s">
        <v>822</v>
      </c>
      <c r="O370" s="108" t="s">
        <v>822</v>
      </c>
      <c r="P370" s="137" t="s">
        <v>822</v>
      </c>
    </row>
    <row r="371" spans="1:16" x14ac:dyDescent="0.25">
      <c r="A371" s="95" t="s">
        <v>236</v>
      </c>
      <c r="C371" s="93" t="s">
        <v>251</v>
      </c>
      <c r="D371" s="95" t="str">
        <f t="shared" si="5"/>
        <v/>
      </c>
      <c r="E371" s="93" t="s">
        <v>59</v>
      </c>
      <c r="F371" s="93" t="s">
        <v>852</v>
      </c>
      <c r="H371" s="93" t="s">
        <v>158</v>
      </c>
      <c r="I371" s="95" t="s">
        <v>7</v>
      </c>
      <c r="J371" s="105">
        <v>46087</v>
      </c>
      <c r="L371" s="93" t="s">
        <v>810</v>
      </c>
      <c r="M371" s="108" t="s">
        <v>822</v>
      </c>
      <c r="N371" s="108" t="s">
        <v>822</v>
      </c>
      <c r="O371" s="108" t="s">
        <v>822</v>
      </c>
      <c r="P371" s="137" t="s">
        <v>822</v>
      </c>
    </row>
    <row r="372" spans="1:16" x14ac:dyDescent="0.25">
      <c r="A372" s="95" t="s">
        <v>236</v>
      </c>
      <c r="C372" s="93" t="s">
        <v>242</v>
      </c>
      <c r="D372" s="95" t="str">
        <f t="shared" si="5"/>
        <v/>
      </c>
      <c r="E372" s="93" t="s">
        <v>74</v>
      </c>
      <c r="F372" s="93" t="s">
        <v>852</v>
      </c>
      <c r="H372" s="93" t="s">
        <v>158</v>
      </c>
      <c r="I372" s="95" t="s">
        <v>7</v>
      </c>
      <c r="J372" s="105">
        <v>46087</v>
      </c>
      <c r="L372" s="93" t="s">
        <v>810</v>
      </c>
      <c r="M372" s="108" t="s">
        <v>822</v>
      </c>
      <c r="N372" s="108" t="s">
        <v>822</v>
      </c>
      <c r="O372" s="108" t="s">
        <v>822</v>
      </c>
      <c r="P372" s="137" t="s">
        <v>822</v>
      </c>
    </row>
    <row r="373" spans="1:16" x14ac:dyDescent="0.25">
      <c r="A373" s="95" t="s">
        <v>236</v>
      </c>
      <c r="C373" s="93" t="s">
        <v>502</v>
      </c>
      <c r="D373" s="95" t="str">
        <f t="shared" si="5"/>
        <v/>
      </c>
      <c r="E373" s="93" t="s">
        <v>220</v>
      </c>
      <c r="F373" s="93" t="s">
        <v>400</v>
      </c>
      <c r="H373" s="93" t="s">
        <v>158</v>
      </c>
      <c r="I373" s="95" t="s">
        <v>7</v>
      </c>
      <c r="J373" s="97">
        <v>46091</v>
      </c>
      <c r="L373" s="93" t="s">
        <v>810</v>
      </c>
      <c r="M373" s="108" t="s">
        <v>822</v>
      </c>
      <c r="N373" s="108" t="s">
        <v>822</v>
      </c>
      <c r="O373" s="108" t="s">
        <v>822</v>
      </c>
      <c r="P373" s="137" t="s">
        <v>822</v>
      </c>
    </row>
    <row r="374" spans="1:16" x14ac:dyDescent="0.25">
      <c r="A374" s="95" t="s">
        <v>236</v>
      </c>
      <c r="C374" s="93" t="s">
        <v>502</v>
      </c>
      <c r="D374" s="95" t="str">
        <f t="shared" si="5"/>
        <v/>
      </c>
      <c r="E374" s="93" t="s">
        <v>220</v>
      </c>
      <c r="F374" s="93" t="s">
        <v>850</v>
      </c>
      <c r="H374" s="93" t="s">
        <v>158</v>
      </c>
      <c r="I374" s="95" t="s">
        <v>497</v>
      </c>
      <c r="J374" s="97">
        <v>46091</v>
      </c>
      <c r="L374" s="93" t="s">
        <v>810</v>
      </c>
      <c r="M374" s="108" t="s">
        <v>822</v>
      </c>
      <c r="N374" s="108" t="s">
        <v>822</v>
      </c>
      <c r="O374" s="108" t="s">
        <v>822</v>
      </c>
      <c r="P374" s="137" t="s">
        <v>822</v>
      </c>
    </row>
    <row r="375" spans="1:16" x14ac:dyDescent="0.25">
      <c r="A375" s="95" t="s">
        <v>236</v>
      </c>
      <c r="C375" s="93" t="s">
        <v>503</v>
      </c>
      <c r="D375" s="95" t="str">
        <f t="shared" si="5"/>
        <v>Pre-Delivery</v>
      </c>
      <c r="E375" s="93" t="s">
        <v>368</v>
      </c>
      <c r="F375" s="93" t="s">
        <v>846</v>
      </c>
      <c r="H375" s="93" t="s">
        <v>158</v>
      </c>
      <c r="I375" s="95" t="s">
        <v>7</v>
      </c>
      <c r="J375" s="97">
        <v>46094</v>
      </c>
      <c r="L375" s="93" t="s">
        <v>810</v>
      </c>
      <c r="M375" s="108" t="s">
        <v>822</v>
      </c>
      <c r="N375" s="108" t="s">
        <v>822</v>
      </c>
      <c r="O375" s="108" t="s">
        <v>822</v>
      </c>
      <c r="P375" s="137" t="s">
        <v>822</v>
      </c>
    </row>
    <row r="376" spans="1:16" x14ac:dyDescent="0.25">
      <c r="A376" s="95" t="s">
        <v>236</v>
      </c>
      <c r="C376" s="93" t="s">
        <v>504</v>
      </c>
      <c r="D376" s="95" t="str">
        <f t="shared" si="5"/>
        <v>Pre-Delivery</v>
      </c>
      <c r="E376" s="93" t="s">
        <v>492</v>
      </c>
      <c r="F376" s="93" t="s">
        <v>879</v>
      </c>
      <c r="H376" s="93" t="s">
        <v>410</v>
      </c>
      <c r="I376" s="95" t="s">
        <v>497</v>
      </c>
      <c r="J376" s="97">
        <v>46101</v>
      </c>
      <c r="L376" s="93" t="s">
        <v>810</v>
      </c>
      <c r="M376" s="108" t="s">
        <v>822</v>
      </c>
      <c r="N376" s="108" t="s">
        <v>822</v>
      </c>
      <c r="O376" s="108" t="s">
        <v>822</v>
      </c>
      <c r="P376" s="137" t="s">
        <v>822</v>
      </c>
    </row>
    <row r="377" spans="1:16" x14ac:dyDescent="0.25">
      <c r="A377" s="95" t="s">
        <v>236</v>
      </c>
      <c r="C377" s="93" t="s">
        <v>505</v>
      </c>
      <c r="D377" s="95" t="str">
        <f t="shared" si="5"/>
        <v>Pre-Delivery</v>
      </c>
      <c r="E377" s="93" t="s">
        <v>488</v>
      </c>
      <c r="F377" s="93" t="s">
        <v>842</v>
      </c>
      <c r="H377" s="93" t="s">
        <v>158</v>
      </c>
      <c r="I377" s="95" t="s">
        <v>5</v>
      </c>
      <c r="J377" s="97">
        <v>46101</v>
      </c>
      <c r="L377" s="93" t="s">
        <v>810</v>
      </c>
      <c r="M377" s="108" t="s">
        <v>822</v>
      </c>
      <c r="N377" s="108" t="s">
        <v>822</v>
      </c>
      <c r="O377" s="108" t="s">
        <v>822</v>
      </c>
      <c r="P377" s="137" t="s">
        <v>822</v>
      </c>
    </row>
    <row r="378" spans="1:16" x14ac:dyDescent="0.25">
      <c r="A378" s="95" t="s">
        <v>236</v>
      </c>
      <c r="C378" s="93" t="s">
        <v>506</v>
      </c>
      <c r="D378" s="95" t="str">
        <f t="shared" si="5"/>
        <v/>
      </c>
      <c r="E378" s="93" t="s">
        <v>486</v>
      </c>
      <c r="F378" s="93" t="s">
        <v>836</v>
      </c>
      <c r="H378" s="93" t="s">
        <v>158</v>
      </c>
      <c r="I378" s="95" t="s">
        <v>497</v>
      </c>
      <c r="J378" s="97">
        <v>46111</v>
      </c>
      <c r="L378" s="93" t="s">
        <v>810</v>
      </c>
      <c r="M378" s="108" t="s">
        <v>822</v>
      </c>
      <c r="N378" s="108" t="s">
        <v>822</v>
      </c>
      <c r="O378" s="108" t="s">
        <v>822</v>
      </c>
      <c r="P378" s="137" t="s">
        <v>822</v>
      </c>
    </row>
    <row r="379" spans="1:16" x14ac:dyDescent="0.25">
      <c r="A379" s="95" t="s">
        <v>236</v>
      </c>
      <c r="C379" s="93" t="s">
        <v>462</v>
      </c>
      <c r="D379" s="95" t="str">
        <f t="shared" si="5"/>
        <v/>
      </c>
      <c r="E379" s="93" t="s">
        <v>445</v>
      </c>
      <c r="F379" s="93" t="s">
        <v>864</v>
      </c>
      <c r="H379" s="93" t="s">
        <v>410</v>
      </c>
      <c r="I379" s="95" t="s">
        <v>7</v>
      </c>
      <c r="L379" s="93" t="s">
        <v>810</v>
      </c>
      <c r="M379" s="108" t="s">
        <v>822</v>
      </c>
      <c r="N379" s="108" t="s">
        <v>822</v>
      </c>
      <c r="O379" s="108" t="s">
        <v>822</v>
      </c>
      <c r="P379" s="137" t="s">
        <v>822</v>
      </c>
    </row>
    <row r="380" spans="1:16" x14ac:dyDescent="0.25">
      <c r="A380" s="95" t="s">
        <v>236</v>
      </c>
      <c r="C380" s="93" t="s">
        <v>566</v>
      </c>
      <c r="D380" s="95" t="str">
        <f t="shared" si="5"/>
        <v/>
      </c>
      <c r="E380" s="93" t="s">
        <v>537</v>
      </c>
      <c r="F380" s="93" t="s">
        <v>857</v>
      </c>
      <c r="H380" s="93" t="s">
        <v>410</v>
      </c>
      <c r="L380" s="93" t="s">
        <v>810</v>
      </c>
      <c r="M380" s="108" t="s">
        <v>822</v>
      </c>
      <c r="N380" s="108" t="s">
        <v>822</v>
      </c>
      <c r="O380" s="108" t="s">
        <v>822</v>
      </c>
      <c r="P380" s="137" t="s">
        <v>822</v>
      </c>
    </row>
    <row r="381" spans="1:16" x14ac:dyDescent="0.25">
      <c r="A381" s="95" t="s">
        <v>236</v>
      </c>
      <c r="D381" s="95" t="str">
        <f t="shared" si="5"/>
        <v/>
      </c>
      <c r="E381" s="93" t="s">
        <v>41</v>
      </c>
      <c r="F381" s="93" t="s">
        <v>864</v>
      </c>
      <c r="H381" s="93" t="s">
        <v>410</v>
      </c>
      <c r="L381" s="93" t="s">
        <v>810</v>
      </c>
      <c r="M381" s="108" t="s">
        <v>822</v>
      </c>
      <c r="N381" s="108" t="s">
        <v>822</v>
      </c>
      <c r="O381" s="108" t="s">
        <v>822</v>
      </c>
      <c r="P381" s="137" t="s">
        <v>822</v>
      </c>
    </row>
    <row r="382" spans="1:16" x14ac:dyDescent="0.25">
      <c r="A382" s="95" t="s">
        <v>236</v>
      </c>
      <c r="D382" s="95" t="str">
        <f t="shared" si="5"/>
        <v/>
      </c>
      <c r="E382" s="93" t="s">
        <v>232</v>
      </c>
      <c r="F382" s="93" t="s">
        <v>888</v>
      </c>
      <c r="H382" s="93" t="s">
        <v>410</v>
      </c>
      <c r="L382" s="93" t="s">
        <v>810</v>
      </c>
      <c r="M382" s="108" t="s">
        <v>822</v>
      </c>
      <c r="N382" s="108" t="s">
        <v>822</v>
      </c>
      <c r="O382" s="108" t="s">
        <v>822</v>
      </c>
      <c r="P382" s="137" t="s">
        <v>822</v>
      </c>
    </row>
    <row r="383" spans="1:16" ht="37.5" x14ac:dyDescent="0.25">
      <c r="A383" s="95" t="s">
        <v>236</v>
      </c>
      <c r="D383" s="95" t="str">
        <f t="shared" si="5"/>
        <v/>
      </c>
      <c r="E383" s="93" t="s">
        <v>64</v>
      </c>
      <c r="F383" s="93" t="s">
        <v>429</v>
      </c>
      <c r="H383" s="93" t="s">
        <v>410</v>
      </c>
      <c r="L383" s="93" t="s">
        <v>810</v>
      </c>
      <c r="M383" s="108" t="s">
        <v>822</v>
      </c>
      <c r="N383" s="108" t="s">
        <v>822</v>
      </c>
      <c r="O383" s="108" t="s">
        <v>822</v>
      </c>
      <c r="P383" s="137" t="s">
        <v>822</v>
      </c>
    </row>
    <row r="384" spans="1:16" x14ac:dyDescent="0.25">
      <c r="A384" s="95" t="s">
        <v>236</v>
      </c>
      <c r="D384" s="95" t="str">
        <f t="shared" si="5"/>
        <v/>
      </c>
      <c r="E384" s="93" t="s">
        <v>118</v>
      </c>
      <c r="F384" s="93" t="s">
        <v>430</v>
      </c>
      <c r="H384" s="93" t="s">
        <v>410</v>
      </c>
      <c r="L384" s="93" t="s">
        <v>810</v>
      </c>
      <c r="M384" s="108" t="s">
        <v>822</v>
      </c>
      <c r="N384" s="108" t="s">
        <v>822</v>
      </c>
      <c r="O384" s="108" t="s">
        <v>822</v>
      </c>
      <c r="P384" s="137" t="s">
        <v>822</v>
      </c>
    </row>
    <row r="385" spans="1:16" x14ac:dyDescent="0.25">
      <c r="A385" s="95" t="s">
        <v>236</v>
      </c>
      <c r="D385" s="95" t="str">
        <f t="shared" si="5"/>
        <v/>
      </c>
      <c r="E385" s="93" t="s">
        <v>119</v>
      </c>
      <c r="F385" s="93" t="s">
        <v>431</v>
      </c>
      <c r="H385" s="93" t="s">
        <v>410</v>
      </c>
      <c r="L385" s="93" t="s">
        <v>810</v>
      </c>
      <c r="M385" s="108" t="s">
        <v>822</v>
      </c>
      <c r="N385" s="108" t="s">
        <v>822</v>
      </c>
      <c r="O385" s="108" t="s">
        <v>822</v>
      </c>
      <c r="P385" s="137" t="s">
        <v>822</v>
      </c>
    </row>
    <row r="386" spans="1:16" x14ac:dyDescent="0.25">
      <c r="A386" s="95" t="s">
        <v>236</v>
      </c>
      <c r="D386" s="95" t="str">
        <f t="shared" si="5"/>
        <v/>
      </c>
      <c r="E386" s="93" t="s">
        <v>120</v>
      </c>
      <c r="F386" s="93" t="s">
        <v>432</v>
      </c>
      <c r="H386" s="93" t="s">
        <v>410</v>
      </c>
      <c r="L386" s="93" t="s">
        <v>810</v>
      </c>
      <c r="M386" s="108" t="s">
        <v>822</v>
      </c>
      <c r="N386" s="108" t="s">
        <v>822</v>
      </c>
      <c r="O386" s="108" t="s">
        <v>822</v>
      </c>
      <c r="P386" s="137" t="s">
        <v>822</v>
      </c>
    </row>
    <row r="387" spans="1:16" x14ac:dyDescent="0.25">
      <c r="A387" s="95" t="s">
        <v>236</v>
      </c>
      <c r="D387" s="95" t="str">
        <f t="shared" si="5"/>
        <v/>
      </c>
      <c r="E387" s="93" t="s">
        <v>121</v>
      </c>
      <c r="F387" s="93" t="s">
        <v>433</v>
      </c>
      <c r="H387" s="93" t="s">
        <v>410</v>
      </c>
      <c r="L387" s="93" t="s">
        <v>810</v>
      </c>
      <c r="M387" s="108" t="s">
        <v>822</v>
      </c>
      <c r="N387" s="108" t="s">
        <v>822</v>
      </c>
      <c r="O387" s="108" t="s">
        <v>822</v>
      </c>
      <c r="P387" s="137" t="s">
        <v>822</v>
      </c>
    </row>
    <row r="388" spans="1:16" x14ac:dyDescent="0.25">
      <c r="A388" s="95" t="s">
        <v>236</v>
      </c>
      <c r="D388" s="95" t="str">
        <f t="shared" si="5"/>
        <v/>
      </c>
      <c r="E388" s="93" t="s">
        <v>122</v>
      </c>
      <c r="F388" s="93" t="s">
        <v>891</v>
      </c>
      <c r="H388" s="93" t="s">
        <v>410</v>
      </c>
      <c r="L388" s="93" t="s">
        <v>810</v>
      </c>
      <c r="M388" s="108" t="s">
        <v>822</v>
      </c>
      <c r="N388" s="108" t="s">
        <v>822</v>
      </c>
      <c r="O388" s="108" t="s">
        <v>822</v>
      </c>
      <c r="P388" s="137" t="s">
        <v>822</v>
      </c>
    </row>
    <row r="389" spans="1:16" x14ac:dyDescent="0.25">
      <c r="A389" s="95" t="s">
        <v>236</v>
      </c>
      <c r="D389" s="95" t="str">
        <f t="shared" si="5"/>
        <v/>
      </c>
      <c r="E389" s="93" t="s">
        <v>123</v>
      </c>
      <c r="F389" s="93" t="s">
        <v>435</v>
      </c>
      <c r="H389" s="93" t="s">
        <v>410</v>
      </c>
      <c r="L389" s="93" t="s">
        <v>810</v>
      </c>
      <c r="M389" s="108" t="s">
        <v>822</v>
      </c>
      <c r="N389" s="108" t="s">
        <v>822</v>
      </c>
      <c r="O389" s="108" t="s">
        <v>822</v>
      </c>
      <c r="P389" s="137" t="s">
        <v>822</v>
      </c>
    </row>
    <row r="390" spans="1:16" x14ac:dyDescent="0.25">
      <c r="A390" s="95" t="s">
        <v>236</v>
      </c>
      <c r="D390" s="95" t="str">
        <f t="shared" si="5"/>
        <v/>
      </c>
      <c r="E390" s="93" t="s">
        <v>124</v>
      </c>
      <c r="F390" s="93" t="s">
        <v>436</v>
      </c>
      <c r="H390" s="93" t="s">
        <v>410</v>
      </c>
      <c r="L390" s="93" t="s">
        <v>810</v>
      </c>
      <c r="M390" s="108" t="s">
        <v>822</v>
      </c>
      <c r="N390" s="108" t="s">
        <v>822</v>
      </c>
      <c r="O390" s="108" t="s">
        <v>822</v>
      </c>
      <c r="P390" s="137" t="s">
        <v>822</v>
      </c>
    </row>
    <row r="391" spans="1:16" x14ac:dyDescent="0.25">
      <c r="A391" s="95" t="s">
        <v>236</v>
      </c>
      <c r="D391" s="95" t="str">
        <f t="shared" ref="D391:D454" si="6">IF(OR(ISNUMBER(SEARCH("Pre Delivery",E391)),ISNUMBER(SEARCH("Pre-Delivery",E391)),ISNUMBER(SEARCH("Predelivery",E391)),ISNUMBER(SEARCH("PD -",E391)),ISNUMBER(SEARCH("PD Lubes",E391))),"Pre-Delivery","")</f>
        <v/>
      </c>
      <c r="E391" s="93" t="s">
        <v>125</v>
      </c>
      <c r="F391" s="93" t="s">
        <v>881</v>
      </c>
      <c r="H391" s="93" t="s">
        <v>410</v>
      </c>
      <c r="L391" s="93" t="s">
        <v>810</v>
      </c>
      <c r="M391" s="108" t="s">
        <v>822</v>
      </c>
      <c r="N391" s="108" t="s">
        <v>822</v>
      </c>
      <c r="O391" s="108" t="s">
        <v>822</v>
      </c>
      <c r="P391" s="137" t="s">
        <v>822</v>
      </c>
    </row>
    <row r="392" spans="1:16" x14ac:dyDescent="0.25">
      <c r="A392" s="95" t="s">
        <v>236</v>
      </c>
      <c r="D392" s="95" t="str">
        <f t="shared" si="6"/>
        <v/>
      </c>
      <c r="E392" s="93" t="s">
        <v>126</v>
      </c>
      <c r="F392" s="93" t="s">
        <v>451</v>
      </c>
      <c r="H392" s="93" t="s">
        <v>410</v>
      </c>
      <c r="L392" s="93" t="s">
        <v>810</v>
      </c>
      <c r="M392" s="108" t="s">
        <v>822</v>
      </c>
      <c r="N392" s="108" t="s">
        <v>822</v>
      </c>
      <c r="O392" s="108" t="s">
        <v>822</v>
      </c>
      <c r="P392" s="137" t="s">
        <v>822</v>
      </c>
    </row>
    <row r="393" spans="1:16" x14ac:dyDescent="0.25">
      <c r="A393" s="95" t="s">
        <v>236</v>
      </c>
      <c r="D393" s="95" t="str">
        <f t="shared" si="6"/>
        <v/>
      </c>
      <c r="E393" s="93" t="s">
        <v>127</v>
      </c>
      <c r="F393" s="93" t="s">
        <v>452</v>
      </c>
      <c r="H393" s="93" t="s">
        <v>410</v>
      </c>
      <c r="L393" s="93" t="s">
        <v>810</v>
      </c>
      <c r="M393" s="108" t="s">
        <v>822</v>
      </c>
      <c r="N393" s="108" t="s">
        <v>822</v>
      </c>
      <c r="O393" s="108" t="s">
        <v>822</v>
      </c>
      <c r="P393" s="137" t="s">
        <v>822</v>
      </c>
    </row>
    <row r="394" spans="1:16" x14ac:dyDescent="0.25">
      <c r="A394" s="95" t="s">
        <v>236</v>
      </c>
      <c r="D394" s="95" t="str">
        <f t="shared" si="6"/>
        <v/>
      </c>
      <c r="E394" s="93" t="s">
        <v>128</v>
      </c>
      <c r="F394" s="93" t="s">
        <v>452</v>
      </c>
      <c r="H394" s="93" t="s">
        <v>410</v>
      </c>
      <c r="L394" s="93" t="s">
        <v>810</v>
      </c>
      <c r="M394" s="108" t="s">
        <v>822</v>
      </c>
      <c r="N394" s="108" t="s">
        <v>822</v>
      </c>
      <c r="O394" s="108" t="s">
        <v>822</v>
      </c>
      <c r="P394" s="137" t="s">
        <v>822</v>
      </c>
    </row>
    <row r="395" spans="1:16" x14ac:dyDescent="0.25">
      <c r="A395" s="95" t="s">
        <v>236</v>
      </c>
      <c r="D395" s="95" t="str">
        <f t="shared" si="6"/>
        <v/>
      </c>
      <c r="E395" s="93" t="s">
        <v>129</v>
      </c>
      <c r="F395" s="93" t="s">
        <v>452</v>
      </c>
      <c r="H395" s="93" t="s">
        <v>410</v>
      </c>
      <c r="L395" s="93" t="s">
        <v>810</v>
      </c>
      <c r="M395" s="108" t="s">
        <v>822</v>
      </c>
      <c r="N395" s="108" t="s">
        <v>822</v>
      </c>
      <c r="O395" s="108" t="s">
        <v>822</v>
      </c>
      <c r="P395" s="137" t="s">
        <v>822</v>
      </c>
    </row>
    <row r="396" spans="1:16" x14ac:dyDescent="0.25">
      <c r="A396" s="95" t="s">
        <v>236</v>
      </c>
      <c r="D396" s="95" t="str">
        <f t="shared" si="6"/>
        <v/>
      </c>
      <c r="E396" s="93" t="s">
        <v>129</v>
      </c>
      <c r="F396" s="93" t="s">
        <v>452</v>
      </c>
      <c r="H396" s="93" t="s">
        <v>410</v>
      </c>
      <c r="L396" s="93" t="s">
        <v>810</v>
      </c>
      <c r="M396" s="108" t="s">
        <v>822</v>
      </c>
      <c r="N396" s="108" t="s">
        <v>822</v>
      </c>
      <c r="O396" s="108" t="s">
        <v>822</v>
      </c>
      <c r="P396" s="137" t="s">
        <v>822</v>
      </c>
    </row>
    <row r="397" spans="1:16" x14ac:dyDescent="0.25">
      <c r="A397" s="95" t="s">
        <v>236</v>
      </c>
      <c r="D397" s="95" t="str">
        <f t="shared" si="6"/>
        <v/>
      </c>
      <c r="E397" s="93" t="s">
        <v>129</v>
      </c>
      <c r="F397" s="93" t="s">
        <v>892</v>
      </c>
      <c r="H397" s="93" t="s">
        <v>410</v>
      </c>
      <c r="L397" s="93" t="s">
        <v>810</v>
      </c>
      <c r="M397" s="108" t="s">
        <v>822</v>
      </c>
      <c r="N397" s="108" t="s">
        <v>822</v>
      </c>
      <c r="O397" s="108" t="s">
        <v>822</v>
      </c>
      <c r="P397" s="137" t="s">
        <v>822</v>
      </c>
    </row>
    <row r="398" spans="1:16" x14ac:dyDescent="0.25">
      <c r="A398" s="95" t="s">
        <v>236</v>
      </c>
      <c r="D398" s="95" t="str">
        <f t="shared" si="6"/>
        <v/>
      </c>
      <c r="E398" s="93" t="s">
        <v>129</v>
      </c>
      <c r="F398" s="93" t="s">
        <v>893</v>
      </c>
      <c r="H398" s="93" t="s">
        <v>410</v>
      </c>
      <c r="L398" s="93" t="s">
        <v>810</v>
      </c>
      <c r="M398" s="108" t="s">
        <v>822</v>
      </c>
      <c r="N398" s="108" t="s">
        <v>822</v>
      </c>
      <c r="O398" s="108" t="s">
        <v>822</v>
      </c>
      <c r="P398" s="137" t="s">
        <v>822</v>
      </c>
    </row>
    <row r="399" spans="1:16" x14ac:dyDescent="0.25">
      <c r="A399" s="95" t="s">
        <v>236</v>
      </c>
      <c r="D399" s="95" t="str">
        <f t="shared" si="6"/>
        <v/>
      </c>
      <c r="E399" s="93" t="s">
        <v>130</v>
      </c>
      <c r="F399" s="93" t="s">
        <v>574</v>
      </c>
      <c r="H399" s="93" t="s">
        <v>410</v>
      </c>
      <c r="L399" s="93" t="s">
        <v>810</v>
      </c>
      <c r="M399" s="108" t="s">
        <v>822</v>
      </c>
      <c r="N399" s="108" t="s">
        <v>822</v>
      </c>
      <c r="O399" s="108" t="s">
        <v>822</v>
      </c>
      <c r="P399" s="137" t="s">
        <v>822</v>
      </c>
    </row>
    <row r="400" spans="1:16" x14ac:dyDescent="0.25">
      <c r="A400" s="95" t="s">
        <v>236</v>
      </c>
      <c r="D400" s="95" t="str">
        <f t="shared" si="6"/>
        <v/>
      </c>
      <c r="E400" s="93" t="s">
        <v>131</v>
      </c>
      <c r="F400" s="93" t="s">
        <v>854</v>
      </c>
      <c r="H400" s="93" t="s">
        <v>410</v>
      </c>
      <c r="L400" s="93" t="s">
        <v>810</v>
      </c>
      <c r="M400" s="108" t="s">
        <v>822</v>
      </c>
      <c r="N400" s="108" t="s">
        <v>822</v>
      </c>
      <c r="O400" s="108" t="s">
        <v>822</v>
      </c>
      <c r="P400" s="137" t="s">
        <v>822</v>
      </c>
    </row>
    <row r="401" spans="1:16" x14ac:dyDescent="0.25">
      <c r="A401" s="95" t="s">
        <v>236</v>
      </c>
      <c r="C401" s="93" t="s">
        <v>571</v>
      </c>
      <c r="D401" s="95" t="str">
        <f t="shared" si="6"/>
        <v/>
      </c>
      <c r="E401" s="93" t="s">
        <v>104</v>
      </c>
      <c r="F401" s="93" t="s">
        <v>855</v>
      </c>
      <c r="H401" s="93" t="s">
        <v>410</v>
      </c>
      <c r="I401" s="95" t="s">
        <v>5</v>
      </c>
      <c r="L401" s="93" t="s">
        <v>810</v>
      </c>
      <c r="M401" s="108" t="s">
        <v>822</v>
      </c>
      <c r="N401" s="108" t="s">
        <v>822</v>
      </c>
      <c r="O401" s="108" t="s">
        <v>822</v>
      </c>
      <c r="P401" s="137" t="s">
        <v>822</v>
      </c>
    </row>
    <row r="402" spans="1:16" x14ac:dyDescent="0.25">
      <c r="A402" s="95" t="s">
        <v>236</v>
      </c>
      <c r="C402" s="93" t="s">
        <v>576</v>
      </c>
      <c r="D402" s="95" t="str">
        <f t="shared" si="6"/>
        <v/>
      </c>
      <c r="E402" s="93" t="s">
        <v>105</v>
      </c>
      <c r="F402" s="93" t="s">
        <v>440</v>
      </c>
      <c r="H402" s="93" t="s">
        <v>410</v>
      </c>
      <c r="I402" s="95" t="s">
        <v>5</v>
      </c>
      <c r="L402" s="93" t="s">
        <v>810</v>
      </c>
      <c r="M402" s="108" t="s">
        <v>822</v>
      </c>
      <c r="N402" s="108" t="s">
        <v>822</v>
      </c>
      <c r="O402" s="108" t="s">
        <v>822</v>
      </c>
      <c r="P402" s="137" t="s">
        <v>822</v>
      </c>
    </row>
    <row r="403" spans="1:16" x14ac:dyDescent="0.25">
      <c r="A403" s="95" t="s">
        <v>236</v>
      </c>
      <c r="C403" s="93" t="s">
        <v>580</v>
      </c>
      <c r="D403" s="95" t="str">
        <f t="shared" si="6"/>
        <v/>
      </c>
      <c r="E403" s="93" t="s">
        <v>106</v>
      </c>
      <c r="F403" s="93" t="s">
        <v>441</v>
      </c>
      <c r="H403" s="93" t="s">
        <v>410</v>
      </c>
      <c r="I403" s="95" t="s">
        <v>5</v>
      </c>
      <c r="L403" s="93" t="s">
        <v>810</v>
      </c>
      <c r="M403" s="108" t="s">
        <v>822</v>
      </c>
      <c r="N403" s="108" t="s">
        <v>822</v>
      </c>
      <c r="O403" s="108" t="s">
        <v>822</v>
      </c>
      <c r="P403" s="137" t="s">
        <v>822</v>
      </c>
    </row>
    <row r="404" spans="1:16" x14ac:dyDescent="0.25">
      <c r="A404" s="95" t="s">
        <v>236</v>
      </c>
      <c r="D404" s="95" t="str">
        <f t="shared" si="6"/>
        <v/>
      </c>
      <c r="E404" s="93" t="s">
        <v>107</v>
      </c>
      <c r="F404" s="93" t="s">
        <v>890</v>
      </c>
      <c r="H404" s="93" t="s">
        <v>410</v>
      </c>
      <c r="L404" s="93" t="s">
        <v>810</v>
      </c>
      <c r="M404" s="108" t="s">
        <v>822</v>
      </c>
      <c r="N404" s="108" t="s">
        <v>822</v>
      </c>
      <c r="O404" s="108" t="s">
        <v>822</v>
      </c>
      <c r="P404" s="137" t="s">
        <v>822</v>
      </c>
    </row>
    <row r="405" spans="1:16" x14ac:dyDescent="0.25">
      <c r="A405" s="95" t="s">
        <v>236</v>
      </c>
      <c r="C405" s="93" t="s">
        <v>584</v>
      </c>
      <c r="D405" s="95" t="str">
        <f t="shared" si="6"/>
        <v/>
      </c>
      <c r="E405" s="93" t="s">
        <v>108</v>
      </c>
      <c r="F405" s="93" t="s">
        <v>886</v>
      </c>
      <c r="H405" s="93" t="s">
        <v>410</v>
      </c>
      <c r="I405" s="95" t="s">
        <v>5</v>
      </c>
      <c r="L405" s="93" t="s">
        <v>810</v>
      </c>
      <c r="M405" s="108" t="s">
        <v>822</v>
      </c>
      <c r="N405" s="108" t="s">
        <v>822</v>
      </c>
      <c r="O405" s="108" t="s">
        <v>822</v>
      </c>
      <c r="P405" s="137" t="s">
        <v>822</v>
      </c>
    </row>
    <row r="406" spans="1:16" x14ac:dyDescent="0.25">
      <c r="A406" s="95" t="s">
        <v>236</v>
      </c>
      <c r="D406" s="95" t="str">
        <f t="shared" si="6"/>
        <v/>
      </c>
      <c r="E406" s="93" t="s">
        <v>109</v>
      </c>
      <c r="F406" s="93" t="s">
        <v>444</v>
      </c>
      <c r="H406" s="93" t="s">
        <v>410</v>
      </c>
      <c r="L406" s="93" t="s">
        <v>810</v>
      </c>
      <c r="M406" s="108" t="s">
        <v>822</v>
      </c>
      <c r="N406" s="108" t="s">
        <v>822</v>
      </c>
      <c r="O406" s="108" t="s">
        <v>822</v>
      </c>
      <c r="P406" s="137" t="s">
        <v>822</v>
      </c>
    </row>
    <row r="407" spans="1:16" x14ac:dyDescent="0.25">
      <c r="A407" s="95" t="s">
        <v>236</v>
      </c>
      <c r="D407" s="95" t="str">
        <f t="shared" si="6"/>
        <v/>
      </c>
      <c r="E407" s="93" t="s">
        <v>110</v>
      </c>
      <c r="F407" s="93" t="s">
        <v>446</v>
      </c>
      <c r="H407" s="93" t="s">
        <v>410</v>
      </c>
      <c r="L407" s="93" t="s">
        <v>810</v>
      </c>
      <c r="M407" s="108" t="s">
        <v>822</v>
      </c>
      <c r="N407" s="108" t="s">
        <v>822</v>
      </c>
      <c r="O407" s="108" t="s">
        <v>822</v>
      </c>
      <c r="P407" s="137" t="s">
        <v>822</v>
      </c>
    </row>
    <row r="408" spans="1:16" x14ac:dyDescent="0.25">
      <c r="A408" s="95" t="s">
        <v>236</v>
      </c>
      <c r="C408" s="93" t="s">
        <v>565</v>
      </c>
      <c r="D408" s="95" t="str">
        <f t="shared" si="6"/>
        <v>Pre-Delivery</v>
      </c>
      <c r="E408" s="93" t="s">
        <v>543</v>
      </c>
      <c r="F408" s="93" t="s">
        <v>911</v>
      </c>
      <c r="H408" s="93" t="s">
        <v>410</v>
      </c>
      <c r="J408" s="93" t="s">
        <v>825</v>
      </c>
      <c r="L408" s="93" t="s">
        <v>810</v>
      </c>
      <c r="M408" s="108" t="s">
        <v>822</v>
      </c>
      <c r="N408" s="108" t="s">
        <v>822</v>
      </c>
      <c r="O408" s="108" t="s">
        <v>822</v>
      </c>
      <c r="P408" s="137" t="s">
        <v>822</v>
      </c>
    </row>
    <row r="409" spans="1:16" x14ac:dyDescent="0.25">
      <c r="A409" s="95" t="s">
        <v>236</v>
      </c>
      <c r="D409" s="95" t="str">
        <f t="shared" si="6"/>
        <v/>
      </c>
      <c r="E409" s="93" t="s">
        <v>111</v>
      </c>
      <c r="F409" s="93" t="s">
        <v>448</v>
      </c>
      <c r="H409" s="93" t="s">
        <v>410</v>
      </c>
      <c r="L409" s="93" t="s">
        <v>810</v>
      </c>
      <c r="M409" s="108" t="s">
        <v>822</v>
      </c>
      <c r="N409" s="108" t="s">
        <v>822</v>
      </c>
      <c r="O409" s="108" t="s">
        <v>822</v>
      </c>
      <c r="P409" s="137" t="s">
        <v>822</v>
      </c>
    </row>
    <row r="410" spans="1:16" x14ac:dyDescent="0.25">
      <c r="A410" s="95" t="s">
        <v>236</v>
      </c>
      <c r="D410" s="95" t="str">
        <f t="shared" si="6"/>
        <v/>
      </c>
      <c r="E410" s="93" t="s">
        <v>112</v>
      </c>
      <c r="F410" s="93" t="s">
        <v>888</v>
      </c>
      <c r="H410" s="93" t="s">
        <v>410</v>
      </c>
      <c r="L410" s="93" t="s">
        <v>810</v>
      </c>
      <c r="M410" s="108" t="s">
        <v>822</v>
      </c>
      <c r="N410" s="108" t="s">
        <v>822</v>
      </c>
      <c r="O410" s="108" t="s">
        <v>822</v>
      </c>
      <c r="P410" s="137" t="s">
        <v>822</v>
      </c>
    </row>
    <row r="411" spans="1:16" x14ac:dyDescent="0.25">
      <c r="A411" s="95" t="s">
        <v>236</v>
      </c>
      <c r="D411" s="95" t="str">
        <f t="shared" si="6"/>
        <v/>
      </c>
      <c r="E411" s="93" t="s">
        <v>113</v>
      </c>
      <c r="F411" s="93" t="s">
        <v>882</v>
      </c>
      <c r="H411" s="93" t="s">
        <v>410</v>
      </c>
      <c r="L411" s="93" t="s">
        <v>810</v>
      </c>
      <c r="M411" s="108" t="s">
        <v>822</v>
      </c>
      <c r="N411" s="108" t="s">
        <v>822</v>
      </c>
      <c r="O411" s="108" t="s">
        <v>822</v>
      </c>
      <c r="P411" s="137" t="s">
        <v>822</v>
      </c>
    </row>
    <row r="412" spans="1:16" x14ac:dyDescent="0.25">
      <c r="A412" s="95" t="s">
        <v>236</v>
      </c>
      <c r="D412" s="95" t="str">
        <f t="shared" si="6"/>
        <v/>
      </c>
      <c r="E412" s="93" t="s">
        <v>114</v>
      </c>
      <c r="F412" s="93" t="s">
        <v>912</v>
      </c>
      <c r="H412" s="93" t="s">
        <v>410</v>
      </c>
      <c r="L412" s="93" t="s">
        <v>810</v>
      </c>
      <c r="M412" s="108" t="s">
        <v>822</v>
      </c>
      <c r="N412" s="108" t="s">
        <v>822</v>
      </c>
      <c r="O412" s="108" t="s">
        <v>822</v>
      </c>
      <c r="P412" s="137" t="s">
        <v>822</v>
      </c>
    </row>
    <row r="413" spans="1:16" ht="37.5" x14ac:dyDescent="0.25">
      <c r="A413" s="95" t="s">
        <v>236</v>
      </c>
      <c r="D413" s="95" t="str">
        <f t="shared" si="6"/>
        <v/>
      </c>
      <c r="E413" s="93" t="s">
        <v>115</v>
      </c>
      <c r="F413" s="93" t="s">
        <v>863</v>
      </c>
      <c r="H413" s="93" t="s">
        <v>410</v>
      </c>
      <c r="L413" s="93" t="s">
        <v>810</v>
      </c>
      <c r="M413" s="108" t="s">
        <v>822</v>
      </c>
      <c r="N413" s="108" t="s">
        <v>822</v>
      </c>
      <c r="O413" s="108" t="s">
        <v>822</v>
      </c>
      <c r="P413" s="137" t="s">
        <v>822</v>
      </c>
    </row>
    <row r="414" spans="1:16" x14ac:dyDescent="0.25">
      <c r="A414" s="95" t="s">
        <v>236</v>
      </c>
      <c r="D414" s="95" t="str">
        <f t="shared" si="6"/>
        <v/>
      </c>
      <c r="E414" s="93" t="s">
        <v>116</v>
      </c>
      <c r="F414" s="93" t="s">
        <v>132</v>
      </c>
      <c r="H414" s="93" t="s">
        <v>410</v>
      </c>
      <c r="L414" s="93" t="s">
        <v>810</v>
      </c>
      <c r="M414" s="108" t="s">
        <v>822</v>
      </c>
      <c r="N414" s="108" t="s">
        <v>822</v>
      </c>
      <c r="O414" s="108" t="s">
        <v>822</v>
      </c>
      <c r="P414" s="137" t="s">
        <v>822</v>
      </c>
    </row>
    <row r="415" spans="1:16" x14ac:dyDescent="0.25">
      <c r="A415" s="95" t="s">
        <v>236</v>
      </c>
      <c r="D415" s="95" t="str">
        <f t="shared" si="6"/>
        <v/>
      </c>
      <c r="E415" s="93" t="s">
        <v>117</v>
      </c>
      <c r="F415" s="93" t="s">
        <v>902</v>
      </c>
      <c r="H415" s="93" t="s">
        <v>410</v>
      </c>
      <c r="L415" s="93" t="s">
        <v>810</v>
      </c>
      <c r="M415" s="108" t="s">
        <v>822</v>
      </c>
      <c r="N415" s="108" t="s">
        <v>822</v>
      </c>
      <c r="O415" s="108" t="s">
        <v>822</v>
      </c>
      <c r="P415" s="137" t="s">
        <v>822</v>
      </c>
    </row>
    <row r="416" spans="1:16" x14ac:dyDescent="0.25">
      <c r="A416" s="95" t="s">
        <v>236</v>
      </c>
      <c r="D416" s="95" t="str">
        <f t="shared" si="6"/>
        <v/>
      </c>
      <c r="E416" s="93" t="s">
        <v>132</v>
      </c>
      <c r="F416" s="93" t="s">
        <v>134</v>
      </c>
      <c r="H416" s="93" t="s">
        <v>410</v>
      </c>
      <c r="L416" s="93" t="s">
        <v>810</v>
      </c>
      <c r="M416" s="108" t="s">
        <v>822</v>
      </c>
      <c r="N416" s="108" t="s">
        <v>822</v>
      </c>
      <c r="O416" s="108" t="s">
        <v>822</v>
      </c>
      <c r="P416" s="137" t="s">
        <v>822</v>
      </c>
    </row>
    <row r="417" spans="1:16" x14ac:dyDescent="0.25">
      <c r="A417" s="95" t="s">
        <v>236</v>
      </c>
      <c r="D417" s="95" t="str">
        <f t="shared" si="6"/>
        <v/>
      </c>
      <c r="E417" s="93" t="s">
        <v>133</v>
      </c>
      <c r="F417" s="93" t="s">
        <v>868</v>
      </c>
      <c r="H417" s="93" t="s">
        <v>410</v>
      </c>
      <c r="L417" s="93" t="s">
        <v>810</v>
      </c>
      <c r="M417" s="108" t="s">
        <v>822</v>
      </c>
      <c r="N417" s="108" t="s">
        <v>822</v>
      </c>
      <c r="O417" s="108" t="s">
        <v>822</v>
      </c>
      <c r="P417" s="137" t="s">
        <v>822</v>
      </c>
    </row>
    <row r="418" spans="1:16" x14ac:dyDescent="0.25">
      <c r="A418" s="95" t="s">
        <v>236</v>
      </c>
      <c r="D418" s="95" t="str">
        <f t="shared" si="6"/>
        <v/>
      </c>
      <c r="E418" s="93" t="s">
        <v>134</v>
      </c>
      <c r="F418" s="93" t="s">
        <v>136</v>
      </c>
      <c r="H418" s="93" t="s">
        <v>410</v>
      </c>
      <c r="L418" s="93" t="s">
        <v>810</v>
      </c>
      <c r="M418" s="108" t="s">
        <v>822</v>
      </c>
      <c r="N418" s="108" t="s">
        <v>822</v>
      </c>
      <c r="O418" s="108" t="s">
        <v>822</v>
      </c>
      <c r="P418" s="137" t="s">
        <v>822</v>
      </c>
    </row>
    <row r="419" spans="1:16" x14ac:dyDescent="0.25">
      <c r="A419" s="95" t="s">
        <v>236</v>
      </c>
      <c r="D419" s="95" t="str">
        <f t="shared" si="6"/>
        <v/>
      </c>
      <c r="E419" s="93" t="s">
        <v>135</v>
      </c>
      <c r="F419" s="93" t="s">
        <v>864</v>
      </c>
      <c r="H419" s="93" t="s">
        <v>410</v>
      </c>
      <c r="L419" s="93" t="s">
        <v>810</v>
      </c>
      <c r="M419" s="108" t="s">
        <v>822</v>
      </c>
      <c r="N419" s="108" t="s">
        <v>822</v>
      </c>
      <c r="O419" s="108" t="s">
        <v>822</v>
      </c>
      <c r="P419" s="137" t="s">
        <v>822</v>
      </c>
    </row>
    <row r="420" spans="1:16" x14ac:dyDescent="0.25">
      <c r="A420" s="95" t="s">
        <v>236</v>
      </c>
      <c r="D420" s="95" t="str">
        <f t="shared" si="6"/>
        <v/>
      </c>
      <c r="E420" s="93" t="s">
        <v>136</v>
      </c>
      <c r="F420" s="93" t="s">
        <v>138</v>
      </c>
      <c r="H420" s="93" t="s">
        <v>410</v>
      </c>
      <c r="L420" s="93" t="s">
        <v>810</v>
      </c>
      <c r="M420" s="108" t="s">
        <v>822</v>
      </c>
      <c r="N420" s="108" t="s">
        <v>822</v>
      </c>
      <c r="O420" s="108" t="s">
        <v>822</v>
      </c>
      <c r="P420" s="137" t="s">
        <v>822</v>
      </c>
    </row>
    <row r="421" spans="1:16" x14ac:dyDescent="0.25">
      <c r="A421" s="95" t="s">
        <v>236</v>
      </c>
      <c r="D421" s="95" t="str">
        <f t="shared" si="6"/>
        <v/>
      </c>
      <c r="E421" s="93" t="s">
        <v>137</v>
      </c>
      <c r="F421" s="93" t="s">
        <v>859</v>
      </c>
      <c r="H421" s="93" t="s">
        <v>410</v>
      </c>
      <c r="L421" s="93" t="s">
        <v>810</v>
      </c>
      <c r="M421" s="108" t="s">
        <v>822</v>
      </c>
      <c r="N421" s="108" t="s">
        <v>822</v>
      </c>
      <c r="O421" s="108" t="s">
        <v>822</v>
      </c>
      <c r="P421" s="137" t="s">
        <v>822</v>
      </c>
    </row>
    <row r="422" spans="1:16" x14ac:dyDescent="0.25">
      <c r="A422" s="95" t="s">
        <v>236</v>
      </c>
      <c r="D422" s="95" t="str">
        <f t="shared" si="6"/>
        <v/>
      </c>
      <c r="E422" s="93" t="s">
        <v>138</v>
      </c>
      <c r="F422" s="93" t="s">
        <v>860</v>
      </c>
      <c r="H422" s="93" t="s">
        <v>410</v>
      </c>
      <c r="L422" s="93" t="s">
        <v>810</v>
      </c>
      <c r="M422" s="108" t="s">
        <v>822</v>
      </c>
      <c r="N422" s="108" t="s">
        <v>822</v>
      </c>
      <c r="O422" s="108" t="s">
        <v>822</v>
      </c>
      <c r="P422" s="137" t="s">
        <v>822</v>
      </c>
    </row>
    <row r="423" spans="1:16" x14ac:dyDescent="0.25">
      <c r="A423" s="95" t="s">
        <v>236</v>
      </c>
      <c r="D423" s="95" t="str">
        <f t="shared" si="6"/>
        <v/>
      </c>
      <c r="E423" s="93" t="s">
        <v>289</v>
      </c>
      <c r="F423" s="93" t="s">
        <v>883</v>
      </c>
      <c r="H423" s="93" t="s">
        <v>410</v>
      </c>
      <c r="L423" s="93" t="s">
        <v>810</v>
      </c>
      <c r="M423" s="108" t="s">
        <v>822</v>
      </c>
      <c r="N423" s="108" t="s">
        <v>822</v>
      </c>
      <c r="O423" s="108" t="s">
        <v>822</v>
      </c>
      <c r="P423" s="137" t="s">
        <v>822</v>
      </c>
    </row>
    <row r="424" spans="1:16" x14ac:dyDescent="0.25">
      <c r="A424" s="95" t="s">
        <v>236</v>
      </c>
      <c r="D424" s="95" t="str">
        <f t="shared" si="6"/>
        <v/>
      </c>
      <c r="E424" s="93" t="s">
        <v>824</v>
      </c>
      <c r="F424" s="93" t="s">
        <v>860</v>
      </c>
      <c r="H424" s="93" t="s">
        <v>410</v>
      </c>
      <c r="L424" s="93" t="s">
        <v>810</v>
      </c>
      <c r="M424" s="108" t="s">
        <v>822</v>
      </c>
      <c r="N424" s="108" t="s">
        <v>822</v>
      </c>
      <c r="O424" s="108" t="s">
        <v>822</v>
      </c>
      <c r="P424" s="137" t="s">
        <v>822</v>
      </c>
    </row>
    <row r="425" spans="1:16" ht="37.5" x14ac:dyDescent="0.25">
      <c r="A425" s="95" t="s">
        <v>236</v>
      </c>
      <c r="D425" s="95" t="str">
        <f t="shared" si="6"/>
        <v/>
      </c>
      <c r="E425" s="93" t="s">
        <v>291</v>
      </c>
      <c r="F425" s="93" t="s">
        <v>293</v>
      </c>
      <c r="H425" s="93" t="s">
        <v>410</v>
      </c>
      <c r="L425" s="93" t="s">
        <v>810</v>
      </c>
      <c r="M425" s="108" t="s">
        <v>822</v>
      </c>
      <c r="N425" s="108" t="s">
        <v>822</v>
      </c>
      <c r="O425" s="108" t="s">
        <v>822</v>
      </c>
      <c r="P425" s="137" t="s">
        <v>822</v>
      </c>
    </row>
    <row r="426" spans="1:16" x14ac:dyDescent="0.25">
      <c r="A426" s="95" t="s">
        <v>236</v>
      </c>
      <c r="D426" s="95" t="str">
        <f t="shared" si="6"/>
        <v/>
      </c>
      <c r="E426" s="93" t="s">
        <v>292</v>
      </c>
      <c r="F426" s="93" t="s">
        <v>292</v>
      </c>
      <c r="H426" s="93" t="s">
        <v>410</v>
      </c>
      <c r="L426" s="93" t="s">
        <v>810</v>
      </c>
      <c r="M426" s="108" t="s">
        <v>822</v>
      </c>
      <c r="N426" s="108" t="s">
        <v>822</v>
      </c>
      <c r="O426" s="108" t="s">
        <v>822</v>
      </c>
      <c r="P426" s="137" t="s">
        <v>822</v>
      </c>
    </row>
    <row r="427" spans="1:16" x14ac:dyDescent="0.25">
      <c r="A427" s="95" t="s">
        <v>236</v>
      </c>
      <c r="D427" s="95" t="str">
        <f t="shared" si="6"/>
        <v/>
      </c>
      <c r="E427" s="93" t="s">
        <v>293</v>
      </c>
      <c r="F427" s="93" t="s">
        <v>833</v>
      </c>
      <c r="H427" s="93" t="s">
        <v>410</v>
      </c>
      <c r="L427" s="93" t="s">
        <v>810</v>
      </c>
      <c r="M427" s="108" t="s">
        <v>822</v>
      </c>
      <c r="N427" s="108" t="s">
        <v>822</v>
      </c>
      <c r="O427" s="108" t="s">
        <v>822</v>
      </c>
      <c r="P427" s="137" t="s">
        <v>822</v>
      </c>
    </row>
    <row r="428" spans="1:16" x14ac:dyDescent="0.25">
      <c r="A428" s="95" t="s">
        <v>236</v>
      </c>
      <c r="D428" s="95" t="str">
        <f t="shared" si="6"/>
        <v/>
      </c>
      <c r="F428" s="93" t="s">
        <v>848</v>
      </c>
      <c r="H428" s="93" t="s">
        <v>410</v>
      </c>
      <c r="L428" s="93" t="s">
        <v>810</v>
      </c>
      <c r="M428" s="108" t="s">
        <v>822</v>
      </c>
      <c r="N428" s="108" t="s">
        <v>822</v>
      </c>
      <c r="O428" s="108" t="s">
        <v>822</v>
      </c>
      <c r="P428" s="137" t="s">
        <v>822</v>
      </c>
    </row>
    <row r="429" spans="1:16" x14ac:dyDescent="0.25">
      <c r="A429" s="95" t="s">
        <v>236</v>
      </c>
      <c r="D429" s="95" t="str">
        <f t="shared" si="6"/>
        <v/>
      </c>
      <c r="E429" s="93" t="s">
        <v>167</v>
      </c>
      <c r="F429" s="93" t="s">
        <v>669</v>
      </c>
      <c r="H429" s="93" t="s">
        <v>410</v>
      </c>
      <c r="L429" s="93" t="s">
        <v>810</v>
      </c>
      <c r="M429" s="108" t="s">
        <v>822</v>
      </c>
      <c r="N429" s="108" t="s">
        <v>822</v>
      </c>
      <c r="O429" s="108" t="s">
        <v>822</v>
      </c>
      <c r="P429" s="137" t="s">
        <v>822</v>
      </c>
    </row>
    <row r="430" spans="1:16" x14ac:dyDescent="0.25">
      <c r="A430" s="95" t="s">
        <v>236</v>
      </c>
      <c r="D430" s="95" t="str">
        <f t="shared" si="6"/>
        <v/>
      </c>
      <c r="E430" s="93" t="s">
        <v>168</v>
      </c>
      <c r="F430" s="93" t="s">
        <v>894</v>
      </c>
      <c r="H430" s="93" t="s">
        <v>410</v>
      </c>
      <c r="L430" s="93" t="s">
        <v>810</v>
      </c>
      <c r="M430" s="108" t="s">
        <v>822</v>
      </c>
      <c r="N430" s="108" t="s">
        <v>822</v>
      </c>
      <c r="O430" s="108" t="s">
        <v>822</v>
      </c>
      <c r="P430" s="137" t="s">
        <v>822</v>
      </c>
    </row>
    <row r="431" spans="1:16" ht="37.5" x14ac:dyDescent="0.25">
      <c r="A431" s="95" t="s">
        <v>236</v>
      </c>
      <c r="D431" s="95" t="str">
        <f t="shared" si="6"/>
        <v/>
      </c>
      <c r="E431" s="93" t="s">
        <v>169</v>
      </c>
      <c r="F431" s="93" t="s">
        <v>914</v>
      </c>
      <c r="H431" s="93" t="s">
        <v>410</v>
      </c>
      <c r="L431" s="93" t="s">
        <v>810</v>
      </c>
      <c r="M431" s="108" t="s">
        <v>822</v>
      </c>
      <c r="N431" s="108" t="s">
        <v>822</v>
      </c>
      <c r="O431" s="108" t="s">
        <v>822</v>
      </c>
      <c r="P431" s="137" t="s">
        <v>822</v>
      </c>
    </row>
    <row r="432" spans="1:16" ht="37.5" x14ac:dyDescent="0.25">
      <c r="A432" s="95" t="s">
        <v>236</v>
      </c>
      <c r="D432" s="95" t="str">
        <f t="shared" si="6"/>
        <v/>
      </c>
      <c r="E432" s="93" t="s">
        <v>170</v>
      </c>
      <c r="F432" s="93" t="s">
        <v>895</v>
      </c>
      <c r="H432" s="93" t="s">
        <v>410</v>
      </c>
      <c r="L432" s="93" t="s">
        <v>810</v>
      </c>
      <c r="M432" s="108" t="s">
        <v>822</v>
      </c>
      <c r="N432" s="108" t="s">
        <v>822</v>
      </c>
      <c r="O432" s="108" t="s">
        <v>822</v>
      </c>
      <c r="P432" s="137" t="s">
        <v>822</v>
      </c>
    </row>
    <row r="433" spans="1:16" x14ac:dyDescent="0.25">
      <c r="A433" s="95" t="s">
        <v>236</v>
      </c>
      <c r="D433" s="95" t="str">
        <f t="shared" si="6"/>
        <v/>
      </c>
      <c r="E433" s="93" t="s">
        <v>171</v>
      </c>
      <c r="F433" s="93" t="s">
        <v>896</v>
      </c>
      <c r="H433" s="93" t="s">
        <v>410</v>
      </c>
      <c r="L433" s="93" t="s">
        <v>810</v>
      </c>
      <c r="M433" s="108" t="s">
        <v>822</v>
      </c>
      <c r="N433" s="108" t="s">
        <v>822</v>
      </c>
      <c r="O433" s="108" t="s">
        <v>822</v>
      </c>
      <c r="P433" s="137" t="s">
        <v>822</v>
      </c>
    </row>
    <row r="434" spans="1:16" x14ac:dyDescent="0.25">
      <c r="A434" s="95" t="s">
        <v>236</v>
      </c>
      <c r="D434" s="95" t="str">
        <f t="shared" si="6"/>
        <v/>
      </c>
      <c r="E434" s="93" t="s">
        <v>172</v>
      </c>
      <c r="F434" s="93" t="s">
        <v>883</v>
      </c>
      <c r="H434" s="93" t="s">
        <v>410</v>
      </c>
      <c r="L434" s="93" t="s">
        <v>810</v>
      </c>
      <c r="M434" s="108" t="s">
        <v>822</v>
      </c>
      <c r="N434" s="108" t="s">
        <v>822</v>
      </c>
      <c r="O434" s="108" t="s">
        <v>822</v>
      </c>
      <c r="P434" s="137" t="s">
        <v>822</v>
      </c>
    </row>
    <row r="435" spans="1:16" x14ac:dyDescent="0.25">
      <c r="A435" s="95" t="s">
        <v>236</v>
      </c>
      <c r="D435" s="95" t="str">
        <f t="shared" si="6"/>
        <v/>
      </c>
      <c r="E435" s="93" t="s">
        <v>173</v>
      </c>
      <c r="F435" s="93" t="s">
        <v>884</v>
      </c>
      <c r="H435" s="93" t="s">
        <v>410</v>
      </c>
      <c r="L435" s="93" t="s">
        <v>810</v>
      </c>
      <c r="M435" s="108" t="s">
        <v>822</v>
      </c>
      <c r="N435" s="108" t="s">
        <v>822</v>
      </c>
      <c r="O435" s="108" t="s">
        <v>822</v>
      </c>
      <c r="P435" s="137" t="s">
        <v>822</v>
      </c>
    </row>
    <row r="436" spans="1:16" ht="37.5" x14ac:dyDescent="0.25">
      <c r="A436" s="95" t="s">
        <v>236</v>
      </c>
      <c r="D436" s="95" t="str">
        <f t="shared" si="6"/>
        <v/>
      </c>
      <c r="E436" s="93" t="s">
        <v>174</v>
      </c>
      <c r="F436" s="93" t="s">
        <v>897</v>
      </c>
      <c r="H436" s="93" t="s">
        <v>410</v>
      </c>
      <c r="L436" s="93" t="s">
        <v>810</v>
      </c>
      <c r="M436" s="108" t="s">
        <v>822</v>
      </c>
      <c r="N436" s="108" t="s">
        <v>822</v>
      </c>
      <c r="O436" s="108" t="s">
        <v>822</v>
      </c>
      <c r="P436" s="137" t="s">
        <v>822</v>
      </c>
    </row>
    <row r="437" spans="1:16" x14ac:dyDescent="0.25">
      <c r="A437" s="95" t="s">
        <v>236</v>
      </c>
      <c r="D437" s="95" t="str">
        <f t="shared" si="6"/>
        <v/>
      </c>
      <c r="E437" s="93" t="s">
        <v>175</v>
      </c>
      <c r="F437" s="93" t="s">
        <v>139</v>
      </c>
      <c r="H437" s="93" t="s">
        <v>410</v>
      </c>
      <c r="L437" s="93" t="s">
        <v>810</v>
      </c>
      <c r="M437" s="108" t="s">
        <v>822</v>
      </c>
      <c r="N437" s="108" t="s">
        <v>822</v>
      </c>
      <c r="O437" s="108" t="s">
        <v>822</v>
      </c>
      <c r="P437" s="137" t="s">
        <v>822</v>
      </c>
    </row>
    <row r="438" spans="1:16" x14ac:dyDescent="0.25">
      <c r="A438" s="95" t="s">
        <v>236</v>
      </c>
      <c r="D438" s="95" t="str">
        <f t="shared" si="6"/>
        <v/>
      </c>
      <c r="E438" s="93" t="s">
        <v>176</v>
      </c>
      <c r="F438" s="93" t="s">
        <v>856</v>
      </c>
      <c r="H438" s="93" t="s">
        <v>410</v>
      </c>
      <c r="L438" s="93" t="s">
        <v>810</v>
      </c>
      <c r="M438" s="108" t="s">
        <v>822</v>
      </c>
      <c r="N438" s="108" t="s">
        <v>822</v>
      </c>
      <c r="O438" s="108" t="s">
        <v>822</v>
      </c>
      <c r="P438" s="137" t="s">
        <v>822</v>
      </c>
    </row>
    <row r="439" spans="1:16" x14ac:dyDescent="0.25">
      <c r="A439" s="95" t="s">
        <v>236</v>
      </c>
      <c r="D439" s="95" t="str">
        <f t="shared" si="6"/>
        <v/>
      </c>
      <c r="E439" s="93" t="s">
        <v>139</v>
      </c>
      <c r="F439" s="93" t="s">
        <v>865</v>
      </c>
      <c r="H439" s="93" t="s">
        <v>410</v>
      </c>
      <c r="L439" s="93" t="s">
        <v>810</v>
      </c>
      <c r="M439" s="108" t="s">
        <v>822</v>
      </c>
      <c r="N439" s="108" t="s">
        <v>822</v>
      </c>
      <c r="O439" s="108" t="s">
        <v>822</v>
      </c>
      <c r="P439" s="137" t="s">
        <v>822</v>
      </c>
    </row>
    <row r="440" spans="1:16" x14ac:dyDescent="0.25">
      <c r="A440" s="95" t="s">
        <v>236</v>
      </c>
      <c r="C440" s="93" t="s">
        <v>652</v>
      </c>
      <c r="D440" s="95" t="str">
        <f t="shared" si="6"/>
        <v/>
      </c>
      <c r="E440" s="93" t="s">
        <v>177</v>
      </c>
      <c r="F440" s="93" t="s">
        <v>915</v>
      </c>
      <c r="H440" s="93" t="s">
        <v>410</v>
      </c>
      <c r="L440" s="93" t="s">
        <v>810</v>
      </c>
      <c r="M440" s="108" t="s">
        <v>822</v>
      </c>
      <c r="N440" s="108" t="s">
        <v>822</v>
      </c>
      <c r="O440" s="108" t="s">
        <v>822</v>
      </c>
      <c r="P440" s="137" t="s">
        <v>822</v>
      </c>
    </row>
    <row r="441" spans="1:16" x14ac:dyDescent="0.25">
      <c r="A441" s="95" t="s">
        <v>236</v>
      </c>
      <c r="D441" s="95" t="str">
        <f t="shared" si="6"/>
        <v/>
      </c>
      <c r="E441" s="93" t="s">
        <v>178</v>
      </c>
      <c r="F441" s="93" t="s">
        <v>843</v>
      </c>
      <c r="H441" s="93" t="s">
        <v>410</v>
      </c>
      <c r="L441" s="93" t="s">
        <v>810</v>
      </c>
      <c r="M441" s="108" t="s">
        <v>822</v>
      </c>
      <c r="N441" s="108" t="s">
        <v>822</v>
      </c>
      <c r="O441" s="108" t="s">
        <v>822</v>
      </c>
      <c r="P441" s="137" t="s">
        <v>822</v>
      </c>
    </row>
    <row r="442" spans="1:16" s="100" customFormat="1" ht="19.5" thickBot="1" x14ac:dyDescent="0.3">
      <c r="A442" s="98" t="s">
        <v>236</v>
      </c>
      <c r="B442" s="99"/>
      <c r="C442" s="99"/>
      <c r="D442" s="98" t="str">
        <f t="shared" si="6"/>
        <v/>
      </c>
      <c r="E442" s="99" t="s">
        <v>409</v>
      </c>
      <c r="F442" s="99" t="s">
        <v>845</v>
      </c>
      <c r="G442" s="99"/>
      <c r="H442" s="99" t="s">
        <v>410</v>
      </c>
      <c r="I442" s="98"/>
      <c r="J442" s="99"/>
      <c r="K442" s="99"/>
      <c r="L442" s="99" t="s">
        <v>810</v>
      </c>
      <c r="M442" s="110" t="s">
        <v>822</v>
      </c>
      <c r="N442" s="110" t="s">
        <v>822</v>
      </c>
      <c r="O442" s="110" t="s">
        <v>822</v>
      </c>
      <c r="P442" s="137" t="s">
        <v>822</v>
      </c>
    </row>
    <row r="443" spans="1:16" x14ac:dyDescent="0.25">
      <c r="A443" s="95" t="s">
        <v>266</v>
      </c>
      <c r="C443" s="93" t="s">
        <v>272</v>
      </c>
      <c r="D443" s="95" t="str">
        <f t="shared" si="6"/>
        <v/>
      </c>
      <c r="E443" s="93" t="s">
        <v>76</v>
      </c>
      <c r="F443" s="93" t="s">
        <v>910</v>
      </c>
      <c r="H443" s="93" t="s">
        <v>158</v>
      </c>
      <c r="L443" s="93" t="s">
        <v>810</v>
      </c>
      <c r="M443" s="108" t="s">
        <v>822</v>
      </c>
      <c r="N443" s="108" t="s">
        <v>822</v>
      </c>
      <c r="O443" s="108" t="s">
        <v>822</v>
      </c>
      <c r="P443" s="137" t="s">
        <v>822</v>
      </c>
    </row>
    <row r="444" spans="1:16" x14ac:dyDescent="0.25">
      <c r="A444" s="95" t="s">
        <v>266</v>
      </c>
      <c r="C444" s="93" t="s">
        <v>268</v>
      </c>
      <c r="D444" s="95" t="str">
        <f t="shared" si="6"/>
        <v/>
      </c>
      <c r="E444" s="93" t="s">
        <v>283</v>
      </c>
      <c r="F444" s="93" t="s">
        <v>834</v>
      </c>
      <c r="H444" s="93" t="s">
        <v>158</v>
      </c>
      <c r="L444" s="93" t="s">
        <v>810</v>
      </c>
      <c r="M444" s="108" t="s">
        <v>822</v>
      </c>
      <c r="N444" s="108" t="s">
        <v>822</v>
      </c>
      <c r="O444" s="108" t="s">
        <v>822</v>
      </c>
      <c r="P444" s="137" t="s">
        <v>822</v>
      </c>
    </row>
    <row r="445" spans="1:16" x14ac:dyDescent="0.25">
      <c r="A445" s="95" t="s">
        <v>266</v>
      </c>
      <c r="C445" s="93" t="s">
        <v>273</v>
      </c>
      <c r="D445" s="95" t="str">
        <f t="shared" si="6"/>
        <v/>
      </c>
      <c r="E445" s="93" t="s">
        <v>284</v>
      </c>
      <c r="F445" s="93" t="s">
        <v>870</v>
      </c>
      <c r="H445" s="93" t="s">
        <v>158</v>
      </c>
      <c r="L445" s="93" t="s">
        <v>810</v>
      </c>
      <c r="M445" s="108" t="s">
        <v>822</v>
      </c>
      <c r="N445" s="108" t="s">
        <v>822</v>
      </c>
      <c r="O445" s="108" t="s">
        <v>822</v>
      </c>
      <c r="P445" s="137" t="s">
        <v>822</v>
      </c>
    </row>
    <row r="446" spans="1:16" x14ac:dyDescent="0.25">
      <c r="A446" s="95" t="s">
        <v>266</v>
      </c>
      <c r="C446" s="93" t="s">
        <v>274</v>
      </c>
      <c r="D446" s="95" t="str">
        <f t="shared" si="6"/>
        <v/>
      </c>
      <c r="E446" s="93" t="s">
        <v>285</v>
      </c>
      <c r="F446" s="93" t="s">
        <v>848</v>
      </c>
      <c r="H446" s="93" t="s">
        <v>158</v>
      </c>
      <c r="L446" s="93" t="s">
        <v>810</v>
      </c>
      <c r="M446" s="108" t="s">
        <v>822</v>
      </c>
      <c r="N446" s="108" t="s">
        <v>822</v>
      </c>
      <c r="O446" s="108" t="s">
        <v>822</v>
      </c>
      <c r="P446" s="137" t="s">
        <v>822</v>
      </c>
    </row>
    <row r="447" spans="1:16" ht="37.5" x14ac:dyDescent="0.25">
      <c r="A447" s="95" t="s">
        <v>266</v>
      </c>
      <c r="C447" s="93" t="s">
        <v>275</v>
      </c>
      <c r="D447" s="95" t="str">
        <f t="shared" si="6"/>
        <v/>
      </c>
      <c r="E447" s="93" t="s">
        <v>286</v>
      </c>
      <c r="F447" s="93" t="s">
        <v>889</v>
      </c>
      <c r="H447" s="93" t="s">
        <v>158</v>
      </c>
      <c r="L447" s="93" t="s">
        <v>810</v>
      </c>
      <c r="M447" s="108" t="s">
        <v>822</v>
      </c>
      <c r="N447" s="108" t="s">
        <v>822</v>
      </c>
      <c r="O447" s="108" t="s">
        <v>822</v>
      </c>
      <c r="P447" s="137" t="s">
        <v>822</v>
      </c>
    </row>
    <row r="448" spans="1:16" x14ac:dyDescent="0.25">
      <c r="A448" s="95" t="s">
        <v>266</v>
      </c>
      <c r="C448" s="93" t="s">
        <v>279</v>
      </c>
      <c r="D448" s="95" t="str">
        <f t="shared" si="6"/>
        <v/>
      </c>
      <c r="E448" s="93" t="s">
        <v>287</v>
      </c>
      <c r="F448" s="93" t="s">
        <v>840</v>
      </c>
      <c r="H448" s="93" t="s">
        <v>158</v>
      </c>
      <c r="L448" s="93" t="s">
        <v>810</v>
      </c>
      <c r="M448" s="108" t="s">
        <v>822</v>
      </c>
      <c r="N448" s="108" t="s">
        <v>822</v>
      </c>
      <c r="O448" s="108" t="s">
        <v>822</v>
      </c>
      <c r="P448" s="137" t="s">
        <v>822</v>
      </c>
    </row>
    <row r="449" spans="1:16" x14ac:dyDescent="0.25">
      <c r="A449" s="95" t="s">
        <v>266</v>
      </c>
      <c r="C449" s="93" t="s">
        <v>281</v>
      </c>
      <c r="D449" s="95" t="str">
        <f t="shared" si="6"/>
        <v/>
      </c>
      <c r="E449" s="93" t="s">
        <v>37</v>
      </c>
      <c r="F449" s="93" t="s">
        <v>913</v>
      </c>
      <c r="H449" s="93" t="s">
        <v>158</v>
      </c>
      <c r="L449" s="93" t="s">
        <v>810</v>
      </c>
      <c r="M449" s="108" t="s">
        <v>822</v>
      </c>
      <c r="N449" s="108" t="s">
        <v>822</v>
      </c>
      <c r="O449" s="108" t="s">
        <v>822</v>
      </c>
      <c r="P449" s="137" t="s">
        <v>822</v>
      </c>
    </row>
    <row r="450" spans="1:16" x14ac:dyDescent="0.25">
      <c r="A450" s="95" t="s">
        <v>266</v>
      </c>
      <c r="C450" s="93" t="s">
        <v>271</v>
      </c>
      <c r="D450" s="95" t="str">
        <f t="shared" si="6"/>
        <v/>
      </c>
      <c r="E450" s="93" t="s">
        <v>254</v>
      </c>
      <c r="F450" s="93" t="s">
        <v>847</v>
      </c>
      <c r="H450" s="93" t="s">
        <v>158</v>
      </c>
      <c r="L450" s="93" t="s">
        <v>810</v>
      </c>
      <c r="M450" s="108" t="s">
        <v>822</v>
      </c>
      <c r="N450" s="108" t="s">
        <v>822</v>
      </c>
      <c r="O450" s="108" t="s">
        <v>822</v>
      </c>
      <c r="P450" s="137" t="s">
        <v>822</v>
      </c>
    </row>
    <row r="451" spans="1:16" x14ac:dyDescent="0.25">
      <c r="A451" s="95" t="s">
        <v>266</v>
      </c>
      <c r="C451" s="93" t="s">
        <v>278</v>
      </c>
      <c r="D451" s="95" t="str">
        <f t="shared" si="6"/>
        <v/>
      </c>
      <c r="E451" s="93" t="s">
        <v>86</v>
      </c>
      <c r="F451" s="93" t="s">
        <v>841</v>
      </c>
      <c r="H451" s="93" t="s">
        <v>158</v>
      </c>
      <c r="L451" s="93" t="s">
        <v>810</v>
      </c>
      <c r="M451" s="108" t="s">
        <v>822</v>
      </c>
      <c r="N451" s="108" t="s">
        <v>822</v>
      </c>
      <c r="O451" s="108" t="s">
        <v>822</v>
      </c>
      <c r="P451" s="137" t="s">
        <v>822</v>
      </c>
    </row>
    <row r="452" spans="1:16" x14ac:dyDescent="0.25">
      <c r="A452" s="95" t="s">
        <v>266</v>
      </c>
      <c r="C452" s="93" t="s">
        <v>280</v>
      </c>
      <c r="D452" s="95" t="str">
        <f t="shared" si="6"/>
        <v/>
      </c>
      <c r="E452" s="93" t="s">
        <v>39</v>
      </c>
      <c r="F452" s="93" t="s">
        <v>849</v>
      </c>
      <c r="H452" s="93" t="s">
        <v>158</v>
      </c>
      <c r="L452" s="93" t="s">
        <v>810</v>
      </c>
      <c r="M452" s="108" t="s">
        <v>822</v>
      </c>
      <c r="N452" s="108" t="s">
        <v>822</v>
      </c>
      <c r="O452" s="108" t="s">
        <v>822</v>
      </c>
      <c r="P452" s="137" t="s">
        <v>822</v>
      </c>
    </row>
    <row r="453" spans="1:16" x14ac:dyDescent="0.25">
      <c r="A453" s="95" t="s">
        <v>266</v>
      </c>
      <c r="C453" s="93" t="s">
        <v>276</v>
      </c>
      <c r="D453" s="95" t="str">
        <f t="shared" si="6"/>
        <v/>
      </c>
      <c r="E453" s="93" t="s">
        <v>101</v>
      </c>
      <c r="F453" s="93" t="s">
        <v>841</v>
      </c>
      <c r="H453" s="93" t="s">
        <v>158</v>
      </c>
      <c r="L453" s="93" t="s">
        <v>810</v>
      </c>
      <c r="M453" s="108" t="s">
        <v>822</v>
      </c>
      <c r="N453" s="108" t="s">
        <v>822</v>
      </c>
      <c r="O453" s="108" t="s">
        <v>822</v>
      </c>
      <c r="P453" s="137" t="s">
        <v>822</v>
      </c>
    </row>
    <row r="454" spans="1:16" x14ac:dyDescent="0.25">
      <c r="A454" s="95" t="s">
        <v>266</v>
      </c>
      <c r="C454" s="93" t="s">
        <v>267</v>
      </c>
      <c r="D454" s="95" t="str">
        <f t="shared" si="6"/>
        <v/>
      </c>
      <c r="E454" s="93" t="s">
        <v>70</v>
      </c>
      <c r="F454" s="93" t="s">
        <v>833</v>
      </c>
      <c r="H454" s="93" t="s">
        <v>158</v>
      </c>
      <c r="L454" s="93" t="s">
        <v>810</v>
      </c>
      <c r="M454" s="108" t="s">
        <v>822</v>
      </c>
      <c r="N454" s="108" t="s">
        <v>822</v>
      </c>
      <c r="O454" s="108" t="s">
        <v>822</v>
      </c>
      <c r="P454" s="137" t="s">
        <v>822</v>
      </c>
    </row>
    <row r="455" spans="1:16" x14ac:dyDescent="0.25">
      <c r="A455" s="95" t="s">
        <v>266</v>
      </c>
      <c r="C455" s="93" t="s">
        <v>269</v>
      </c>
      <c r="D455" s="95" t="str">
        <f t="shared" ref="D455:D518" si="7">IF(OR(ISNUMBER(SEARCH("Pre Delivery",E455)),ISNUMBER(SEARCH("Pre-Delivery",E455)),ISNUMBER(SEARCH("Predelivery",E455)),ISNUMBER(SEARCH("PD -",E455)),ISNUMBER(SEARCH("PD Lubes",E455))),"Pre-Delivery","")</f>
        <v/>
      </c>
      <c r="E455" s="93" t="s">
        <v>54</v>
      </c>
      <c r="F455" s="93" t="s">
        <v>839</v>
      </c>
      <c r="H455" s="93" t="s">
        <v>158</v>
      </c>
      <c r="L455" s="93" t="s">
        <v>810</v>
      </c>
      <c r="M455" s="108" t="s">
        <v>822</v>
      </c>
      <c r="N455" s="108" t="s">
        <v>822</v>
      </c>
      <c r="O455" s="108" t="s">
        <v>822</v>
      </c>
      <c r="P455" s="137" t="s">
        <v>822</v>
      </c>
    </row>
    <row r="456" spans="1:16" x14ac:dyDescent="0.25">
      <c r="A456" s="95" t="s">
        <v>266</v>
      </c>
      <c r="C456" s="93" t="s">
        <v>277</v>
      </c>
      <c r="D456" s="95" t="str">
        <f t="shared" si="7"/>
        <v>Pre-Delivery</v>
      </c>
      <c r="E456" s="93" t="s">
        <v>221</v>
      </c>
      <c r="F456" s="93" t="s">
        <v>844</v>
      </c>
      <c r="H456" s="93" t="s">
        <v>158</v>
      </c>
      <c r="L456" s="93" t="s">
        <v>810</v>
      </c>
      <c r="M456" s="108" t="s">
        <v>822</v>
      </c>
      <c r="N456" s="108" t="s">
        <v>822</v>
      </c>
      <c r="O456" s="108" t="s">
        <v>822</v>
      </c>
      <c r="P456" s="137" t="s">
        <v>822</v>
      </c>
    </row>
    <row r="457" spans="1:16" x14ac:dyDescent="0.25">
      <c r="A457" s="95" t="s">
        <v>266</v>
      </c>
      <c r="C457" s="93" t="s">
        <v>282</v>
      </c>
      <c r="D457" s="95" t="str">
        <f t="shared" si="7"/>
        <v/>
      </c>
      <c r="E457" s="93" t="s">
        <v>59</v>
      </c>
      <c r="F457" s="93" t="s">
        <v>852</v>
      </c>
      <c r="H457" s="93" t="s">
        <v>158</v>
      </c>
      <c r="L457" s="93" t="s">
        <v>810</v>
      </c>
      <c r="M457" s="108" t="s">
        <v>822</v>
      </c>
      <c r="N457" s="108" t="s">
        <v>822</v>
      </c>
      <c r="O457" s="108" t="s">
        <v>822</v>
      </c>
      <c r="P457" s="137" t="s">
        <v>822</v>
      </c>
    </row>
    <row r="458" spans="1:16" x14ac:dyDescent="0.25">
      <c r="A458" s="95" t="s">
        <v>266</v>
      </c>
      <c r="C458" s="93" t="s">
        <v>270</v>
      </c>
      <c r="D458" s="95" t="str">
        <f t="shared" si="7"/>
        <v/>
      </c>
      <c r="E458" s="93" t="s">
        <v>74</v>
      </c>
      <c r="F458" s="93" t="s">
        <v>400</v>
      </c>
      <c r="H458" s="93" t="s">
        <v>158</v>
      </c>
      <c r="L458" s="93" t="s">
        <v>810</v>
      </c>
      <c r="M458" s="108" t="s">
        <v>822</v>
      </c>
      <c r="N458" s="108" t="s">
        <v>822</v>
      </c>
      <c r="O458" s="108" t="s">
        <v>822</v>
      </c>
      <c r="P458" s="137" t="s">
        <v>822</v>
      </c>
    </row>
    <row r="459" spans="1:16" x14ac:dyDescent="0.25">
      <c r="A459" s="95" t="s">
        <v>266</v>
      </c>
      <c r="C459" s="93" t="s">
        <v>507</v>
      </c>
      <c r="D459" s="95" t="str">
        <f t="shared" si="7"/>
        <v/>
      </c>
      <c r="E459" s="93" t="s">
        <v>220</v>
      </c>
      <c r="F459" s="93" t="s">
        <v>850</v>
      </c>
      <c r="H459" s="93" t="s">
        <v>158</v>
      </c>
      <c r="L459" s="93" t="s">
        <v>810</v>
      </c>
      <c r="M459" s="108" t="s">
        <v>822</v>
      </c>
      <c r="N459" s="108" t="s">
        <v>822</v>
      </c>
      <c r="O459" s="108" t="s">
        <v>822</v>
      </c>
      <c r="P459" s="137" t="s">
        <v>822</v>
      </c>
    </row>
    <row r="460" spans="1:16" x14ac:dyDescent="0.25">
      <c r="A460" s="95" t="s">
        <v>266</v>
      </c>
      <c r="C460" s="93" t="s">
        <v>508</v>
      </c>
      <c r="D460" s="95" t="str">
        <f t="shared" si="7"/>
        <v>Pre-Delivery</v>
      </c>
      <c r="E460" s="93" t="s">
        <v>368</v>
      </c>
      <c r="F460" s="93" t="s">
        <v>846</v>
      </c>
      <c r="H460" s="93" t="s">
        <v>158</v>
      </c>
      <c r="L460" s="93" t="s">
        <v>810</v>
      </c>
      <c r="M460" s="108" t="s">
        <v>822</v>
      </c>
      <c r="N460" s="108" t="s">
        <v>822</v>
      </c>
      <c r="O460" s="108" t="s">
        <v>822</v>
      </c>
      <c r="P460" s="137" t="s">
        <v>822</v>
      </c>
    </row>
    <row r="461" spans="1:16" x14ac:dyDescent="0.25">
      <c r="A461" s="95" t="s">
        <v>266</v>
      </c>
      <c r="C461" s="93" t="s">
        <v>509</v>
      </c>
      <c r="D461" s="95" t="str">
        <f t="shared" si="7"/>
        <v>Pre-Delivery</v>
      </c>
      <c r="E461" s="93" t="s">
        <v>492</v>
      </c>
      <c r="F461" s="93" t="s">
        <v>879</v>
      </c>
      <c r="H461" s="93" t="s">
        <v>158</v>
      </c>
      <c r="L461" s="93" t="s">
        <v>810</v>
      </c>
      <c r="M461" s="108" t="s">
        <v>822</v>
      </c>
      <c r="N461" s="108" t="s">
        <v>822</v>
      </c>
      <c r="O461" s="108" t="s">
        <v>822</v>
      </c>
      <c r="P461" s="137" t="s">
        <v>822</v>
      </c>
    </row>
    <row r="462" spans="1:16" x14ac:dyDescent="0.25">
      <c r="A462" s="95" t="s">
        <v>266</v>
      </c>
      <c r="C462" s="93" t="s">
        <v>510</v>
      </c>
      <c r="D462" s="95" t="str">
        <f t="shared" si="7"/>
        <v>Pre-Delivery</v>
      </c>
      <c r="E462" s="93" t="s">
        <v>488</v>
      </c>
      <c r="F462" s="93" t="s">
        <v>842</v>
      </c>
      <c r="H462" s="93" t="s">
        <v>158</v>
      </c>
      <c r="L462" s="93" t="s">
        <v>810</v>
      </c>
      <c r="M462" s="108" t="s">
        <v>822</v>
      </c>
      <c r="N462" s="108" t="s">
        <v>822</v>
      </c>
      <c r="O462" s="108" t="s">
        <v>822</v>
      </c>
      <c r="P462" s="137" t="s">
        <v>822</v>
      </c>
    </row>
    <row r="463" spans="1:16" x14ac:dyDescent="0.25">
      <c r="A463" s="95" t="s">
        <v>266</v>
      </c>
      <c r="C463" s="93" t="s">
        <v>511</v>
      </c>
      <c r="D463" s="95" t="str">
        <f t="shared" si="7"/>
        <v/>
      </c>
      <c r="E463" s="93" t="s">
        <v>486</v>
      </c>
      <c r="F463" s="93" t="s">
        <v>836</v>
      </c>
      <c r="H463" s="93" t="s">
        <v>158</v>
      </c>
      <c r="L463" s="93" t="s">
        <v>810</v>
      </c>
      <c r="M463" s="108" t="s">
        <v>822</v>
      </c>
      <c r="N463" s="108" t="s">
        <v>822</v>
      </c>
      <c r="O463" s="108" t="s">
        <v>822</v>
      </c>
      <c r="P463" s="137" t="s">
        <v>822</v>
      </c>
    </row>
    <row r="464" spans="1:16" x14ac:dyDescent="0.25">
      <c r="A464" s="95" t="s">
        <v>266</v>
      </c>
      <c r="C464" s="93" t="s">
        <v>465</v>
      </c>
      <c r="D464" s="95" t="str">
        <f t="shared" si="7"/>
        <v/>
      </c>
      <c r="E464" s="93" t="s">
        <v>445</v>
      </c>
      <c r="F464" s="93" t="s">
        <v>888</v>
      </c>
      <c r="H464" s="93" t="s">
        <v>158</v>
      </c>
      <c r="L464" s="93" t="s">
        <v>810</v>
      </c>
      <c r="M464" s="108" t="s">
        <v>822</v>
      </c>
      <c r="N464" s="108" t="s">
        <v>822</v>
      </c>
      <c r="O464" s="108" t="s">
        <v>822</v>
      </c>
      <c r="P464" s="137" t="s">
        <v>822</v>
      </c>
    </row>
    <row r="465" spans="1:16" x14ac:dyDescent="0.25">
      <c r="A465" s="95" t="s">
        <v>266</v>
      </c>
      <c r="C465" s="93" t="s">
        <v>568</v>
      </c>
      <c r="D465" s="95" t="str">
        <f t="shared" si="7"/>
        <v/>
      </c>
      <c r="E465" s="93" t="s">
        <v>537</v>
      </c>
      <c r="F465" s="93" t="s">
        <v>429</v>
      </c>
      <c r="H465" s="93" t="s">
        <v>158</v>
      </c>
      <c r="L465" s="93" t="s">
        <v>810</v>
      </c>
      <c r="M465" s="108" t="s">
        <v>822</v>
      </c>
      <c r="N465" s="108" t="s">
        <v>822</v>
      </c>
      <c r="O465" s="108" t="s">
        <v>822</v>
      </c>
      <c r="P465" s="137" t="s">
        <v>822</v>
      </c>
    </row>
    <row r="466" spans="1:16" x14ac:dyDescent="0.25">
      <c r="A466" s="95" t="s">
        <v>266</v>
      </c>
      <c r="D466" s="95" t="str">
        <f t="shared" si="7"/>
        <v/>
      </c>
      <c r="E466" s="93" t="s">
        <v>118</v>
      </c>
      <c r="F466" s="93" t="s">
        <v>430</v>
      </c>
      <c r="H466" s="93" t="s">
        <v>410</v>
      </c>
      <c r="L466" s="93" t="s">
        <v>810</v>
      </c>
      <c r="M466" s="108" t="s">
        <v>822</v>
      </c>
      <c r="N466" s="108" t="s">
        <v>822</v>
      </c>
      <c r="O466" s="108" t="s">
        <v>822</v>
      </c>
      <c r="P466" s="137" t="s">
        <v>822</v>
      </c>
    </row>
    <row r="467" spans="1:16" x14ac:dyDescent="0.25">
      <c r="A467" s="95" t="s">
        <v>266</v>
      </c>
      <c r="D467" s="95" t="str">
        <f t="shared" si="7"/>
        <v/>
      </c>
      <c r="E467" s="93" t="s">
        <v>119</v>
      </c>
      <c r="F467" s="93" t="s">
        <v>431</v>
      </c>
      <c r="H467" s="93" t="s">
        <v>410</v>
      </c>
      <c r="L467" s="93" t="s">
        <v>810</v>
      </c>
      <c r="M467" s="108" t="s">
        <v>822</v>
      </c>
      <c r="N467" s="108" t="s">
        <v>822</v>
      </c>
      <c r="O467" s="108" t="s">
        <v>822</v>
      </c>
      <c r="P467" s="137" t="s">
        <v>822</v>
      </c>
    </row>
    <row r="468" spans="1:16" x14ac:dyDescent="0.25">
      <c r="A468" s="95" t="s">
        <v>266</v>
      </c>
      <c r="D468" s="95" t="str">
        <f t="shared" si="7"/>
        <v/>
      </c>
      <c r="E468" s="93" t="s">
        <v>120</v>
      </c>
      <c r="F468" s="93" t="s">
        <v>432</v>
      </c>
      <c r="H468" s="93" t="s">
        <v>410</v>
      </c>
      <c r="L468" s="93" t="s">
        <v>810</v>
      </c>
      <c r="M468" s="108" t="s">
        <v>822</v>
      </c>
      <c r="N468" s="108" t="s">
        <v>822</v>
      </c>
      <c r="O468" s="108" t="s">
        <v>822</v>
      </c>
      <c r="P468" s="137" t="s">
        <v>822</v>
      </c>
    </row>
    <row r="469" spans="1:16" x14ac:dyDescent="0.25">
      <c r="A469" s="95" t="s">
        <v>266</v>
      </c>
      <c r="D469" s="95" t="str">
        <f t="shared" si="7"/>
        <v/>
      </c>
      <c r="E469" s="93" t="s">
        <v>121</v>
      </c>
      <c r="F469" s="93" t="s">
        <v>433</v>
      </c>
      <c r="H469" s="93" t="s">
        <v>410</v>
      </c>
      <c r="L469" s="93" t="s">
        <v>810</v>
      </c>
      <c r="M469" s="108" t="s">
        <v>822</v>
      </c>
      <c r="N469" s="108" t="s">
        <v>822</v>
      </c>
      <c r="O469" s="108" t="s">
        <v>822</v>
      </c>
      <c r="P469" s="137" t="s">
        <v>822</v>
      </c>
    </row>
    <row r="470" spans="1:16" x14ac:dyDescent="0.25">
      <c r="A470" s="95" t="s">
        <v>266</v>
      </c>
      <c r="D470" s="95" t="str">
        <f t="shared" si="7"/>
        <v/>
      </c>
      <c r="E470" s="93" t="s">
        <v>122</v>
      </c>
      <c r="F470" s="93" t="s">
        <v>891</v>
      </c>
      <c r="H470" s="93" t="s">
        <v>410</v>
      </c>
      <c r="L470" s="93" t="s">
        <v>810</v>
      </c>
      <c r="M470" s="108" t="s">
        <v>822</v>
      </c>
      <c r="N470" s="108" t="s">
        <v>822</v>
      </c>
      <c r="O470" s="108" t="s">
        <v>822</v>
      </c>
      <c r="P470" s="137" t="s">
        <v>822</v>
      </c>
    </row>
    <row r="471" spans="1:16" x14ac:dyDescent="0.25">
      <c r="A471" s="95" t="s">
        <v>266</v>
      </c>
      <c r="D471" s="95" t="str">
        <f t="shared" si="7"/>
        <v/>
      </c>
      <c r="E471" s="93" t="s">
        <v>123</v>
      </c>
      <c r="F471" s="93" t="s">
        <v>435</v>
      </c>
      <c r="H471" s="93" t="s">
        <v>410</v>
      </c>
      <c r="L471" s="93" t="s">
        <v>810</v>
      </c>
      <c r="M471" s="108" t="s">
        <v>822</v>
      </c>
      <c r="N471" s="108" t="s">
        <v>822</v>
      </c>
      <c r="O471" s="108" t="s">
        <v>822</v>
      </c>
      <c r="P471" s="137" t="s">
        <v>822</v>
      </c>
    </row>
    <row r="472" spans="1:16" x14ac:dyDescent="0.25">
      <c r="A472" s="95" t="s">
        <v>266</v>
      </c>
      <c r="D472" s="95" t="str">
        <f t="shared" si="7"/>
        <v/>
      </c>
      <c r="E472" s="93" t="s">
        <v>124</v>
      </c>
      <c r="F472" s="93" t="s">
        <v>436</v>
      </c>
      <c r="H472" s="93" t="s">
        <v>410</v>
      </c>
      <c r="L472" s="93" t="s">
        <v>810</v>
      </c>
      <c r="M472" s="108" t="s">
        <v>822</v>
      </c>
      <c r="N472" s="108" t="s">
        <v>822</v>
      </c>
      <c r="O472" s="108" t="s">
        <v>822</v>
      </c>
      <c r="P472" s="137" t="s">
        <v>822</v>
      </c>
    </row>
    <row r="473" spans="1:16" x14ac:dyDescent="0.25">
      <c r="A473" s="95" t="s">
        <v>266</v>
      </c>
      <c r="D473" s="95" t="str">
        <f t="shared" si="7"/>
        <v/>
      </c>
      <c r="E473" s="93" t="s">
        <v>125</v>
      </c>
      <c r="F473" s="93" t="s">
        <v>881</v>
      </c>
      <c r="H473" s="93" t="s">
        <v>410</v>
      </c>
      <c r="L473" s="93" t="s">
        <v>810</v>
      </c>
      <c r="M473" s="108" t="s">
        <v>822</v>
      </c>
      <c r="N473" s="108" t="s">
        <v>822</v>
      </c>
      <c r="O473" s="108" t="s">
        <v>822</v>
      </c>
      <c r="P473" s="137" t="s">
        <v>822</v>
      </c>
    </row>
    <row r="474" spans="1:16" x14ac:dyDescent="0.25">
      <c r="A474" s="95" t="s">
        <v>266</v>
      </c>
      <c r="D474" s="95" t="str">
        <f t="shared" si="7"/>
        <v/>
      </c>
      <c r="E474" s="93" t="s">
        <v>126</v>
      </c>
      <c r="F474" s="93" t="s">
        <v>451</v>
      </c>
      <c r="H474" s="93" t="s">
        <v>410</v>
      </c>
      <c r="L474" s="93" t="s">
        <v>810</v>
      </c>
      <c r="M474" s="108" t="s">
        <v>822</v>
      </c>
      <c r="N474" s="108" t="s">
        <v>822</v>
      </c>
      <c r="O474" s="108" t="s">
        <v>822</v>
      </c>
      <c r="P474" s="137" t="s">
        <v>822</v>
      </c>
    </row>
    <row r="475" spans="1:16" x14ac:dyDescent="0.25">
      <c r="A475" s="95" t="s">
        <v>266</v>
      </c>
      <c r="D475" s="95" t="str">
        <f t="shared" si="7"/>
        <v/>
      </c>
      <c r="E475" s="93" t="s">
        <v>127</v>
      </c>
      <c r="F475" s="93" t="s">
        <v>452</v>
      </c>
      <c r="H475" s="93" t="s">
        <v>410</v>
      </c>
      <c r="L475" s="93" t="s">
        <v>810</v>
      </c>
      <c r="M475" s="108" t="s">
        <v>822</v>
      </c>
      <c r="N475" s="108" t="s">
        <v>822</v>
      </c>
      <c r="O475" s="108" t="s">
        <v>822</v>
      </c>
      <c r="P475" s="137" t="s">
        <v>822</v>
      </c>
    </row>
    <row r="476" spans="1:16" x14ac:dyDescent="0.25">
      <c r="A476" s="95" t="s">
        <v>266</v>
      </c>
      <c r="D476" s="95" t="str">
        <f t="shared" si="7"/>
        <v/>
      </c>
      <c r="E476" s="93" t="s">
        <v>128</v>
      </c>
      <c r="F476" s="93" t="s">
        <v>452</v>
      </c>
      <c r="H476" s="93" t="s">
        <v>410</v>
      </c>
      <c r="L476" s="93" t="s">
        <v>810</v>
      </c>
      <c r="M476" s="108" t="s">
        <v>822</v>
      </c>
      <c r="N476" s="108" t="s">
        <v>822</v>
      </c>
      <c r="O476" s="108" t="s">
        <v>822</v>
      </c>
      <c r="P476" s="137" t="s">
        <v>822</v>
      </c>
    </row>
    <row r="477" spans="1:16" x14ac:dyDescent="0.25">
      <c r="A477" s="95" t="s">
        <v>266</v>
      </c>
      <c r="D477" s="95" t="str">
        <f t="shared" si="7"/>
        <v/>
      </c>
      <c r="E477" s="93" t="s">
        <v>129</v>
      </c>
      <c r="F477" s="93" t="s">
        <v>452</v>
      </c>
      <c r="H477" s="93" t="s">
        <v>410</v>
      </c>
      <c r="L477" s="93" t="s">
        <v>810</v>
      </c>
      <c r="M477" s="108" t="s">
        <v>822</v>
      </c>
      <c r="N477" s="108" t="s">
        <v>822</v>
      </c>
      <c r="O477" s="108" t="s">
        <v>822</v>
      </c>
      <c r="P477" s="137" t="s">
        <v>822</v>
      </c>
    </row>
    <row r="478" spans="1:16" x14ac:dyDescent="0.25">
      <c r="A478" s="95" t="s">
        <v>266</v>
      </c>
      <c r="D478" s="95" t="str">
        <f t="shared" si="7"/>
        <v/>
      </c>
      <c r="E478" s="93" t="s">
        <v>129</v>
      </c>
      <c r="F478" s="93" t="s">
        <v>452</v>
      </c>
      <c r="H478" s="93" t="s">
        <v>410</v>
      </c>
      <c r="L478" s="93" t="s">
        <v>810</v>
      </c>
      <c r="M478" s="108" t="s">
        <v>822</v>
      </c>
      <c r="N478" s="108" t="s">
        <v>822</v>
      </c>
      <c r="O478" s="108" t="s">
        <v>822</v>
      </c>
      <c r="P478" s="137" t="s">
        <v>822</v>
      </c>
    </row>
    <row r="479" spans="1:16" x14ac:dyDescent="0.25">
      <c r="A479" s="95" t="s">
        <v>266</v>
      </c>
      <c r="D479" s="95" t="str">
        <f t="shared" si="7"/>
        <v/>
      </c>
      <c r="E479" s="93" t="s">
        <v>129</v>
      </c>
      <c r="F479" s="93" t="s">
        <v>892</v>
      </c>
      <c r="H479" s="93" t="s">
        <v>410</v>
      </c>
      <c r="L479" s="93" t="s">
        <v>810</v>
      </c>
      <c r="M479" s="108" t="s">
        <v>822</v>
      </c>
      <c r="N479" s="108" t="s">
        <v>822</v>
      </c>
      <c r="O479" s="108" t="s">
        <v>822</v>
      </c>
      <c r="P479" s="137" t="s">
        <v>822</v>
      </c>
    </row>
    <row r="480" spans="1:16" x14ac:dyDescent="0.25">
      <c r="A480" s="95" t="s">
        <v>266</v>
      </c>
      <c r="D480" s="95" t="str">
        <f t="shared" si="7"/>
        <v/>
      </c>
      <c r="E480" s="93" t="s">
        <v>129</v>
      </c>
      <c r="F480" s="93" t="s">
        <v>893</v>
      </c>
      <c r="H480" s="93" t="s">
        <v>410</v>
      </c>
      <c r="L480" s="93" t="s">
        <v>810</v>
      </c>
      <c r="M480" s="108" t="s">
        <v>822</v>
      </c>
      <c r="N480" s="108" t="s">
        <v>822</v>
      </c>
      <c r="O480" s="108" t="s">
        <v>822</v>
      </c>
      <c r="P480" s="137" t="s">
        <v>822</v>
      </c>
    </row>
    <row r="481" spans="1:16" x14ac:dyDescent="0.25">
      <c r="A481" s="95" t="s">
        <v>266</v>
      </c>
      <c r="D481" s="95" t="str">
        <f t="shared" si="7"/>
        <v/>
      </c>
      <c r="E481" s="93" t="s">
        <v>130</v>
      </c>
      <c r="F481" s="93" t="s">
        <v>574</v>
      </c>
      <c r="H481" s="93" t="s">
        <v>410</v>
      </c>
      <c r="L481" s="93" t="s">
        <v>810</v>
      </c>
      <c r="M481" s="108" t="s">
        <v>822</v>
      </c>
      <c r="N481" s="108" t="s">
        <v>822</v>
      </c>
      <c r="O481" s="108" t="s">
        <v>822</v>
      </c>
      <c r="P481" s="137" t="s">
        <v>822</v>
      </c>
    </row>
    <row r="482" spans="1:16" x14ac:dyDescent="0.25">
      <c r="A482" s="95" t="s">
        <v>266</v>
      </c>
      <c r="D482" s="95" t="str">
        <f t="shared" si="7"/>
        <v/>
      </c>
      <c r="E482" s="93" t="s">
        <v>131</v>
      </c>
      <c r="F482" s="93" t="s">
        <v>854</v>
      </c>
      <c r="H482" s="93" t="s">
        <v>410</v>
      </c>
      <c r="L482" s="93" t="s">
        <v>810</v>
      </c>
      <c r="M482" s="108" t="s">
        <v>822</v>
      </c>
      <c r="N482" s="108" t="s">
        <v>822</v>
      </c>
      <c r="O482" s="108" t="s">
        <v>822</v>
      </c>
      <c r="P482" s="137" t="s">
        <v>822</v>
      </c>
    </row>
    <row r="483" spans="1:16" x14ac:dyDescent="0.25">
      <c r="A483" s="95" t="s">
        <v>266</v>
      </c>
      <c r="C483" s="93" t="s">
        <v>572</v>
      </c>
      <c r="D483" s="95" t="str">
        <f t="shared" si="7"/>
        <v/>
      </c>
      <c r="E483" s="93" t="s">
        <v>104</v>
      </c>
      <c r="F483" s="93" t="s">
        <v>855</v>
      </c>
      <c r="H483" s="93" t="s">
        <v>410</v>
      </c>
      <c r="L483" s="93" t="s">
        <v>810</v>
      </c>
      <c r="M483" s="108" t="s">
        <v>822</v>
      </c>
      <c r="N483" s="108" t="s">
        <v>822</v>
      </c>
      <c r="O483" s="108" t="s">
        <v>822</v>
      </c>
      <c r="P483" s="137" t="s">
        <v>822</v>
      </c>
    </row>
    <row r="484" spans="1:16" x14ac:dyDescent="0.25">
      <c r="A484" s="95" t="s">
        <v>266</v>
      </c>
      <c r="C484" s="93" t="s">
        <v>577</v>
      </c>
      <c r="D484" s="95" t="str">
        <f t="shared" si="7"/>
        <v/>
      </c>
      <c r="E484" s="93" t="s">
        <v>105</v>
      </c>
      <c r="F484" s="93" t="s">
        <v>440</v>
      </c>
      <c r="H484" s="93" t="s">
        <v>410</v>
      </c>
      <c r="L484" s="93" t="s">
        <v>810</v>
      </c>
      <c r="M484" s="108" t="s">
        <v>822</v>
      </c>
      <c r="N484" s="108" t="s">
        <v>822</v>
      </c>
      <c r="O484" s="108" t="s">
        <v>822</v>
      </c>
      <c r="P484" s="137" t="s">
        <v>822</v>
      </c>
    </row>
    <row r="485" spans="1:16" x14ac:dyDescent="0.25">
      <c r="A485" s="95" t="s">
        <v>266</v>
      </c>
      <c r="C485" s="93" t="s">
        <v>581</v>
      </c>
      <c r="D485" s="95" t="str">
        <f t="shared" si="7"/>
        <v/>
      </c>
      <c r="E485" s="93" t="s">
        <v>106</v>
      </c>
      <c r="F485" s="93" t="s">
        <v>441</v>
      </c>
      <c r="H485" s="93" t="s">
        <v>410</v>
      </c>
      <c r="L485" s="93" t="s">
        <v>810</v>
      </c>
      <c r="M485" s="108" t="s">
        <v>822</v>
      </c>
      <c r="N485" s="108" t="s">
        <v>822</v>
      </c>
      <c r="O485" s="108" t="s">
        <v>822</v>
      </c>
      <c r="P485" s="137" t="s">
        <v>822</v>
      </c>
    </row>
    <row r="486" spans="1:16" x14ac:dyDescent="0.25">
      <c r="A486" s="95" t="s">
        <v>266</v>
      </c>
      <c r="D486" s="95" t="str">
        <f t="shared" si="7"/>
        <v/>
      </c>
      <c r="E486" s="93" t="s">
        <v>107</v>
      </c>
      <c r="F486" s="93" t="s">
        <v>890</v>
      </c>
      <c r="H486" s="93" t="s">
        <v>410</v>
      </c>
      <c r="L486" s="93" t="s">
        <v>810</v>
      </c>
      <c r="M486" s="108" t="s">
        <v>822</v>
      </c>
      <c r="N486" s="108" t="s">
        <v>822</v>
      </c>
      <c r="O486" s="108" t="s">
        <v>822</v>
      </c>
      <c r="P486" s="137" t="s">
        <v>822</v>
      </c>
    </row>
    <row r="487" spans="1:16" x14ac:dyDescent="0.25">
      <c r="A487" s="95" t="s">
        <v>266</v>
      </c>
      <c r="C487" s="93" t="s">
        <v>585</v>
      </c>
      <c r="D487" s="95" t="str">
        <f t="shared" si="7"/>
        <v/>
      </c>
      <c r="E487" s="93" t="s">
        <v>108</v>
      </c>
      <c r="F487" s="93" t="s">
        <v>886</v>
      </c>
      <c r="H487" s="93" t="s">
        <v>410</v>
      </c>
      <c r="L487" s="93" t="s">
        <v>810</v>
      </c>
      <c r="M487" s="108" t="s">
        <v>822</v>
      </c>
      <c r="N487" s="108" t="s">
        <v>822</v>
      </c>
      <c r="O487" s="108" t="s">
        <v>822</v>
      </c>
      <c r="P487" s="137" t="s">
        <v>822</v>
      </c>
    </row>
    <row r="488" spans="1:16" x14ac:dyDescent="0.25">
      <c r="A488" s="95" t="s">
        <v>266</v>
      </c>
      <c r="D488" s="95" t="str">
        <f t="shared" si="7"/>
        <v/>
      </c>
      <c r="E488" s="93" t="s">
        <v>109</v>
      </c>
      <c r="F488" s="93" t="s">
        <v>444</v>
      </c>
      <c r="H488" s="93" t="s">
        <v>410</v>
      </c>
      <c r="L488" s="93" t="s">
        <v>810</v>
      </c>
      <c r="M488" s="108" t="s">
        <v>822</v>
      </c>
      <c r="N488" s="108" t="s">
        <v>822</v>
      </c>
      <c r="O488" s="108" t="s">
        <v>822</v>
      </c>
      <c r="P488" s="137" t="s">
        <v>822</v>
      </c>
    </row>
    <row r="489" spans="1:16" x14ac:dyDescent="0.25">
      <c r="A489" s="95" t="s">
        <v>266</v>
      </c>
      <c r="D489" s="95" t="str">
        <f t="shared" si="7"/>
        <v/>
      </c>
      <c r="E489" s="93" t="s">
        <v>110</v>
      </c>
      <c r="F489" s="93" t="s">
        <v>446</v>
      </c>
      <c r="H489" s="93" t="s">
        <v>410</v>
      </c>
      <c r="L489" s="93" t="s">
        <v>810</v>
      </c>
      <c r="M489" s="108" t="s">
        <v>822</v>
      </c>
      <c r="N489" s="108" t="s">
        <v>822</v>
      </c>
      <c r="O489" s="108" t="s">
        <v>822</v>
      </c>
      <c r="P489" s="137" t="s">
        <v>822</v>
      </c>
    </row>
    <row r="490" spans="1:16" x14ac:dyDescent="0.25">
      <c r="A490" s="95" t="s">
        <v>266</v>
      </c>
      <c r="C490" s="93" t="s">
        <v>567</v>
      </c>
      <c r="D490" s="95" t="str">
        <f t="shared" si="7"/>
        <v>Pre-Delivery</v>
      </c>
      <c r="E490" s="93" t="s">
        <v>543</v>
      </c>
      <c r="F490" s="93" t="s">
        <v>911</v>
      </c>
      <c r="H490" s="93" t="s">
        <v>410</v>
      </c>
      <c r="L490" s="93" t="s">
        <v>810</v>
      </c>
      <c r="M490" s="108" t="s">
        <v>822</v>
      </c>
      <c r="N490" s="108" t="s">
        <v>822</v>
      </c>
      <c r="O490" s="108" t="s">
        <v>822</v>
      </c>
      <c r="P490" s="137" t="s">
        <v>822</v>
      </c>
    </row>
    <row r="491" spans="1:16" x14ac:dyDescent="0.25">
      <c r="A491" s="95" t="s">
        <v>266</v>
      </c>
      <c r="D491" s="95" t="str">
        <f t="shared" si="7"/>
        <v/>
      </c>
      <c r="E491" s="93" t="s">
        <v>111</v>
      </c>
      <c r="F491" s="93" t="s">
        <v>448</v>
      </c>
      <c r="H491" s="93" t="s">
        <v>410</v>
      </c>
      <c r="L491" s="93" t="s">
        <v>810</v>
      </c>
      <c r="M491" s="108" t="s">
        <v>822</v>
      </c>
      <c r="N491" s="108" t="s">
        <v>822</v>
      </c>
      <c r="O491" s="108" t="s">
        <v>822</v>
      </c>
      <c r="P491" s="137" t="s">
        <v>822</v>
      </c>
    </row>
    <row r="492" spans="1:16" x14ac:dyDescent="0.25">
      <c r="A492" s="95" t="s">
        <v>266</v>
      </c>
      <c r="D492" s="95" t="str">
        <f t="shared" si="7"/>
        <v/>
      </c>
      <c r="E492" s="93" t="s">
        <v>112</v>
      </c>
      <c r="F492" s="93" t="s">
        <v>888</v>
      </c>
      <c r="H492" s="93" t="s">
        <v>410</v>
      </c>
      <c r="L492" s="93" t="s">
        <v>810</v>
      </c>
      <c r="M492" s="108" t="s">
        <v>822</v>
      </c>
      <c r="N492" s="108" t="s">
        <v>822</v>
      </c>
      <c r="O492" s="108" t="s">
        <v>822</v>
      </c>
      <c r="P492" s="137" t="s">
        <v>822</v>
      </c>
    </row>
    <row r="493" spans="1:16" x14ac:dyDescent="0.25">
      <c r="A493" s="95" t="s">
        <v>266</v>
      </c>
      <c r="D493" s="95" t="str">
        <f t="shared" si="7"/>
        <v/>
      </c>
      <c r="E493" s="93" t="s">
        <v>113</v>
      </c>
      <c r="F493" s="93" t="s">
        <v>882</v>
      </c>
      <c r="H493" s="93" t="s">
        <v>410</v>
      </c>
      <c r="L493" s="93" t="s">
        <v>810</v>
      </c>
      <c r="M493" s="108" t="s">
        <v>822</v>
      </c>
      <c r="N493" s="108" t="s">
        <v>822</v>
      </c>
      <c r="O493" s="108" t="s">
        <v>822</v>
      </c>
      <c r="P493" s="137" t="s">
        <v>822</v>
      </c>
    </row>
    <row r="494" spans="1:16" x14ac:dyDescent="0.25">
      <c r="A494" s="95" t="s">
        <v>266</v>
      </c>
      <c r="D494" s="95" t="str">
        <f t="shared" si="7"/>
        <v/>
      </c>
      <c r="E494" s="93" t="s">
        <v>114</v>
      </c>
      <c r="F494" s="93" t="s">
        <v>912</v>
      </c>
      <c r="H494" s="93" t="s">
        <v>410</v>
      </c>
      <c r="L494" s="93" t="s">
        <v>810</v>
      </c>
      <c r="M494" s="108" t="s">
        <v>822</v>
      </c>
      <c r="N494" s="108" t="s">
        <v>822</v>
      </c>
      <c r="O494" s="108" t="s">
        <v>822</v>
      </c>
      <c r="P494" s="137" t="s">
        <v>822</v>
      </c>
    </row>
    <row r="495" spans="1:16" ht="37.5" x14ac:dyDescent="0.25">
      <c r="A495" s="95" t="s">
        <v>266</v>
      </c>
      <c r="D495" s="95" t="str">
        <f t="shared" si="7"/>
        <v/>
      </c>
      <c r="E495" s="93" t="s">
        <v>115</v>
      </c>
      <c r="F495" s="93" t="s">
        <v>863</v>
      </c>
      <c r="H495" s="93" t="s">
        <v>410</v>
      </c>
      <c r="L495" s="93" t="s">
        <v>810</v>
      </c>
      <c r="M495" s="108" t="s">
        <v>822</v>
      </c>
      <c r="N495" s="108" t="s">
        <v>822</v>
      </c>
      <c r="O495" s="108" t="s">
        <v>822</v>
      </c>
      <c r="P495" s="137" t="s">
        <v>822</v>
      </c>
    </row>
    <row r="496" spans="1:16" x14ac:dyDescent="0.25">
      <c r="A496" s="95" t="s">
        <v>266</v>
      </c>
      <c r="D496" s="95" t="str">
        <f t="shared" si="7"/>
        <v/>
      </c>
      <c r="E496" s="93" t="s">
        <v>116</v>
      </c>
      <c r="F496" s="93" t="s">
        <v>132</v>
      </c>
      <c r="H496" s="93" t="s">
        <v>410</v>
      </c>
      <c r="L496" s="93" t="s">
        <v>810</v>
      </c>
      <c r="M496" s="108" t="s">
        <v>822</v>
      </c>
      <c r="N496" s="108" t="s">
        <v>822</v>
      </c>
      <c r="O496" s="108" t="s">
        <v>822</v>
      </c>
      <c r="P496" s="137" t="s">
        <v>822</v>
      </c>
    </row>
    <row r="497" spans="1:16" x14ac:dyDescent="0.25">
      <c r="A497" s="95" t="s">
        <v>266</v>
      </c>
      <c r="D497" s="95" t="str">
        <f t="shared" si="7"/>
        <v/>
      </c>
      <c r="E497" s="93" t="s">
        <v>117</v>
      </c>
      <c r="F497" s="93" t="s">
        <v>902</v>
      </c>
      <c r="H497" s="93" t="s">
        <v>410</v>
      </c>
      <c r="L497" s="93" t="s">
        <v>810</v>
      </c>
      <c r="M497" s="108" t="s">
        <v>822</v>
      </c>
      <c r="N497" s="108" t="s">
        <v>822</v>
      </c>
      <c r="O497" s="108" t="s">
        <v>822</v>
      </c>
      <c r="P497" s="137" t="s">
        <v>822</v>
      </c>
    </row>
    <row r="498" spans="1:16" x14ac:dyDescent="0.25">
      <c r="A498" s="95" t="s">
        <v>266</v>
      </c>
      <c r="D498" s="95" t="str">
        <f t="shared" si="7"/>
        <v/>
      </c>
      <c r="E498" s="93" t="s">
        <v>132</v>
      </c>
      <c r="F498" s="93" t="s">
        <v>134</v>
      </c>
      <c r="H498" s="93" t="s">
        <v>410</v>
      </c>
      <c r="L498" s="93" t="s">
        <v>810</v>
      </c>
      <c r="M498" s="108" t="s">
        <v>822</v>
      </c>
      <c r="N498" s="108" t="s">
        <v>822</v>
      </c>
      <c r="O498" s="108" t="s">
        <v>822</v>
      </c>
      <c r="P498" s="137" t="s">
        <v>822</v>
      </c>
    </row>
    <row r="499" spans="1:16" x14ac:dyDescent="0.25">
      <c r="A499" s="95" t="s">
        <v>266</v>
      </c>
      <c r="D499" s="95" t="str">
        <f t="shared" si="7"/>
        <v/>
      </c>
      <c r="E499" s="93" t="s">
        <v>133</v>
      </c>
      <c r="F499" s="93" t="s">
        <v>868</v>
      </c>
      <c r="H499" s="93" t="s">
        <v>410</v>
      </c>
      <c r="L499" s="93" t="s">
        <v>810</v>
      </c>
      <c r="M499" s="108" t="s">
        <v>822</v>
      </c>
      <c r="N499" s="108" t="s">
        <v>822</v>
      </c>
      <c r="O499" s="108" t="s">
        <v>822</v>
      </c>
      <c r="P499" s="137" t="s">
        <v>822</v>
      </c>
    </row>
    <row r="500" spans="1:16" x14ac:dyDescent="0.25">
      <c r="A500" s="95" t="s">
        <v>266</v>
      </c>
      <c r="D500" s="95" t="str">
        <f t="shared" si="7"/>
        <v/>
      </c>
      <c r="E500" s="93" t="s">
        <v>134</v>
      </c>
      <c r="F500" s="93" t="s">
        <v>136</v>
      </c>
      <c r="H500" s="93" t="s">
        <v>410</v>
      </c>
      <c r="L500" s="93" t="s">
        <v>810</v>
      </c>
      <c r="M500" s="108" t="s">
        <v>822</v>
      </c>
      <c r="N500" s="108" t="s">
        <v>822</v>
      </c>
      <c r="O500" s="108" t="s">
        <v>822</v>
      </c>
      <c r="P500" s="137" t="s">
        <v>822</v>
      </c>
    </row>
    <row r="501" spans="1:16" x14ac:dyDescent="0.25">
      <c r="A501" s="95" t="s">
        <v>266</v>
      </c>
      <c r="D501" s="95" t="str">
        <f t="shared" si="7"/>
        <v/>
      </c>
      <c r="E501" s="93" t="s">
        <v>135</v>
      </c>
      <c r="F501" s="93" t="s">
        <v>864</v>
      </c>
      <c r="H501" s="93" t="s">
        <v>410</v>
      </c>
      <c r="L501" s="93" t="s">
        <v>810</v>
      </c>
      <c r="M501" s="108" t="s">
        <v>822</v>
      </c>
      <c r="N501" s="108" t="s">
        <v>822</v>
      </c>
      <c r="O501" s="108" t="s">
        <v>822</v>
      </c>
      <c r="P501" s="137" t="s">
        <v>822</v>
      </c>
    </row>
    <row r="502" spans="1:16" x14ac:dyDescent="0.25">
      <c r="A502" s="95" t="s">
        <v>266</v>
      </c>
      <c r="D502" s="95" t="str">
        <f t="shared" si="7"/>
        <v/>
      </c>
      <c r="E502" s="93" t="s">
        <v>136</v>
      </c>
      <c r="F502" s="93" t="s">
        <v>138</v>
      </c>
      <c r="H502" s="93" t="s">
        <v>410</v>
      </c>
      <c r="L502" s="93" t="s">
        <v>810</v>
      </c>
      <c r="M502" s="108" t="s">
        <v>822</v>
      </c>
      <c r="N502" s="108" t="s">
        <v>822</v>
      </c>
      <c r="O502" s="108" t="s">
        <v>822</v>
      </c>
      <c r="P502" s="137" t="s">
        <v>822</v>
      </c>
    </row>
    <row r="503" spans="1:16" x14ac:dyDescent="0.25">
      <c r="A503" s="95" t="s">
        <v>266</v>
      </c>
      <c r="D503" s="95" t="str">
        <f t="shared" si="7"/>
        <v/>
      </c>
      <c r="E503" s="93" t="s">
        <v>137</v>
      </c>
      <c r="F503" s="93" t="s">
        <v>859</v>
      </c>
      <c r="H503" s="93" t="s">
        <v>410</v>
      </c>
      <c r="L503" s="93" t="s">
        <v>810</v>
      </c>
      <c r="M503" s="108" t="s">
        <v>822</v>
      </c>
      <c r="N503" s="108" t="s">
        <v>822</v>
      </c>
      <c r="O503" s="108" t="s">
        <v>822</v>
      </c>
      <c r="P503" s="137" t="s">
        <v>822</v>
      </c>
    </row>
    <row r="504" spans="1:16" x14ac:dyDescent="0.25">
      <c r="A504" s="95" t="s">
        <v>266</v>
      </c>
      <c r="D504" s="95" t="str">
        <f t="shared" si="7"/>
        <v/>
      </c>
      <c r="E504" s="93" t="s">
        <v>138</v>
      </c>
      <c r="F504" s="93" t="s">
        <v>860</v>
      </c>
      <c r="H504" s="93" t="s">
        <v>410</v>
      </c>
      <c r="L504" s="93" t="s">
        <v>810</v>
      </c>
      <c r="M504" s="108" t="s">
        <v>822</v>
      </c>
      <c r="N504" s="108" t="s">
        <v>822</v>
      </c>
      <c r="O504" s="108" t="s">
        <v>822</v>
      </c>
      <c r="P504" s="137" t="s">
        <v>822</v>
      </c>
    </row>
    <row r="505" spans="1:16" x14ac:dyDescent="0.25">
      <c r="A505" s="95" t="s">
        <v>266</v>
      </c>
      <c r="D505" s="95" t="str">
        <f t="shared" si="7"/>
        <v/>
      </c>
      <c r="E505" s="93" t="s">
        <v>289</v>
      </c>
      <c r="F505" s="93" t="s">
        <v>883</v>
      </c>
      <c r="H505" s="93" t="s">
        <v>410</v>
      </c>
      <c r="L505" s="93" t="s">
        <v>810</v>
      </c>
      <c r="M505" s="108" t="s">
        <v>822</v>
      </c>
      <c r="N505" s="108" t="s">
        <v>822</v>
      </c>
      <c r="O505" s="108" t="s">
        <v>822</v>
      </c>
      <c r="P505" s="137" t="s">
        <v>822</v>
      </c>
    </row>
    <row r="506" spans="1:16" x14ac:dyDescent="0.25">
      <c r="A506" s="95" t="s">
        <v>266</v>
      </c>
      <c r="D506" s="95" t="str">
        <f t="shared" si="7"/>
        <v/>
      </c>
      <c r="E506" s="93" t="s">
        <v>824</v>
      </c>
      <c r="F506" s="93" t="s">
        <v>860</v>
      </c>
      <c r="H506" s="93" t="s">
        <v>410</v>
      </c>
      <c r="L506" s="93" t="s">
        <v>810</v>
      </c>
      <c r="M506" s="108" t="s">
        <v>822</v>
      </c>
      <c r="N506" s="108" t="s">
        <v>822</v>
      </c>
      <c r="O506" s="108" t="s">
        <v>822</v>
      </c>
      <c r="P506" s="137" t="s">
        <v>822</v>
      </c>
    </row>
    <row r="507" spans="1:16" ht="37.5" x14ac:dyDescent="0.25">
      <c r="A507" s="95" t="s">
        <v>266</v>
      </c>
      <c r="D507" s="95" t="str">
        <f t="shared" si="7"/>
        <v/>
      </c>
      <c r="E507" s="93" t="s">
        <v>291</v>
      </c>
      <c r="F507" s="93" t="s">
        <v>293</v>
      </c>
      <c r="H507" s="93" t="s">
        <v>410</v>
      </c>
      <c r="L507" s="93" t="s">
        <v>810</v>
      </c>
      <c r="M507" s="108" t="s">
        <v>822</v>
      </c>
      <c r="N507" s="108" t="s">
        <v>822</v>
      </c>
      <c r="O507" s="108" t="s">
        <v>822</v>
      </c>
      <c r="P507" s="137" t="s">
        <v>822</v>
      </c>
    </row>
    <row r="508" spans="1:16" x14ac:dyDescent="0.25">
      <c r="A508" s="95" t="s">
        <v>266</v>
      </c>
      <c r="D508" s="95" t="str">
        <f t="shared" si="7"/>
        <v/>
      </c>
      <c r="E508" s="93" t="s">
        <v>292</v>
      </c>
      <c r="F508" s="93" t="s">
        <v>833</v>
      </c>
      <c r="H508" s="93" t="s">
        <v>410</v>
      </c>
      <c r="L508" s="93" t="s">
        <v>810</v>
      </c>
      <c r="M508" s="108" t="s">
        <v>822</v>
      </c>
      <c r="N508" s="108" t="s">
        <v>822</v>
      </c>
      <c r="O508" s="108" t="s">
        <v>822</v>
      </c>
      <c r="P508" s="137" t="s">
        <v>822</v>
      </c>
    </row>
    <row r="509" spans="1:16" x14ac:dyDescent="0.25">
      <c r="A509" s="95" t="s">
        <v>266</v>
      </c>
      <c r="D509" s="95" t="str">
        <f t="shared" si="7"/>
        <v/>
      </c>
      <c r="E509" s="93" t="s">
        <v>293</v>
      </c>
      <c r="F509" s="93" t="s">
        <v>293</v>
      </c>
      <c r="H509" s="93" t="s">
        <v>410</v>
      </c>
      <c r="L509" s="93" t="s">
        <v>810</v>
      </c>
      <c r="M509" s="108" t="s">
        <v>822</v>
      </c>
      <c r="N509" s="108" t="s">
        <v>822</v>
      </c>
      <c r="O509" s="108" t="s">
        <v>822</v>
      </c>
      <c r="P509" s="137" t="s">
        <v>822</v>
      </c>
    </row>
    <row r="510" spans="1:16" x14ac:dyDescent="0.25">
      <c r="A510" s="95" t="s">
        <v>266</v>
      </c>
      <c r="D510" s="95" t="str">
        <f t="shared" si="7"/>
        <v/>
      </c>
      <c r="E510" s="93" t="s">
        <v>167</v>
      </c>
      <c r="F510" s="93" t="s">
        <v>669</v>
      </c>
      <c r="H510" s="93" t="s">
        <v>410</v>
      </c>
      <c r="L510" s="93" t="s">
        <v>810</v>
      </c>
      <c r="M510" s="108" t="s">
        <v>822</v>
      </c>
      <c r="N510" s="108" t="s">
        <v>822</v>
      </c>
      <c r="O510" s="108" t="s">
        <v>822</v>
      </c>
      <c r="P510" s="137" t="s">
        <v>822</v>
      </c>
    </row>
    <row r="511" spans="1:16" x14ac:dyDescent="0.25">
      <c r="A511" s="95" t="s">
        <v>266</v>
      </c>
      <c r="D511" s="95" t="str">
        <f t="shared" si="7"/>
        <v/>
      </c>
      <c r="E511" s="93" t="s">
        <v>168</v>
      </c>
      <c r="F511" s="93" t="s">
        <v>894</v>
      </c>
      <c r="H511" s="93" t="s">
        <v>410</v>
      </c>
      <c r="L511" s="93" t="s">
        <v>810</v>
      </c>
      <c r="M511" s="108" t="s">
        <v>822</v>
      </c>
      <c r="N511" s="108" t="s">
        <v>822</v>
      </c>
      <c r="O511" s="108" t="s">
        <v>822</v>
      </c>
      <c r="P511" s="137" t="s">
        <v>822</v>
      </c>
    </row>
    <row r="512" spans="1:16" ht="37.5" x14ac:dyDescent="0.25">
      <c r="A512" s="95" t="s">
        <v>266</v>
      </c>
      <c r="D512" s="95" t="str">
        <f t="shared" si="7"/>
        <v/>
      </c>
      <c r="E512" s="93" t="s">
        <v>169</v>
      </c>
      <c r="F512" s="93" t="s">
        <v>914</v>
      </c>
      <c r="H512" s="93" t="s">
        <v>410</v>
      </c>
      <c r="L512" s="93" t="s">
        <v>810</v>
      </c>
      <c r="M512" s="108" t="s">
        <v>822</v>
      </c>
      <c r="N512" s="108" t="s">
        <v>822</v>
      </c>
      <c r="O512" s="108" t="s">
        <v>822</v>
      </c>
      <c r="P512" s="137" t="s">
        <v>822</v>
      </c>
    </row>
    <row r="513" spans="1:16" ht="37.5" x14ac:dyDescent="0.25">
      <c r="A513" s="95" t="s">
        <v>266</v>
      </c>
      <c r="D513" s="95" t="str">
        <f t="shared" si="7"/>
        <v/>
      </c>
      <c r="E513" s="93" t="s">
        <v>170</v>
      </c>
      <c r="F513" s="93" t="s">
        <v>895</v>
      </c>
      <c r="H513" s="93" t="s">
        <v>410</v>
      </c>
      <c r="L513" s="93" t="s">
        <v>810</v>
      </c>
      <c r="M513" s="108" t="s">
        <v>822</v>
      </c>
      <c r="N513" s="108" t="s">
        <v>822</v>
      </c>
      <c r="O513" s="108" t="s">
        <v>822</v>
      </c>
      <c r="P513" s="137" t="s">
        <v>822</v>
      </c>
    </row>
    <row r="514" spans="1:16" x14ac:dyDescent="0.25">
      <c r="A514" s="95" t="s">
        <v>266</v>
      </c>
      <c r="D514" s="95" t="str">
        <f t="shared" si="7"/>
        <v/>
      </c>
      <c r="E514" s="93" t="s">
        <v>171</v>
      </c>
      <c r="F514" s="93" t="s">
        <v>896</v>
      </c>
      <c r="H514" s="93" t="s">
        <v>410</v>
      </c>
      <c r="L514" s="93" t="s">
        <v>810</v>
      </c>
      <c r="M514" s="108" t="s">
        <v>822</v>
      </c>
      <c r="N514" s="108" t="s">
        <v>822</v>
      </c>
      <c r="O514" s="108" t="s">
        <v>822</v>
      </c>
      <c r="P514" s="137" t="s">
        <v>822</v>
      </c>
    </row>
    <row r="515" spans="1:16" x14ac:dyDescent="0.25">
      <c r="A515" s="95" t="s">
        <v>266</v>
      </c>
      <c r="D515" s="95" t="str">
        <f t="shared" si="7"/>
        <v/>
      </c>
      <c r="E515" s="93" t="s">
        <v>172</v>
      </c>
      <c r="F515" s="93" t="s">
        <v>883</v>
      </c>
      <c r="H515" s="93" t="s">
        <v>410</v>
      </c>
      <c r="L515" s="93" t="s">
        <v>810</v>
      </c>
      <c r="M515" s="108" t="s">
        <v>822</v>
      </c>
      <c r="N515" s="108" t="s">
        <v>822</v>
      </c>
      <c r="O515" s="108" t="s">
        <v>822</v>
      </c>
      <c r="P515" s="137" t="s">
        <v>822</v>
      </c>
    </row>
    <row r="516" spans="1:16" x14ac:dyDescent="0.25">
      <c r="A516" s="95" t="s">
        <v>266</v>
      </c>
      <c r="D516" s="95" t="str">
        <f t="shared" si="7"/>
        <v/>
      </c>
      <c r="E516" s="93" t="s">
        <v>173</v>
      </c>
      <c r="F516" s="93" t="s">
        <v>884</v>
      </c>
      <c r="H516" s="93" t="s">
        <v>410</v>
      </c>
      <c r="L516" s="93" t="s">
        <v>810</v>
      </c>
      <c r="M516" s="108" t="s">
        <v>822</v>
      </c>
      <c r="N516" s="108" t="s">
        <v>822</v>
      </c>
      <c r="O516" s="108" t="s">
        <v>822</v>
      </c>
      <c r="P516" s="137" t="s">
        <v>822</v>
      </c>
    </row>
    <row r="517" spans="1:16" ht="37.5" x14ac:dyDescent="0.25">
      <c r="A517" s="95" t="s">
        <v>266</v>
      </c>
      <c r="D517" s="95" t="str">
        <f t="shared" si="7"/>
        <v/>
      </c>
      <c r="E517" s="93" t="s">
        <v>174</v>
      </c>
      <c r="F517" s="93" t="s">
        <v>897</v>
      </c>
      <c r="H517" s="93" t="s">
        <v>410</v>
      </c>
      <c r="L517" s="93" t="s">
        <v>810</v>
      </c>
      <c r="M517" s="108" t="s">
        <v>822</v>
      </c>
      <c r="N517" s="108" t="s">
        <v>822</v>
      </c>
      <c r="O517" s="108" t="s">
        <v>822</v>
      </c>
      <c r="P517" s="137" t="s">
        <v>822</v>
      </c>
    </row>
    <row r="518" spans="1:16" x14ac:dyDescent="0.25">
      <c r="A518" s="95" t="s">
        <v>266</v>
      </c>
      <c r="D518" s="95" t="str">
        <f t="shared" si="7"/>
        <v/>
      </c>
      <c r="E518" s="93" t="s">
        <v>175</v>
      </c>
      <c r="F518" s="93" t="s">
        <v>139</v>
      </c>
      <c r="H518" s="93" t="s">
        <v>410</v>
      </c>
      <c r="L518" s="93" t="s">
        <v>810</v>
      </c>
      <c r="M518" s="108" t="s">
        <v>822</v>
      </c>
      <c r="N518" s="108" t="s">
        <v>822</v>
      </c>
      <c r="O518" s="108" t="s">
        <v>822</v>
      </c>
      <c r="P518" s="137" t="s">
        <v>822</v>
      </c>
    </row>
    <row r="519" spans="1:16" x14ac:dyDescent="0.25">
      <c r="A519" s="95" t="s">
        <v>266</v>
      </c>
      <c r="D519" s="95" t="str">
        <f t="shared" ref="D519:D524" si="8">IF(OR(ISNUMBER(SEARCH("Pre Delivery",E519)),ISNUMBER(SEARCH("Pre-Delivery",E519)),ISNUMBER(SEARCH("Predelivery",E519)),ISNUMBER(SEARCH("PD -",E519)),ISNUMBER(SEARCH("PD Lubes",E519))),"Pre-Delivery","")</f>
        <v/>
      </c>
      <c r="E519" s="93" t="s">
        <v>176</v>
      </c>
      <c r="F519" s="93" t="s">
        <v>856</v>
      </c>
      <c r="H519" s="93" t="s">
        <v>410</v>
      </c>
      <c r="L519" s="93" t="s">
        <v>810</v>
      </c>
      <c r="M519" s="108" t="s">
        <v>822</v>
      </c>
      <c r="N519" s="108" t="s">
        <v>822</v>
      </c>
      <c r="O519" s="108" t="s">
        <v>822</v>
      </c>
      <c r="P519" s="137" t="s">
        <v>822</v>
      </c>
    </row>
    <row r="520" spans="1:16" x14ac:dyDescent="0.25">
      <c r="A520" s="95" t="s">
        <v>266</v>
      </c>
      <c r="D520" s="95" t="str">
        <f t="shared" si="8"/>
        <v/>
      </c>
      <c r="E520" s="93" t="s">
        <v>139</v>
      </c>
      <c r="F520" s="93" t="s">
        <v>865</v>
      </c>
      <c r="H520" s="93" t="s">
        <v>410</v>
      </c>
      <c r="L520" s="93" t="s">
        <v>810</v>
      </c>
      <c r="M520" s="108" t="s">
        <v>822</v>
      </c>
      <c r="N520" s="108" t="s">
        <v>822</v>
      </c>
      <c r="O520" s="108" t="s">
        <v>822</v>
      </c>
      <c r="P520" s="137" t="s">
        <v>822</v>
      </c>
    </row>
    <row r="521" spans="1:16" x14ac:dyDescent="0.25">
      <c r="A521" s="95" t="s">
        <v>266</v>
      </c>
      <c r="C521" s="93" t="s">
        <v>653</v>
      </c>
      <c r="D521" s="95" t="str">
        <f t="shared" si="8"/>
        <v/>
      </c>
      <c r="E521" s="93" t="s">
        <v>177</v>
      </c>
      <c r="F521" s="93" t="s">
        <v>915</v>
      </c>
      <c r="H521" s="93" t="s">
        <v>410</v>
      </c>
      <c r="L521" s="93" t="s">
        <v>810</v>
      </c>
      <c r="M521" s="108" t="s">
        <v>822</v>
      </c>
      <c r="N521" s="108" t="s">
        <v>822</v>
      </c>
      <c r="O521" s="108" t="s">
        <v>822</v>
      </c>
      <c r="P521" s="137" t="s">
        <v>822</v>
      </c>
    </row>
    <row r="522" spans="1:16" x14ac:dyDescent="0.25">
      <c r="A522" s="95" t="s">
        <v>266</v>
      </c>
      <c r="D522" s="95" t="str">
        <f t="shared" si="8"/>
        <v/>
      </c>
      <c r="E522" s="93" t="s">
        <v>178</v>
      </c>
      <c r="F522" s="93" t="s">
        <v>865</v>
      </c>
      <c r="H522" s="93" t="s">
        <v>410</v>
      </c>
      <c r="L522" s="93" t="s">
        <v>810</v>
      </c>
      <c r="M522" s="108" t="s">
        <v>822</v>
      </c>
      <c r="N522" s="108" t="s">
        <v>822</v>
      </c>
      <c r="O522" s="108" t="s">
        <v>822</v>
      </c>
      <c r="P522" s="137" t="s">
        <v>822</v>
      </c>
    </row>
    <row r="523" spans="1:16" x14ac:dyDescent="0.25">
      <c r="A523" s="95" t="s">
        <v>266</v>
      </c>
      <c r="D523" s="95" t="s">
        <v>918</v>
      </c>
      <c r="E523" s="93" t="s">
        <v>409</v>
      </c>
      <c r="F523" s="93" t="s">
        <v>915</v>
      </c>
      <c r="H523" s="93" t="s">
        <v>410</v>
      </c>
      <c r="L523" s="93" t="s">
        <v>810</v>
      </c>
      <c r="M523" s="108" t="s">
        <v>822</v>
      </c>
      <c r="N523" s="108" t="s">
        <v>822</v>
      </c>
      <c r="O523" s="108" t="s">
        <v>822</v>
      </c>
      <c r="P523" s="137" t="s">
        <v>822</v>
      </c>
    </row>
    <row r="524" spans="1:16" s="100" customFormat="1" ht="19.5" thickBot="1" x14ac:dyDescent="0.3">
      <c r="A524" s="98" t="s">
        <v>266</v>
      </c>
      <c r="B524" s="99"/>
      <c r="C524" s="99"/>
      <c r="D524" s="98" t="str">
        <f t="shared" si="8"/>
        <v/>
      </c>
      <c r="E524" s="99" t="s">
        <v>424</v>
      </c>
      <c r="F524" s="99" t="s">
        <v>919</v>
      </c>
      <c r="G524" s="99"/>
      <c r="H524" s="99" t="s">
        <v>410</v>
      </c>
      <c r="I524" s="98"/>
      <c r="J524" s="99"/>
      <c r="K524" s="99"/>
      <c r="L524" s="99" t="s">
        <v>810</v>
      </c>
      <c r="M524" s="110" t="s">
        <v>822</v>
      </c>
      <c r="N524" s="110" t="s">
        <v>822</v>
      </c>
      <c r="O524" s="110" t="s">
        <v>822</v>
      </c>
      <c r="P524" s="137" t="s">
        <v>822</v>
      </c>
    </row>
    <row r="525" spans="1:16" ht="37.5" x14ac:dyDescent="0.25">
      <c r="A525" s="93" t="s">
        <v>922</v>
      </c>
      <c r="C525" s="93" t="s">
        <v>923</v>
      </c>
      <c r="E525" s="93" t="s">
        <v>924</v>
      </c>
      <c r="F525" s="93" t="str" cm="1">
        <f t="array" ref="F525:F676">VLOOKUP(E525:E676,'[1]Standardized Naming'!$B$2:$D$259,2,TRUE)</f>
        <v>IT Equipment - AST</v>
      </c>
    </row>
    <row r="526" spans="1:16" x14ac:dyDescent="0.25">
      <c r="A526" s="93" t="s">
        <v>922</v>
      </c>
      <c r="C526" s="93" t="s">
        <v>925</v>
      </c>
      <c r="E526" s="93" t="s">
        <v>926</v>
      </c>
      <c r="F526" s="93" t="str">
        <v>Ozone Steriliser</v>
      </c>
    </row>
    <row r="527" spans="1:16" x14ac:dyDescent="0.25">
      <c r="A527" s="93" t="s">
        <v>922</v>
      </c>
      <c r="C527" s="93" t="s">
        <v>927</v>
      </c>
      <c r="E527" s="93" t="s">
        <v>221</v>
      </c>
      <c r="F527" s="93" t="str">
        <v>Ozone Steriliser</v>
      </c>
    </row>
    <row r="528" spans="1:16" ht="37.5" x14ac:dyDescent="0.25">
      <c r="A528" s="93" t="s">
        <v>922</v>
      </c>
      <c r="C528" s="93" t="s">
        <v>928</v>
      </c>
      <c r="E528" s="93" t="s">
        <v>536</v>
      </c>
      <c r="F528" s="93" t="str">
        <v>IT Equipment - ITBP</v>
      </c>
    </row>
    <row r="529" spans="1:6" x14ac:dyDescent="0.25">
      <c r="A529" s="93" t="s">
        <v>922</v>
      </c>
      <c r="C529" s="93" t="s">
        <v>929</v>
      </c>
      <c r="E529" s="93" t="s">
        <v>930</v>
      </c>
      <c r="F529" s="93" t="e">
        <v>#N/A</v>
      </c>
    </row>
    <row r="530" spans="1:6" ht="37.5" x14ac:dyDescent="0.25">
      <c r="A530" s="93" t="s">
        <v>922</v>
      </c>
      <c r="C530" s="93" t="s">
        <v>931</v>
      </c>
      <c r="E530" s="93" t="s">
        <v>639</v>
      </c>
      <c r="F530" s="93" t="str">
        <v>IT Equipment - AST</v>
      </c>
    </row>
    <row r="531" spans="1:6" x14ac:dyDescent="0.25">
      <c r="A531" s="93" t="s">
        <v>922</v>
      </c>
      <c r="C531" s="93" t="s">
        <v>932</v>
      </c>
      <c r="E531" s="93" t="s">
        <v>543</v>
      </c>
      <c r="F531" s="93" t="str">
        <v>Ozone Steriliser</v>
      </c>
    </row>
    <row r="532" spans="1:6" x14ac:dyDescent="0.25">
      <c r="A532" s="93" t="s">
        <v>922</v>
      </c>
      <c r="C532" s="93" t="s">
        <v>933</v>
      </c>
      <c r="E532" s="93" t="s">
        <v>934</v>
      </c>
      <c r="F532" s="93" t="str">
        <v>IT Equipment - AST</v>
      </c>
    </row>
    <row r="533" spans="1:6" x14ac:dyDescent="0.25">
      <c r="A533" s="93" t="s">
        <v>922</v>
      </c>
      <c r="C533" s="93" t="s">
        <v>935</v>
      </c>
      <c r="E533" s="93" t="s">
        <v>101</v>
      </c>
      <c r="F533" s="93" t="str">
        <v>IT Equipment - ITBP Additional Items</v>
      </c>
    </row>
    <row r="534" spans="1:6" x14ac:dyDescent="0.25">
      <c r="A534" s="93" t="s">
        <v>922</v>
      </c>
      <c r="C534" s="93" t="s">
        <v>936</v>
      </c>
      <c r="E534" s="93" t="s">
        <v>937</v>
      </c>
      <c r="F534" s="93" t="str">
        <v>Ozone Steriliser</v>
      </c>
    </row>
    <row r="535" spans="1:6" x14ac:dyDescent="0.25">
      <c r="A535" s="93" t="s">
        <v>922</v>
      </c>
      <c r="C535" s="93" t="s">
        <v>938</v>
      </c>
      <c r="E535" s="93" t="s">
        <v>939</v>
      </c>
      <c r="F535" s="93" t="str">
        <v>IT Equipment - ITBP Additional Items</v>
      </c>
    </row>
    <row r="536" spans="1:6" x14ac:dyDescent="0.25">
      <c r="A536" s="93" t="s">
        <v>922</v>
      </c>
      <c r="C536" s="93" t="s">
        <v>940</v>
      </c>
      <c r="E536" s="93" t="s">
        <v>941</v>
      </c>
      <c r="F536" s="93" t="str">
        <v>Communications - VLINK</v>
      </c>
    </row>
    <row r="537" spans="1:6" x14ac:dyDescent="0.25">
      <c r="A537" s="93" t="s">
        <v>922</v>
      </c>
      <c r="C537" s="93" t="s">
        <v>942</v>
      </c>
      <c r="E537" s="93" t="s">
        <v>943</v>
      </c>
      <c r="F537" s="93" t="str">
        <v>IT Equipment - AST</v>
      </c>
    </row>
    <row r="538" spans="1:6" x14ac:dyDescent="0.25">
      <c r="A538" s="93" t="s">
        <v>922</v>
      </c>
      <c r="C538" s="93" t="s">
        <v>944</v>
      </c>
      <c r="E538" s="93" t="s">
        <v>945</v>
      </c>
      <c r="F538" s="93" t="str">
        <v>Ozone Steriliser</v>
      </c>
    </row>
    <row r="539" spans="1:6" x14ac:dyDescent="0.25">
      <c r="A539" s="93" t="s">
        <v>922</v>
      </c>
      <c r="C539" s="93" t="s">
        <v>946</v>
      </c>
      <c r="E539" s="93" t="s">
        <v>70</v>
      </c>
      <c r="F539" s="93" t="str">
        <v>IT Equipment - ITBP Additional Items</v>
      </c>
    </row>
    <row r="540" spans="1:6" x14ac:dyDescent="0.25">
      <c r="A540" s="93" t="s">
        <v>922</v>
      </c>
      <c r="C540" s="93" t="s">
        <v>947</v>
      </c>
      <c r="E540" s="93" t="s">
        <v>368</v>
      </c>
      <c r="F540" s="93" t="str">
        <v>Ozone Steriliser</v>
      </c>
    </row>
    <row r="541" spans="1:6" x14ac:dyDescent="0.25">
      <c r="A541" s="93" t="s">
        <v>922</v>
      </c>
      <c r="C541" s="93" t="s">
        <v>948</v>
      </c>
      <c r="E541" s="93" t="s">
        <v>949</v>
      </c>
      <c r="F541" s="93" t="str">
        <v>IT Equipment - ITBP Additional Items</v>
      </c>
    </row>
    <row r="542" spans="1:6" x14ac:dyDescent="0.25">
      <c r="A542" s="93" t="s">
        <v>922</v>
      </c>
      <c r="C542" s="93" t="s">
        <v>950</v>
      </c>
      <c r="E542" s="93" t="s">
        <v>951</v>
      </c>
      <c r="F542" s="93" t="str">
        <v>Ozone Steriliser</v>
      </c>
    </row>
    <row r="543" spans="1:6" x14ac:dyDescent="0.25">
      <c r="A543" s="93" t="s">
        <v>922</v>
      </c>
      <c r="C543" s="93" t="s">
        <v>952</v>
      </c>
      <c r="E543" s="93" t="s">
        <v>953</v>
      </c>
      <c r="F543" s="93" t="e">
        <v>#N/A</v>
      </c>
    </row>
    <row r="544" spans="1:6" x14ac:dyDescent="0.25">
      <c r="A544" s="93" t="s">
        <v>922</v>
      </c>
      <c r="C544" s="93" t="s">
        <v>954</v>
      </c>
      <c r="E544" s="93" t="s">
        <v>955</v>
      </c>
      <c r="F544" s="93" t="str">
        <v>High Pressure Washer</v>
      </c>
    </row>
    <row r="545" spans="1:6" x14ac:dyDescent="0.25">
      <c r="A545" s="93" t="s">
        <v>922</v>
      </c>
      <c r="C545" s="93" t="s">
        <v>956</v>
      </c>
      <c r="E545" s="93" t="s">
        <v>1042</v>
      </c>
      <c r="F545" s="93" t="str">
        <v>Ozone Steriliser</v>
      </c>
    </row>
    <row r="546" spans="1:6" x14ac:dyDescent="0.25">
      <c r="A546" s="93" t="s">
        <v>922</v>
      </c>
      <c r="C546" s="93" t="s">
        <v>957</v>
      </c>
      <c r="E546" s="93" t="s">
        <v>958</v>
      </c>
      <c r="F546" s="93" t="str">
        <v>IT Equipment - ITBP Additional Items</v>
      </c>
    </row>
    <row r="547" spans="1:6" x14ac:dyDescent="0.25">
      <c r="A547" s="93" t="s">
        <v>922</v>
      </c>
      <c r="C547" s="93" t="s">
        <v>959</v>
      </c>
      <c r="E547" s="93" t="s">
        <v>39</v>
      </c>
      <c r="F547" s="93" t="str">
        <v>IT Equipment - ITBP Additional Items</v>
      </c>
    </row>
    <row r="548" spans="1:6" x14ac:dyDescent="0.25">
      <c r="A548" s="93" t="s">
        <v>922</v>
      </c>
      <c r="C548" s="93" t="s">
        <v>960</v>
      </c>
      <c r="E548" s="93" t="s">
        <v>49</v>
      </c>
      <c r="F548" s="93" t="str">
        <v>IT Equipment - ITBP Additional Items</v>
      </c>
    </row>
    <row r="549" spans="1:6" x14ac:dyDescent="0.25">
      <c r="A549" s="93" t="s">
        <v>922</v>
      </c>
      <c r="C549" s="93" t="s">
        <v>961</v>
      </c>
      <c r="E549" s="93" t="s">
        <v>1043</v>
      </c>
      <c r="F549" s="93" t="e">
        <v>#N/A</v>
      </c>
    </row>
    <row r="550" spans="1:6" x14ac:dyDescent="0.25">
      <c r="A550" s="93" t="s">
        <v>922</v>
      </c>
      <c r="C550" s="93" t="s">
        <v>962</v>
      </c>
      <c r="E550" s="93" t="s">
        <v>963</v>
      </c>
      <c r="F550" s="93" t="str">
        <v>IT Equipment - ITBP Additional Items</v>
      </c>
    </row>
    <row r="551" spans="1:6" x14ac:dyDescent="0.25">
      <c r="A551" s="93" t="s">
        <v>922</v>
      </c>
      <c r="C551" s="93" t="s">
        <v>964</v>
      </c>
      <c r="E551" s="93" t="s">
        <v>965</v>
      </c>
      <c r="F551" s="93" t="str">
        <v>Ozone Steriliser</v>
      </c>
    </row>
    <row r="552" spans="1:6" x14ac:dyDescent="0.25">
      <c r="A552" s="93" t="s">
        <v>922</v>
      </c>
      <c r="C552" s="93" t="s">
        <v>966</v>
      </c>
      <c r="E552" s="93" t="s">
        <v>967</v>
      </c>
      <c r="F552" s="93" t="str">
        <v>Ozone Steriliser</v>
      </c>
    </row>
    <row r="553" spans="1:6" x14ac:dyDescent="0.25">
      <c r="A553" s="93" t="s">
        <v>922</v>
      </c>
      <c r="E553" s="93" t="s">
        <v>419</v>
      </c>
      <c r="F553" s="93" t="e">
        <v>#N/A</v>
      </c>
    </row>
    <row r="554" spans="1:6" x14ac:dyDescent="0.25">
      <c r="A554" s="93" t="s">
        <v>922</v>
      </c>
      <c r="E554" s="93" t="s">
        <v>632</v>
      </c>
      <c r="F554" s="93" t="str">
        <v>Ozone Steriliser</v>
      </c>
    </row>
    <row r="555" spans="1:6" x14ac:dyDescent="0.25">
      <c r="A555" s="93" t="s">
        <v>922</v>
      </c>
      <c r="E555" s="93" t="s">
        <v>418</v>
      </c>
      <c r="F555" s="93" t="str">
        <v>Ozone Steriliser</v>
      </c>
    </row>
    <row r="556" spans="1:6" x14ac:dyDescent="0.25">
      <c r="A556" s="93" t="s">
        <v>922</v>
      </c>
      <c r="E556" s="93" t="s">
        <v>640</v>
      </c>
      <c r="F556" s="93" t="str">
        <v>Ozone Steriliser</v>
      </c>
    </row>
    <row r="557" spans="1:6" x14ac:dyDescent="0.25">
      <c r="A557" s="93" t="s">
        <v>922</v>
      </c>
      <c r="E557" s="93" t="s">
        <v>417</v>
      </c>
      <c r="F557" s="93" t="str">
        <v>IT Equipment - ITBP</v>
      </c>
    </row>
    <row r="558" spans="1:6" x14ac:dyDescent="0.25">
      <c r="A558" s="93" t="s">
        <v>922</v>
      </c>
      <c r="E558" s="93" t="s">
        <v>637</v>
      </c>
      <c r="F558" s="93" t="str">
        <v>Ozone Steriliser</v>
      </c>
    </row>
    <row r="559" spans="1:6" x14ac:dyDescent="0.25">
      <c r="A559" s="93" t="s">
        <v>922</v>
      </c>
      <c r="E559" s="93" t="s">
        <v>416</v>
      </c>
      <c r="F559" s="93" t="str">
        <v>Crew Welfare - Refrigerators</v>
      </c>
    </row>
    <row r="560" spans="1:6" x14ac:dyDescent="0.25">
      <c r="A560" s="93" t="s">
        <v>922</v>
      </c>
      <c r="E560" s="93" t="s">
        <v>647</v>
      </c>
      <c r="F560" s="93" t="str">
        <v>Ozone Steriliser</v>
      </c>
    </row>
    <row r="561" spans="1:6" x14ac:dyDescent="0.25">
      <c r="A561" s="93" t="s">
        <v>922</v>
      </c>
      <c r="E561" s="93" t="s">
        <v>675</v>
      </c>
      <c r="F561" s="93" t="str">
        <v>High Pressure Washer</v>
      </c>
    </row>
    <row r="562" spans="1:6" x14ac:dyDescent="0.25">
      <c r="A562" s="93" t="s">
        <v>922</v>
      </c>
      <c r="E562" s="93" t="s">
        <v>678</v>
      </c>
      <c r="F562" s="93" t="e">
        <v>#N/A</v>
      </c>
    </row>
    <row r="563" spans="1:6" x14ac:dyDescent="0.25">
      <c r="A563" s="93" t="s">
        <v>922</v>
      </c>
      <c r="E563" s="93" t="s">
        <v>679</v>
      </c>
      <c r="F563" s="93" t="str">
        <v>High Pressure Washer</v>
      </c>
    </row>
    <row r="564" spans="1:6" x14ac:dyDescent="0.25">
      <c r="A564" s="93" t="s">
        <v>922</v>
      </c>
      <c r="E564" s="93" t="s">
        <v>681</v>
      </c>
      <c r="F564" s="93" t="str">
        <v>Crew Welfare - Refrigerators</v>
      </c>
    </row>
    <row r="565" spans="1:6" x14ac:dyDescent="0.25">
      <c r="A565" s="93" t="s">
        <v>922</v>
      </c>
      <c r="E565" s="93" t="s">
        <v>488</v>
      </c>
      <c r="F565" s="93" t="str">
        <v>Ozone Steriliser</v>
      </c>
    </row>
    <row r="566" spans="1:6" x14ac:dyDescent="0.25">
      <c r="A566" s="93" t="s">
        <v>922</v>
      </c>
      <c r="E566" s="93" t="s">
        <v>117</v>
      </c>
      <c r="F566" s="93" t="str">
        <v>Crew Welfare - Refrigerators</v>
      </c>
    </row>
    <row r="567" spans="1:6" x14ac:dyDescent="0.25">
      <c r="A567" s="93" t="s">
        <v>922</v>
      </c>
      <c r="E567" s="93" t="s">
        <v>968</v>
      </c>
      <c r="F567" s="93" t="str">
        <v>Ozone Steriliser</v>
      </c>
    </row>
    <row r="568" spans="1:6" x14ac:dyDescent="0.25">
      <c r="A568" s="93" t="s">
        <v>922</v>
      </c>
      <c r="E568" s="93" t="s">
        <v>969</v>
      </c>
      <c r="F568" s="93" t="str">
        <v>Ozone Steriliser</v>
      </c>
    </row>
    <row r="569" spans="1:6" x14ac:dyDescent="0.25">
      <c r="A569" s="93" t="s">
        <v>922</v>
      </c>
      <c r="E569" s="93" t="s">
        <v>970</v>
      </c>
      <c r="F569" s="93" t="str">
        <v>Ozone Steriliser</v>
      </c>
    </row>
    <row r="570" spans="1:6" x14ac:dyDescent="0.25">
      <c r="A570" s="93" t="s">
        <v>922</v>
      </c>
      <c r="E570" s="93" t="s">
        <v>74</v>
      </c>
      <c r="F570" s="93" t="str">
        <v>Ozone Steriliser</v>
      </c>
    </row>
    <row r="571" spans="1:6" x14ac:dyDescent="0.25">
      <c r="A571" s="93" t="s">
        <v>922</v>
      </c>
      <c r="E571" s="93" t="s">
        <v>59</v>
      </c>
      <c r="F571" s="93" t="str">
        <v>Ozone Steriliser</v>
      </c>
    </row>
    <row r="572" spans="1:6" x14ac:dyDescent="0.25">
      <c r="A572" s="93" t="s">
        <v>922</v>
      </c>
      <c r="E572" s="93" t="s">
        <v>37</v>
      </c>
      <c r="F572" s="93" t="str">
        <v>Ozone Steriliser</v>
      </c>
    </row>
    <row r="573" spans="1:6" ht="37.5" x14ac:dyDescent="0.25">
      <c r="A573" s="93" t="s">
        <v>922</v>
      </c>
      <c r="E573" s="93" t="s">
        <v>1044</v>
      </c>
      <c r="F573" s="93" t="str">
        <v>IT Equipment - General</v>
      </c>
    </row>
    <row r="574" spans="1:6" x14ac:dyDescent="0.25">
      <c r="A574" s="93" t="s">
        <v>922</v>
      </c>
      <c r="E574" s="93" t="s">
        <v>76</v>
      </c>
      <c r="F574" s="93" t="str">
        <v>IT Equipment - General</v>
      </c>
    </row>
    <row r="575" spans="1:6" ht="37.5" x14ac:dyDescent="0.25">
      <c r="A575" s="93" t="s">
        <v>922</v>
      </c>
      <c r="E575" s="93" t="s">
        <v>99</v>
      </c>
      <c r="F575" s="93" t="str">
        <v>IT Equipment - General</v>
      </c>
    </row>
    <row r="576" spans="1:6" x14ac:dyDescent="0.25">
      <c r="A576" s="93" t="s">
        <v>922</v>
      </c>
      <c r="E576" s="93" t="s">
        <v>41</v>
      </c>
      <c r="F576" s="93" t="e">
        <v>#N/A</v>
      </c>
    </row>
    <row r="577" spans="1:6" x14ac:dyDescent="0.25">
      <c r="A577" s="93" t="s">
        <v>922</v>
      </c>
      <c r="E577" s="93" t="s">
        <v>448</v>
      </c>
      <c r="F577" s="93" t="str">
        <v>IT Equipment - General</v>
      </c>
    </row>
    <row r="578" spans="1:6" x14ac:dyDescent="0.25">
      <c r="A578" s="93" t="s">
        <v>922</v>
      </c>
      <c r="E578" s="93" t="s">
        <v>449</v>
      </c>
      <c r="F578" s="93" t="e">
        <v>#N/A</v>
      </c>
    </row>
    <row r="579" spans="1:6" x14ac:dyDescent="0.25">
      <c r="A579" s="93" t="s">
        <v>922</v>
      </c>
      <c r="E579" s="93" t="s">
        <v>470</v>
      </c>
      <c r="F579" s="93" t="str">
        <v>IT Equipment - General</v>
      </c>
    </row>
    <row r="580" spans="1:6" ht="37.5" x14ac:dyDescent="0.25">
      <c r="A580" s="93" t="s">
        <v>922</v>
      </c>
      <c r="E580" s="93" t="s">
        <v>617</v>
      </c>
      <c r="F580" s="93" t="str">
        <v>Ozone Steriliser</v>
      </c>
    </row>
    <row r="581" spans="1:6" x14ac:dyDescent="0.25">
      <c r="A581" s="93" t="s">
        <v>922</v>
      </c>
      <c r="E581" s="93" t="s">
        <v>616</v>
      </c>
      <c r="F581" s="93" t="str">
        <v>Ozone Steriliser</v>
      </c>
    </row>
    <row r="582" spans="1:6" x14ac:dyDescent="0.25">
      <c r="A582" s="93" t="s">
        <v>922</v>
      </c>
      <c r="E582" s="93" t="s">
        <v>615</v>
      </c>
      <c r="F582" s="93" t="str">
        <v>Ozone Steriliser</v>
      </c>
    </row>
    <row r="583" spans="1:6" x14ac:dyDescent="0.25">
      <c r="A583" s="93" t="s">
        <v>922</v>
      </c>
      <c r="E583" s="93" t="s">
        <v>175</v>
      </c>
      <c r="F583" s="93" t="str">
        <v>Ozone Steriliser</v>
      </c>
    </row>
    <row r="584" spans="1:6" x14ac:dyDescent="0.25">
      <c r="A584" s="93" t="s">
        <v>922</v>
      </c>
      <c r="E584" s="93" t="s">
        <v>139</v>
      </c>
      <c r="F584" s="93" t="str">
        <v>IT Equipment - ITBP</v>
      </c>
    </row>
    <row r="585" spans="1:6" x14ac:dyDescent="0.25">
      <c r="A585" s="93" t="s">
        <v>922</v>
      </c>
      <c r="E585" s="93" t="s">
        <v>177</v>
      </c>
      <c r="F585" s="93" t="str">
        <v>IT Equipment - ITBP</v>
      </c>
    </row>
    <row r="586" spans="1:6" x14ac:dyDescent="0.25">
      <c r="A586" s="93" t="s">
        <v>922</v>
      </c>
      <c r="E586" s="93" t="s">
        <v>455</v>
      </c>
      <c r="F586" s="93" t="str">
        <v>IT Equipment - General</v>
      </c>
    </row>
    <row r="587" spans="1:6" x14ac:dyDescent="0.25">
      <c r="A587" s="93" t="s">
        <v>922</v>
      </c>
      <c r="E587" s="93" t="s">
        <v>423</v>
      </c>
      <c r="F587" s="93" t="e">
        <v>#N/A</v>
      </c>
    </row>
    <row r="588" spans="1:6" x14ac:dyDescent="0.25">
      <c r="A588" s="93" t="s">
        <v>922</v>
      </c>
      <c r="E588" s="93" t="s">
        <v>426</v>
      </c>
      <c r="F588" s="93" t="str">
        <v>Ozone Steriliser</v>
      </c>
    </row>
    <row r="589" spans="1:6" x14ac:dyDescent="0.25">
      <c r="A589" s="93" t="s">
        <v>922</v>
      </c>
      <c r="E589" s="93" t="s">
        <v>443</v>
      </c>
      <c r="F589" s="93" t="str">
        <v>IT Equipment - General</v>
      </c>
    </row>
    <row r="590" spans="1:6" x14ac:dyDescent="0.25">
      <c r="A590" s="93" t="s">
        <v>922</v>
      </c>
      <c r="E590" s="93" t="s">
        <v>436</v>
      </c>
      <c r="F590" s="93" t="str">
        <v>High Pressure Washer</v>
      </c>
    </row>
    <row r="591" spans="1:6" x14ac:dyDescent="0.25">
      <c r="A591" s="93" t="s">
        <v>922</v>
      </c>
      <c r="E591" s="93" t="s">
        <v>445</v>
      </c>
      <c r="F591" s="93" t="e">
        <v>#N/A</v>
      </c>
    </row>
    <row r="592" spans="1:6" x14ac:dyDescent="0.25">
      <c r="A592" s="93" t="s">
        <v>922</v>
      </c>
      <c r="C592" s="93" t="s">
        <v>971</v>
      </c>
      <c r="E592" s="93" t="s">
        <v>447</v>
      </c>
      <c r="F592" s="93" t="e">
        <v>#N/A</v>
      </c>
    </row>
    <row r="593" spans="1:6" x14ac:dyDescent="0.25">
      <c r="A593" s="93" t="s">
        <v>922</v>
      </c>
      <c r="E593" s="93" t="s">
        <v>104</v>
      </c>
      <c r="F593" s="93" t="str">
        <v>IT Equipment - General</v>
      </c>
    </row>
    <row r="594" spans="1:6" x14ac:dyDescent="0.25">
      <c r="A594" s="93" t="s">
        <v>922</v>
      </c>
      <c r="E594" s="93" t="s">
        <v>1045</v>
      </c>
      <c r="F594" s="93" t="str">
        <v>Ozone Steriliser</v>
      </c>
    </row>
    <row r="595" spans="1:6" x14ac:dyDescent="0.25">
      <c r="A595" s="93" t="s">
        <v>922</v>
      </c>
      <c r="E595" s="93" t="s">
        <v>106</v>
      </c>
      <c r="F595" s="93" t="str">
        <v>Glycol</v>
      </c>
    </row>
    <row r="596" spans="1:6" x14ac:dyDescent="0.25">
      <c r="A596" s="93" t="s">
        <v>922</v>
      </c>
      <c r="E596" s="93" t="s">
        <v>135</v>
      </c>
      <c r="F596" s="93" t="e">
        <v>#N/A</v>
      </c>
    </row>
    <row r="597" spans="1:6" x14ac:dyDescent="0.25">
      <c r="A597" s="93" t="s">
        <v>922</v>
      </c>
      <c r="C597" s="93" t="s">
        <v>972</v>
      </c>
      <c r="E597" s="93" t="s">
        <v>440</v>
      </c>
      <c r="F597" s="93" t="str">
        <v>LOTO Stickers</v>
      </c>
    </row>
    <row r="598" spans="1:6" x14ac:dyDescent="0.25">
      <c r="A598" s="93" t="s">
        <v>922</v>
      </c>
      <c r="C598" s="93" t="s">
        <v>973</v>
      </c>
      <c r="E598" s="93" t="s">
        <v>441</v>
      </c>
      <c r="F598" s="93" t="str">
        <v>IT Equipment - General</v>
      </c>
    </row>
    <row r="599" spans="1:6" x14ac:dyDescent="0.25">
      <c r="A599" s="93" t="s">
        <v>922</v>
      </c>
      <c r="C599" s="93" t="s">
        <v>974</v>
      </c>
      <c r="E599" s="93" t="s">
        <v>442</v>
      </c>
      <c r="F599" s="93" t="e">
        <v>#N/A</v>
      </c>
    </row>
    <row r="600" spans="1:6" x14ac:dyDescent="0.25">
      <c r="A600" s="93" t="s">
        <v>922</v>
      </c>
      <c r="E600" s="93" t="s">
        <v>446</v>
      </c>
      <c r="F600" s="93" t="e">
        <v>#N/A</v>
      </c>
    </row>
    <row r="601" spans="1:6" x14ac:dyDescent="0.25">
      <c r="A601" s="93" t="s">
        <v>922</v>
      </c>
      <c r="C601" s="93" t="s">
        <v>975</v>
      </c>
      <c r="E601" s="93" t="s">
        <v>662</v>
      </c>
      <c r="F601" s="93" t="str">
        <v>IT Equipment - General</v>
      </c>
    </row>
    <row r="602" spans="1:6" x14ac:dyDescent="0.25">
      <c r="A602" s="93" t="s">
        <v>922</v>
      </c>
      <c r="C602" s="93" t="s">
        <v>975</v>
      </c>
      <c r="E602" s="93" t="s">
        <v>663</v>
      </c>
      <c r="F602" s="93" t="str">
        <v>Ozone Steriliser</v>
      </c>
    </row>
    <row r="603" spans="1:6" x14ac:dyDescent="0.25">
      <c r="A603" s="93" t="s">
        <v>922</v>
      </c>
      <c r="E603" s="93" t="s">
        <v>134</v>
      </c>
      <c r="F603" s="93" t="str">
        <v>IT Equipment - ITBP</v>
      </c>
    </row>
    <row r="604" spans="1:6" x14ac:dyDescent="0.25">
      <c r="A604" s="93" t="s">
        <v>922</v>
      </c>
      <c r="E604" s="93" t="s">
        <v>598</v>
      </c>
      <c r="F604" s="93" t="str">
        <v>Ozone Steriliser</v>
      </c>
    </row>
    <row r="605" spans="1:6" x14ac:dyDescent="0.25">
      <c r="A605" s="93" t="s">
        <v>922</v>
      </c>
      <c r="E605" s="93" t="s">
        <v>599</v>
      </c>
      <c r="F605" s="93" t="str">
        <v>Ozone Steriliser</v>
      </c>
    </row>
    <row r="606" spans="1:6" x14ac:dyDescent="0.25">
      <c r="A606" s="93" t="s">
        <v>922</v>
      </c>
      <c r="E606" s="93" t="s">
        <v>600</v>
      </c>
      <c r="F606" s="93" t="str">
        <v>Crew Welfare - Refrigerators</v>
      </c>
    </row>
    <row r="607" spans="1:6" x14ac:dyDescent="0.25">
      <c r="A607" s="93" t="s">
        <v>922</v>
      </c>
      <c r="E607" s="93" t="s">
        <v>976</v>
      </c>
      <c r="F607" s="93" t="e">
        <v>#N/A</v>
      </c>
    </row>
    <row r="608" spans="1:6" x14ac:dyDescent="0.25">
      <c r="A608" s="93" t="s">
        <v>922</v>
      </c>
      <c r="E608" s="93" t="s">
        <v>977</v>
      </c>
      <c r="F608" s="93" t="str">
        <v>IT Equipment - ITBP</v>
      </c>
    </row>
    <row r="609" spans="1:6" x14ac:dyDescent="0.25">
      <c r="A609" s="93" t="s">
        <v>922</v>
      </c>
      <c r="E609" s="93" t="s">
        <v>978</v>
      </c>
      <c r="F609" s="93" t="str">
        <v>Ozone Steriliser</v>
      </c>
    </row>
    <row r="610" spans="1:6" x14ac:dyDescent="0.25">
      <c r="A610" s="93" t="s">
        <v>922</v>
      </c>
      <c r="E610" s="93" t="s">
        <v>979</v>
      </c>
      <c r="F610" s="93" t="str">
        <v>High Pressure Washer</v>
      </c>
    </row>
    <row r="611" spans="1:6" x14ac:dyDescent="0.25">
      <c r="A611" s="93" t="s">
        <v>922</v>
      </c>
      <c r="E611" s="93" t="s">
        <v>980</v>
      </c>
      <c r="F611" s="93" t="e">
        <v>#N/A</v>
      </c>
    </row>
    <row r="612" spans="1:6" x14ac:dyDescent="0.25">
      <c r="A612" s="93" t="s">
        <v>922</v>
      </c>
      <c r="E612" s="93" t="s">
        <v>981</v>
      </c>
      <c r="F612" s="93" t="str">
        <v>Ozone Steriliser</v>
      </c>
    </row>
    <row r="613" spans="1:6" x14ac:dyDescent="0.25">
      <c r="A613" s="93" t="s">
        <v>922</v>
      </c>
      <c r="E613" s="93" t="s">
        <v>982</v>
      </c>
      <c r="F613" s="93" t="e">
        <v>#N/A</v>
      </c>
    </row>
    <row r="614" spans="1:6" x14ac:dyDescent="0.25">
      <c r="A614" s="93" t="s">
        <v>922</v>
      </c>
      <c r="E614" s="93" t="s">
        <v>1046</v>
      </c>
      <c r="F614" s="93" t="e">
        <v>#N/A</v>
      </c>
    </row>
    <row r="615" spans="1:6" x14ac:dyDescent="0.25">
      <c r="A615" s="93" t="s">
        <v>922</v>
      </c>
      <c r="E615" s="93" t="s">
        <v>641</v>
      </c>
      <c r="F615" s="93" t="str">
        <v>Crew Welfare - Refrigerators</v>
      </c>
    </row>
    <row r="616" spans="1:6" x14ac:dyDescent="0.25">
      <c r="A616" s="93" t="s">
        <v>922</v>
      </c>
      <c r="E616" s="93" t="s">
        <v>896</v>
      </c>
      <c r="F616" s="93" t="str">
        <v>IT Equipment - General</v>
      </c>
    </row>
    <row r="617" spans="1:6" x14ac:dyDescent="0.25">
      <c r="A617" s="93" t="s">
        <v>922</v>
      </c>
      <c r="E617" s="93" t="s">
        <v>983</v>
      </c>
      <c r="F617" s="93" t="str">
        <v>IT Equipment - ITBP</v>
      </c>
    </row>
    <row r="618" spans="1:6" x14ac:dyDescent="0.25">
      <c r="A618" s="93" t="s">
        <v>922</v>
      </c>
      <c r="E618" s="93" t="s">
        <v>984</v>
      </c>
      <c r="F618" s="93" t="str">
        <v>IT Equipment - General</v>
      </c>
    </row>
    <row r="619" spans="1:6" x14ac:dyDescent="0.25">
      <c r="A619" s="93" t="s">
        <v>922</v>
      </c>
      <c r="E619" s="93" t="s">
        <v>985</v>
      </c>
      <c r="F619" s="93" t="str">
        <v>IT Equipment - General</v>
      </c>
    </row>
    <row r="620" spans="1:6" x14ac:dyDescent="0.25">
      <c r="A620" s="93" t="s">
        <v>922</v>
      </c>
      <c r="E620" s="93" t="s">
        <v>1047</v>
      </c>
      <c r="F620" s="93" t="str">
        <v>IT Equipment - ITBP</v>
      </c>
    </row>
    <row r="621" spans="1:6" x14ac:dyDescent="0.25">
      <c r="A621" s="93" t="s">
        <v>922</v>
      </c>
      <c r="E621" s="93" t="s">
        <v>986</v>
      </c>
      <c r="F621" s="93" t="str">
        <v>IT Equipment - ITBP</v>
      </c>
    </row>
    <row r="622" spans="1:6" x14ac:dyDescent="0.25">
      <c r="A622" s="93" t="s">
        <v>922</v>
      </c>
      <c r="E622" s="93" t="s">
        <v>987</v>
      </c>
      <c r="F622" s="93" t="str">
        <v>High Pressure Washer</v>
      </c>
    </row>
    <row r="623" spans="1:6" x14ac:dyDescent="0.25">
      <c r="A623" s="93" t="s">
        <v>922</v>
      </c>
      <c r="E623" s="93" t="s">
        <v>988</v>
      </c>
      <c r="F623" s="93" t="str">
        <v>Ozone Steriliser</v>
      </c>
    </row>
    <row r="624" spans="1:6" x14ac:dyDescent="0.25">
      <c r="A624" s="93" t="s">
        <v>922</v>
      </c>
      <c r="E624" s="93" t="s">
        <v>989</v>
      </c>
      <c r="F624" s="93" t="str">
        <v>IT Equipment - General</v>
      </c>
    </row>
    <row r="625" spans="1:6" x14ac:dyDescent="0.25">
      <c r="A625" s="93" t="s">
        <v>922</v>
      </c>
      <c r="E625" s="93" t="s">
        <v>1048</v>
      </c>
      <c r="F625" s="93" t="str">
        <v>IT Equipment - ITBP</v>
      </c>
    </row>
    <row r="626" spans="1:6" x14ac:dyDescent="0.25">
      <c r="A626" s="93" t="s">
        <v>922</v>
      </c>
      <c r="C626" s="93" t="s">
        <v>990</v>
      </c>
      <c r="E626" s="93" t="s">
        <v>991</v>
      </c>
      <c r="F626" s="93" t="str">
        <v>IMPA Stores - Company Stationery</v>
      </c>
    </row>
    <row r="627" spans="1:6" x14ac:dyDescent="0.25">
      <c r="A627" s="93" t="s">
        <v>922</v>
      </c>
      <c r="E627" s="93" t="s">
        <v>992</v>
      </c>
      <c r="F627" s="93" t="str">
        <v>IT Equipment - General</v>
      </c>
    </row>
    <row r="628" spans="1:6" x14ac:dyDescent="0.25">
      <c r="A628" s="93" t="s">
        <v>922</v>
      </c>
      <c r="E628" s="93" t="s">
        <v>993</v>
      </c>
      <c r="F628" s="93" t="str">
        <v>High Pressure Washer</v>
      </c>
    </row>
    <row r="629" spans="1:6" x14ac:dyDescent="0.25">
      <c r="A629" s="93" t="s">
        <v>922</v>
      </c>
      <c r="E629" s="93" t="s">
        <v>994</v>
      </c>
      <c r="F629" s="93" t="str">
        <v>Crew Welfare - Refrigerators</v>
      </c>
    </row>
    <row r="630" spans="1:6" x14ac:dyDescent="0.25">
      <c r="A630" s="93" t="s">
        <v>922</v>
      </c>
      <c r="E630" s="93" t="s">
        <v>995</v>
      </c>
      <c r="F630" s="93" t="str">
        <v>IT Equipment - General</v>
      </c>
    </row>
    <row r="631" spans="1:6" x14ac:dyDescent="0.25">
      <c r="A631" s="93" t="s">
        <v>922</v>
      </c>
      <c r="E631" s="93" t="s">
        <v>996</v>
      </c>
      <c r="F631" s="93" t="str">
        <v>IT Equipment - General</v>
      </c>
    </row>
    <row r="632" spans="1:6" x14ac:dyDescent="0.25">
      <c r="A632" s="93" t="s">
        <v>922</v>
      </c>
      <c r="E632" s="93" t="s">
        <v>997</v>
      </c>
      <c r="F632" s="93" t="str">
        <v>IT Equipment - General</v>
      </c>
    </row>
    <row r="633" spans="1:6" x14ac:dyDescent="0.25">
      <c r="A633" s="93" t="s">
        <v>922</v>
      </c>
      <c r="E633" s="93" t="s">
        <v>998</v>
      </c>
      <c r="F633" s="93" t="str">
        <v>IMPA Stores - Company Stationery</v>
      </c>
    </row>
    <row r="634" spans="1:6" x14ac:dyDescent="0.25">
      <c r="A634" s="93" t="s">
        <v>922</v>
      </c>
      <c r="E634" s="93" t="s">
        <v>999</v>
      </c>
      <c r="F634" s="93" t="str">
        <v>High Pressure Washer</v>
      </c>
    </row>
    <row r="635" spans="1:6" ht="37.5" x14ac:dyDescent="0.25">
      <c r="A635" s="93" t="s">
        <v>922</v>
      </c>
      <c r="E635" s="93" t="s">
        <v>1000</v>
      </c>
      <c r="F635" s="93" t="e">
        <v>#N/A</v>
      </c>
    </row>
    <row r="636" spans="1:6" x14ac:dyDescent="0.25">
      <c r="A636" s="93" t="s">
        <v>922</v>
      </c>
      <c r="E636" s="93" t="s">
        <v>1001</v>
      </c>
      <c r="F636" s="93" t="str">
        <v>Crew Welfare - Refrigerators</v>
      </c>
    </row>
    <row r="637" spans="1:6" x14ac:dyDescent="0.25">
      <c r="A637" s="93" t="s">
        <v>922</v>
      </c>
      <c r="E637" s="93" t="s">
        <v>1002</v>
      </c>
      <c r="F637" s="93" t="str">
        <v>Crew Welfare - Refrigerators</v>
      </c>
    </row>
    <row r="638" spans="1:6" x14ac:dyDescent="0.25">
      <c r="A638" s="93" t="s">
        <v>922</v>
      </c>
      <c r="E638" s="93" t="s">
        <v>1003</v>
      </c>
      <c r="F638" s="93" t="e">
        <v>#N/A</v>
      </c>
    </row>
    <row r="639" spans="1:6" ht="37.5" x14ac:dyDescent="0.25">
      <c r="A639" s="93" t="s">
        <v>922</v>
      </c>
      <c r="E639" s="93" t="s">
        <v>1004</v>
      </c>
      <c r="F639" s="93" t="str">
        <v>IT Equipment - ITBP</v>
      </c>
    </row>
    <row r="640" spans="1:6" x14ac:dyDescent="0.25">
      <c r="A640" s="93" t="s">
        <v>922</v>
      </c>
      <c r="E640" s="93" t="s">
        <v>1005</v>
      </c>
      <c r="F640" s="93" t="str">
        <v>IT Equipment - General</v>
      </c>
    </row>
    <row r="641" spans="1:6" x14ac:dyDescent="0.25">
      <c r="A641" s="93" t="s">
        <v>922</v>
      </c>
      <c r="E641" s="93" t="s">
        <v>1006</v>
      </c>
      <c r="F641" s="93" t="str">
        <v>Ozone Steriliser</v>
      </c>
    </row>
    <row r="642" spans="1:6" ht="56.25" x14ac:dyDescent="0.25">
      <c r="A642" s="93" t="s">
        <v>922</v>
      </c>
      <c r="E642" s="93" t="s">
        <v>1007</v>
      </c>
      <c r="F642" s="93" t="str">
        <v>Ozone Steriliser</v>
      </c>
    </row>
    <row r="643" spans="1:6" ht="37.5" x14ac:dyDescent="0.25">
      <c r="A643" s="93" t="s">
        <v>922</v>
      </c>
      <c r="E643" s="93" t="s">
        <v>1008</v>
      </c>
      <c r="F643" s="93" t="e">
        <v>#N/A</v>
      </c>
    </row>
    <row r="644" spans="1:6" x14ac:dyDescent="0.25">
      <c r="A644" s="93" t="s">
        <v>922</v>
      </c>
      <c r="E644" s="93" t="s">
        <v>1009</v>
      </c>
      <c r="F644" s="93" t="e">
        <v>#N/A</v>
      </c>
    </row>
    <row r="645" spans="1:6" x14ac:dyDescent="0.25">
      <c r="A645" s="93" t="s">
        <v>922</v>
      </c>
      <c r="E645" s="93" t="s">
        <v>1010</v>
      </c>
      <c r="F645" s="93" t="e">
        <v>#N/A</v>
      </c>
    </row>
    <row r="646" spans="1:6" x14ac:dyDescent="0.25">
      <c r="A646" s="93" t="s">
        <v>922</v>
      </c>
      <c r="E646" s="93" t="s">
        <v>1011</v>
      </c>
      <c r="F646" s="93" t="e">
        <v>#N/A</v>
      </c>
    </row>
    <row r="647" spans="1:6" ht="37.5" x14ac:dyDescent="0.25">
      <c r="A647" s="93" t="s">
        <v>922</v>
      </c>
      <c r="E647" s="93" t="s">
        <v>1012</v>
      </c>
      <c r="F647" s="93" t="str">
        <v>High Pressure Washer</v>
      </c>
    </row>
    <row r="648" spans="1:6" x14ac:dyDescent="0.25">
      <c r="A648" s="93" t="s">
        <v>922</v>
      </c>
      <c r="E648" s="93" t="s">
        <v>1013</v>
      </c>
      <c r="F648" s="93" t="e">
        <v>#N/A</v>
      </c>
    </row>
    <row r="649" spans="1:6" ht="37.5" x14ac:dyDescent="0.25">
      <c r="A649" s="93" t="s">
        <v>922</v>
      </c>
      <c r="E649" s="93" t="s">
        <v>1014</v>
      </c>
      <c r="F649" s="93" t="e">
        <v>#N/A</v>
      </c>
    </row>
    <row r="650" spans="1:6" ht="37.5" x14ac:dyDescent="0.25">
      <c r="A650" s="93" t="s">
        <v>922</v>
      </c>
      <c r="E650" s="93" t="s">
        <v>1015</v>
      </c>
      <c r="F650" s="93" t="e">
        <v>#N/A</v>
      </c>
    </row>
    <row r="651" spans="1:6" ht="37.5" x14ac:dyDescent="0.25">
      <c r="A651" s="93" t="s">
        <v>922</v>
      </c>
      <c r="E651" s="93" t="s">
        <v>1016</v>
      </c>
      <c r="F651" s="93" t="e">
        <v>#N/A</v>
      </c>
    </row>
    <row r="652" spans="1:6" x14ac:dyDescent="0.25">
      <c r="A652" s="93" t="s">
        <v>922</v>
      </c>
      <c r="E652" s="93" t="s">
        <v>1017</v>
      </c>
      <c r="F652" s="93" t="str">
        <v>Ozone Steriliser</v>
      </c>
    </row>
    <row r="653" spans="1:6" ht="56.25" x14ac:dyDescent="0.25">
      <c r="A653" s="93" t="s">
        <v>922</v>
      </c>
      <c r="E653" s="93" t="s">
        <v>1018</v>
      </c>
      <c r="F653" s="93" t="e">
        <v>#N/A</v>
      </c>
    </row>
    <row r="654" spans="1:6" ht="37.5" x14ac:dyDescent="0.25">
      <c r="A654" s="93" t="s">
        <v>922</v>
      </c>
      <c r="E654" s="93" t="s">
        <v>1019</v>
      </c>
      <c r="F654" s="93" t="e">
        <v>#N/A</v>
      </c>
    </row>
    <row r="655" spans="1:6" ht="37.5" x14ac:dyDescent="0.25">
      <c r="A655" s="93" t="s">
        <v>922</v>
      </c>
      <c r="E655" s="93" t="s">
        <v>1020</v>
      </c>
      <c r="F655" s="93" t="str">
        <v>IT Equipment - General</v>
      </c>
    </row>
    <row r="656" spans="1:6" x14ac:dyDescent="0.25">
      <c r="A656" s="93" t="s">
        <v>922</v>
      </c>
      <c r="E656" s="93" t="s">
        <v>1021</v>
      </c>
      <c r="F656" s="93" t="str">
        <v>IT Equipment - General</v>
      </c>
    </row>
    <row r="657" spans="1:6" x14ac:dyDescent="0.25">
      <c r="A657" s="93" t="s">
        <v>922</v>
      </c>
      <c r="E657" s="93" t="s">
        <v>1022</v>
      </c>
      <c r="F657" s="93" t="str">
        <v>High Pressure Washer</v>
      </c>
    </row>
    <row r="658" spans="1:6" ht="37.5" x14ac:dyDescent="0.25">
      <c r="A658" s="93" t="s">
        <v>922</v>
      </c>
      <c r="E658" s="93" t="s">
        <v>1023</v>
      </c>
      <c r="F658" s="93" t="str">
        <v>IT Equipment - ITBP</v>
      </c>
    </row>
    <row r="659" spans="1:6" x14ac:dyDescent="0.25">
      <c r="A659" s="93" t="s">
        <v>922</v>
      </c>
      <c r="E659" s="93" t="s">
        <v>1024</v>
      </c>
      <c r="F659" s="93" t="e">
        <v>#N/A</v>
      </c>
    </row>
    <row r="660" spans="1:6" ht="37.5" x14ac:dyDescent="0.25">
      <c r="A660" s="93" t="s">
        <v>922</v>
      </c>
      <c r="E660" s="93" t="s">
        <v>1025</v>
      </c>
      <c r="F660" s="93" t="e">
        <v>#N/A</v>
      </c>
    </row>
    <row r="661" spans="1:6" x14ac:dyDescent="0.25">
      <c r="A661" s="93" t="s">
        <v>922</v>
      </c>
      <c r="E661" s="93" t="s">
        <v>1026</v>
      </c>
      <c r="F661" s="93" t="e">
        <v>#N/A</v>
      </c>
    </row>
    <row r="662" spans="1:6" x14ac:dyDescent="0.25">
      <c r="A662" s="93" t="s">
        <v>922</v>
      </c>
      <c r="E662" s="93" t="s">
        <v>1027</v>
      </c>
      <c r="F662" s="93" t="str">
        <v>IT Equipment - General</v>
      </c>
    </row>
    <row r="663" spans="1:6" x14ac:dyDescent="0.25">
      <c r="A663" s="93" t="s">
        <v>922</v>
      </c>
      <c r="E663" s="93" t="s">
        <v>1028</v>
      </c>
      <c r="F663" s="93" t="str">
        <v>IT Equipment - General</v>
      </c>
    </row>
    <row r="664" spans="1:6" ht="37.5" x14ac:dyDescent="0.25">
      <c r="A664" s="93" t="s">
        <v>922</v>
      </c>
      <c r="E664" s="93" t="s">
        <v>1029</v>
      </c>
      <c r="F664" s="93" t="str">
        <v>Crew Welfare - Refrigerators</v>
      </c>
    </row>
    <row r="665" spans="1:6" ht="37.5" x14ac:dyDescent="0.25">
      <c r="A665" s="93" t="s">
        <v>922</v>
      </c>
      <c r="E665" s="93" t="s">
        <v>1030</v>
      </c>
      <c r="F665" s="93" t="e">
        <v>#N/A</v>
      </c>
    </row>
    <row r="666" spans="1:6" x14ac:dyDescent="0.25">
      <c r="A666" s="93" t="s">
        <v>922</v>
      </c>
      <c r="E666" s="93" t="s">
        <v>1031</v>
      </c>
      <c r="F666" s="93" t="str">
        <v>Crew Welfare - Refrigerators</v>
      </c>
    </row>
    <row r="667" spans="1:6" x14ac:dyDescent="0.25">
      <c r="A667" s="93" t="s">
        <v>922</v>
      </c>
      <c r="E667" s="93" t="s">
        <v>1032</v>
      </c>
      <c r="F667" s="93" t="str">
        <v>IMPA Stores - Company Stationery</v>
      </c>
    </row>
    <row r="668" spans="1:6" x14ac:dyDescent="0.25">
      <c r="A668" s="93" t="s">
        <v>922</v>
      </c>
      <c r="E668" s="93" t="s">
        <v>1033</v>
      </c>
      <c r="F668" s="93" t="e">
        <v>#N/A</v>
      </c>
    </row>
    <row r="669" spans="1:6" x14ac:dyDescent="0.25">
      <c r="A669" s="93" t="s">
        <v>922</v>
      </c>
      <c r="E669" s="93" t="s">
        <v>1034</v>
      </c>
      <c r="F669" s="93" t="e">
        <v>#N/A</v>
      </c>
    </row>
    <row r="670" spans="1:6" x14ac:dyDescent="0.25">
      <c r="A670" s="93" t="s">
        <v>922</v>
      </c>
      <c r="E670" s="93" t="s">
        <v>1035</v>
      </c>
      <c r="F670" s="93" t="e">
        <v>#N/A</v>
      </c>
    </row>
    <row r="671" spans="1:6" x14ac:dyDescent="0.25">
      <c r="A671" s="93" t="s">
        <v>922</v>
      </c>
      <c r="E671" s="93" t="s">
        <v>1036</v>
      </c>
      <c r="F671" s="93" t="str">
        <v>Ozone Steriliser</v>
      </c>
    </row>
    <row r="672" spans="1:6" ht="56.25" x14ac:dyDescent="0.25">
      <c r="A672" s="93" t="s">
        <v>922</v>
      </c>
      <c r="E672" s="93" t="s">
        <v>1037</v>
      </c>
      <c r="F672" s="93" t="str">
        <v>Ozone Steriliser</v>
      </c>
    </row>
    <row r="673" spans="1:15" x14ac:dyDescent="0.25">
      <c r="A673" s="93" t="s">
        <v>922</v>
      </c>
      <c r="E673" s="93" t="s">
        <v>1038</v>
      </c>
      <c r="F673" s="93" t="str">
        <v>Crew Welfare - Refrigerators</v>
      </c>
    </row>
    <row r="674" spans="1:15" ht="37.5" x14ac:dyDescent="0.25">
      <c r="A674" s="93" t="s">
        <v>922</v>
      </c>
      <c r="E674" s="93" t="s">
        <v>1039</v>
      </c>
      <c r="F674" s="93" t="str">
        <v>Ozone Steriliser</v>
      </c>
    </row>
    <row r="675" spans="1:15" ht="37.5" x14ac:dyDescent="0.25">
      <c r="A675" s="93" t="s">
        <v>922</v>
      </c>
      <c r="E675" s="93" t="s">
        <v>1040</v>
      </c>
      <c r="F675" s="93" t="e">
        <v>#N/A</v>
      </c>
    </row>
    <row r="676" spans="1:15" ht="37.5" x14ac:dyDescent="0.25">
      <c r="A676" s="93" t="s">
        <v>922</v>
      </c>
      <c r="E676" s="93" t="s">
        <v>1041</v>
      </c>
      <c r="F676" s="93" t="e">
        <v>#N/A</v>
      </c>
    </row>
    <row r="687" spans="1:15" x14ac:dyDescent="0.25">
      <c r="O687"/>
    </row>
    <row r="688" spans="1:15" x14ac:dyDescent="0.25">
      <c r="O688"/>
    </row>
    <row r="689" spans="15:15" x14ac:dyDescent="0.25">
      <c r="O689"/>
    </row>
    <row r="690" spans="15:15" x14ac:dyDescent="0.25">
      <c r="O690"/>
    </row>
    <row r="691" spans="15:15" x14ac:dyDescent="0.25">
      <c r="O691"/>
    </row>
  </sheetData>
  <autoFilter ref="A5:P676" xr:uid="{F7952109-3FF3-45C2-82BC-9E5EA3A71184}"/>
  <dataConsolidate/>
  <phoneticPr fontId="23" type="noConversion"/>
  <dataValidations disablePrompts="1" count="1">
    <dataValidation type="list" allowBlank="1" showInputMessage="1" showErrorMessage="1" sqref="P6:P524" xr:uid="{870DBA24-FAE1-4119-83AB-C9F93F113478}">
      <formula1>$R$1:$R$4</formula1>
    </dataValidation>
  </dataValidation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D243E-8F1A-4E69-98D5-E1F7CC76D945}">
  <sheetPr>
    <tabColor theme="9"/>
  </sheetPr>
  <dimension ref="B2:U208"/>
  <sheetViews>
    <sheetView topLeftCell="A10" zoomScale="84" zoomScaleNormal="84" workbookViewId="0">
      <selection activeCell="H18" sqref="H18"/>
    </sheetView>
  </sheetViews>
  <sheetFormatPr defaultRowHeight="15" x14ac:dyDescent="0.25"/>
  <cols>
    <col min="2" max="2" width="82.5703125" bestFit="1" customWidth="1"/>
    <col min="3" max="3" width="19.140625" bestFit="1" customWidth="1"/>
    <col min="4" max="4" width="17" bestFit="1" customWidth="1"/>
    <col min="5" max="5" width="10.5703125" bestFit="1" customWidth="1"/>
    <col min="6" max="6" width="12" bestFit="1" customWidth="1"/>
    <col min="7" max="7" width="11.5703125" bestFit="1" customWidth="1"/>
    <col min="8" max="8" width="15.7109375" bestFit="1" customWidth="1"/>
    <col min="9" max="9" width="7.28515625" bestFit="1" customWidth="1"/>
    <col min="10" max="11" width="11.7109375" bestFit="1" customWidth="1"/>
  </cols>
  <sheetData>
    <row r="2" spans="2:21" ht="15" customHeight="1" x14ac:dyDescent="0.25">
      <c r="B2" s="139" t="s">
        <v>1053</v>
      </c>
      <c r="C2" s="139"/>
      <c r="D2" s="139"/>
      <c r="E2" s="139"/>
      <c r="F2" s="139"/>
      <c r="G2" s="139"/>
      <c r="H2" s="139"/>
      <c r="I2" s="139"/>
      <c r="J2" s="139"/>
    </row>
    <row r="3" spans="2:21" x14ac:dyDescent="0.25">
      <c r="B3" s="139"/>
      <c r="C3" s="139"/>
      <c r="D3" s="139"/>
      <c r="E3" s="139"/>
      <c r="F3" s="139"/>
      <c r="G3" s="139"/>
      <c r="H3" s="139"/>
      <c r="I3" s="139"/>
      <c r="J3" s="139"/>
    </row>
    <row r="4" spans="2:21" ht="15" customHeight="1" x14ac:dyDescent="0.25">
      <c r="B4" s="139"/>
      <c r="C4" s="139"/>
      <c r="D4" s="139"/>
      <c r="E4" s="139"/>
      <c r="F4" s="139"/>
      <c r="G4" s="139"/>
      <c r="H4" s="139"/>
      <c r="I4" s="139"/>
      <c r="J4" s="139"/>
    </row>
    <row r="5" spans="2:21" x14ac:dyDescent="0.25">
      <c r="B5" s="139"/>
      <c r="C5" s="139"/>
      <c r="D5" s="139"/>
      <c r="E5" s="139"/>
      <c r="F5" s="139"/>
      <c r="G5" s="139"/>
      <c r="H5" s="139"/>
      <c r="I5" s="139"/>
      <c r="J5" s="139"/>
    </row>
    <row r="6" spans="2:21" s="141" customFormat="1" x14ac:dyDescent="0.25">
      <c r="B6" s="140"/>
      <c r="C6" s="140"/>
      <c r="D6" s="140"/>
      <c r="E6" s="140"/>
      <c r="F6" s="140"/>
      <c r="G6" s="140"/>
      <c r="H6" s="140"/>
      <c r="I6" s="140"/>
      <c r="J6" s="140"/>
    </row>
    <row r="7" spans="2:21" s="141" customFormat="1" x14ac:dyDescent="0.25">
      <c r="B7" s="140"/>
      <c r="C7" s="140"/>
      <c r="D7" s="140"/>
      <c r="E7" s="140"/>
      <c r="F7" s="140"/>
      <c r="G7" s="140"/>
      <c r="H7" s="140"/>
      <c r="I7" s="140"/>
      <c r="J7" s="140"/>
    </row>
    <row r="8" spans="2:21" s="141" customFormat="1" x14ac:dyDescent="0.25">
      <c r="B8" s="140"/>
      <c r="C8" s="140"/>
      <c r="D8" s="140"/>
      <c r="E8" s="140"/>
      <c r="F8" s="140"/>
      <c r="G8" s="140"/>
      <c r="H8" s="140"/>
      <c r="I8" s="140"/>
      <c r="J8" s="140"/>
    </row>
    <row r="9" spans="2:21" s="141" customFormat="1" x14ac:dyDescent="0.25">
      <c r="B9" s="140"/>
      <c r="C9" s="140"/>
      <c r="D9" s="140"/>
      <c r="E9" s="140"/>
      <c r="F9" s="140"/>
      <c r="G9" s="140"/>
      <c r="H9" s="140"/>
      <c r="I9" s="140"/>
      <c r="J9" s="140"/>
    </row>
    <row r="10" spans="2:21" x14ac:dyDescent="0.25">
      <c r="B10" s="112" t="s">
        <v>809</v>
      </c>
      <c r="C10" t="s">
        <v>1054</v>
      </c>
    </row>
    <row r="11" spans="2:21" ht="15" customHeight="1" x14ac:dyDescent="0.25"/>
    <row r="12" spans="2:21" x14ac:dyDescent="0.25">
      <c r="B12" s="112" t="s">
        <v>921</v>
      </c>
      <c r="C12" s="112" t="s">
        <v>830</v>
      </c>
      <c r="M12" s="134"/>
      <c r="N12" s="134"/>
      <c r="O12" s="134"/>
      <c r="P12" s="134"/>
      <c r="Q12" s="134"/>
      <c r="R12" s="134"/>
      <c r="S12" s="134"/>
      <c r="T12" s="134"/>
      <c r="U12" s="134"/>
    </row>
    <row r="13" spans="2:21" x14ac:dyDescent="0.25">
      <c r="B13" s="112" t="s">
        <v>827</v>
      </c>
      <c r="C13" t="s">
        <v>398</v>
      </c>
      <c r="D13" t="s">
        <v>821</v>
      </c>
      <c r="E13" t="s">
        <v>186</v>
      </c>
      <c r="F13" t="s">
        <v>236</v>
      </c>
      <c r="G13" t="s">
        <v>266</v>
      </c>
      <c r="H13" t="s">
        <v>819</v>
      </c>
      <c r="I13" t="s">
        <v>1052</v>
      </c>
      <c r="J13" t="s">
        <v>828</v>
      </c>
      <c r="M13" s="134"/>
      <c r="N13" s="134"/>
      <c r="O13" s="134"/>
      <c r="P13" s="134"/>
      <c r="Q13" s="134"/>
      <c r="R13" s="134"/>
      <c r="S13" s="134"/>
      <c r="T13" s="134"/>
      <c r="U13" s="134"/>
    </row>
    <row r="14" spans="2:21" x14ac:dyDescent="0.25">
      <c r="B14" s="132" t="s">
        <v>158</v>
      </c>
      <c r="C14" s="133">
        <v>0</v>
      </c>
      <c r="D14" s="133">
        <v>1057357</v>
      </c>
      <c r="E14" s="133">
        <v>0</v>
      </c>
      <c r="F14" s="133">
        <v>0</v>
      </c>
      <c r="G14" s="133">
        <v>0</v>
      </c>
      <c r="H14" s="133">
        <v>0</v>
      </c>
      <c r="I14" s="133"/>
      <c r="J14" s="133">
        <v>1057357</v>
      </c>
      <c r="M14" s="134"/>
      <c r="N14" s="134"/>
      <c r="O14" s="134"/>
      <c r="P14" s="134"/>
      <c r="Q14" s="134"/>
      <c r="R14" s="134"/>
      <c r="S14" s="134"/>
      <c r="T14" s="134"/>
      <c r="U14" s="134"/>
    </row>
    <row r="15" spans="2:21" x14ac:dyDescent="0.25">
      <c r="B15" s="113" t="s">
        <v>449</v>
      </c>
      <c r="C15" s="114"/>
      <c r="D15" s="114">
        <v>0</v>
      </c>
      <c r="E15" s="114"/>
      <c r="F15" s="114"/>
      <c r="G15" s="114"/>
      <c r="H15" s="114"/>
      <c r="I15" s="114"/>
      <c r="J15" s="114">
        <v>0</v>
      </c>
    </row>
    <row r="16" spans="2:21" x14ac:dyDescent="0.25">
      <c r="B16" s="115" t="s">
        <v>829</v>
      </c>
      <c r="C16" s="114"/>
      <c r="D16" s="114">
        <v>0</v>
      </c>
      <c r="E16" s="114"/>
      <c r="F16" s="114"/>
      <c r="G16" s="114"/>
      <c r="H16" s="114"/>
      <c r="I16" s="114"/>
      <c r="J16" s="114">
        <v>0</v>
      </c>
    </row>
    <row r="17" spans="2:10" x14ac:dyDescent="0.25">
      <c r="B17" s="113" t="s">
        <v>421</v>
      </c>
      <c r="C17" s="114"/>
      <c r="D17" s="114"/>
      <c r="E17" s="114">
        <v>0</v>
      </c>
      <c r="F17" s="114"/>
      <c r="G17" s="114"/>
      <c r="H17" s="114"/>
      <c r="I17" s="114"/>
      <c r="J17" s="114">
        <v>0</v>
      </c>
    </row>
    <row r="18" spans="2:10" x14ac:dyDescent="0.25">
      <c r="B18" s="115" t="s">
        <v>822</v>
      </c>
      <c r="C18" s="114"/>
      <c r="D18" s="114"/>
      <c r="E18" s="114">
        <v>0</v>
      </c>
      <c r="F18" s="114"/>
      <c r="G18" s="114"/>
      <c r="H18" s="114"/>
      <c r="I18" s="114"/>
      <c r="J18" s="114">
        <v>0</v>
      </c>
    </row>
    <row r="19" spans="2:10" x14ac:dyDescent="0.25">
      <c r="B19" s="113" t="s">
        <v>422</v>
      </c>
      <c r="C19" s="114"/>
      <c r="D19" s="114"/>
      <c r="E19" s="114">
        <v>0</v>
      </c>
      <c r="F19" s="114"/>
      <c r="G19" s="114"/>
      <c r="H19" s="114"/>
      <c r="I19" s="114"/>
      <c r="J19" s="114">
        <v>0</v>
      </c>
    </row>
    <row r="20" spans="2:10" x14ac:dyDescent="0.25">
      <c r="B20" s="115" t="s">
        <v>822</v>
      </c>
      <c r="C20" s="114"/>
      <c r="D20" s="114"/>
      <c r="E20" s="114">
        <v>0</v>
      </c>
      <c r="F20" s="114"/>
      <c r="G20" s="114"/>
      <c r="H20" s="114"/>
      <c r="I20" s="114"/>
      <c r="J20" s="114">
        <v>0</v>
      </c>
    </row>
    <row r="21" spans="2:10" x14ac:dyDescent="0.25">
      <c r="B21" s="113" t="s">
        <v>64</v>
      </c>
      <c r="C21" s="114"/>
      <c r="D21" s="114">
        <v>39000</v>
      </c>
      <c r="E21" s="114"/>
      <c r="F21" s="114"/>
      <c r="G21" s="114"/>
      <c r="H21" s="114"/>
      <c r="I21" s="114"/>
      <c r="J21" s="114">
        <v>39000</v>
      </c>
    </row>
    <row r="22" spans="2:10" x14ac:dyDescent="0.25">
      <c r="B22" s="115" t="s">
        <v>795</v>
      </c>
      <c r="C22" s="114"/>
      <c r="D22" s="114">
        <v>39000</v>
      </c>
      <c r="E22" s="114"/>
      <c r="F22" s="114"/>
      <c r="G22" s="114"/>
      <c r="H22" s="114"/>
      <c r="I22" s="114"/>
      <c r="J22" s="114">
        <v>39000</v>
      </c>
    </row>
    <row r="23" spans="2:10" x14ac:dyDescent="0.25">
      <c r="B23" s="113" t="s">
        <v>41</v>
      </c>
      <c r="C23" s="114">
        <v>0</v>
      </c>
      <c r="D23" s="114">
        <v>0</v>
      </c>
      <c r="E23" s="114"/>
      <c r="F23" s="114"/>
      <c r="G23" s="114"/>
      <c r="H23" s="114"/>
      <c r="I23" s="114"/>
      <c r="J23" s="114">
        <v>0</v>
      </c>
    </row>
    <row r="24" spans="2:10" x14ac:dyDescent="0.25">
      <c r="B24" s="115" t="s">
        <v>822</v>
      </c>
      <c r="C24" s="114">
        <v>0</v>
      </c>
      <c r="D24" s="114"/>
      <c r="E24" s="114"/>
      <c r="F24" s="114"/>
      <c r="G24" s="114"/>
      <c r="H24" s="114"/>
      <c r="I24" s="114"/>
      <c r="J24" s="114">
        <v>0</v>
      </c>
    </row>
    <row r="25" spans="2:10" x14ac:dyDescent="0.25">
      <c r="B25" s="115" t="s">
        <v>829</v>
      </c>
      <c r="C25" s="114"/>
      <c r="D25" s="114">
        <v>0</v>
      </c>
      <c r="E25" s="114"/>
      <c r="F25" s="114"/>
      <c r="G25" s="114"/>
      <c r="H25" s="114"/>
      <c r="I25" s="114"/>
      <c r="J25" s="114">
        <v>0</v>
      </c>
    </row>
    <row r="26" spans="2:10" x14ac:dyDescent="0.25">
      <c r="B26" s="113" t="s">
        <v>135</v>
      </c>
      <c r="C26" s="114"/>
      <c r="D26" s="114"/>
      <c r="E26" s="114">
        <v>0</v>
      </c>
      <c r="F26" s="114"/>
      <c r="G26" s="114"/>
      <c r="H26" s="114"/>
      <c r="I26" s="114"/>
      <c r="J26" s="114">
        <v>0</v>
      </c>
    </row>
    <row r="27" spans="2:10" x14ac:dyDescent="0.25">
      <c r="B27" s="115" t="s">
        <v>822</v>
      </c>
      <c r="C27" s="114"/>
      <c r="D27" s="114"/>
      <c r="E27" s="114">
        <v>0</v>
      </c>
      <c r="F27" s="114"/>
      <c r="G27" s="114"/>
      <c r="H27" s="114"/>
      <c r="I27" s="114"/>
      <c r="J27" s="114">
        <v>0</v>
      </c>
    </row>
    <row r="28" spans="2:10" x14ac:dyDescent="0.25">
      <c r="B28" s="113" t="s">
        <v>170</v>
      </c>
      <c r="C28" s="114"/>
      <c r="D28" s="114"/>
      <c r="E28" s="114">
        <v>0</v>
      </c>
      <c r="F28" s="114"/>
      <c r="G28" s="114"/>
      <c r="H28" s="114"/>
      <c r="I28" s="114"/>
      <c r="J28" s="114">
        <v>0</v>
      </c>
    </row>
    <row r="29" spans="2:10" x14ac:dyDescent="0.25">
      <c r="B29" s="115" t="s">
        <v>822</v>
      </c>
      <c r="C29" s="114"/>
      <c r="D29" s="114"/>
      <c r="E29" s="114">
        <v>0</v>
      </c>
      <c r="F29" s="114"/>
      <c r="G29" s="114"/>
      <c r="H29" s="114"/>
      <c r="I29" s="114"/>
      <c r="J29" s="114">
        <v>0</v>
      </c>
    </row>
    <row r="30" spans="2:10" x14ac:dyDescent="0.25">
      <c r="B30" s="113" t="s">
        <v>423</v>
      </c>
      <c r="C30" s="114"/>
      <c r="D30" s="114"/>
      <c r="E30" s="114">
        <v>0</v>
      </c>
      <c r="F30" s="114"/>
      <c r="G30" s="114"/>
      <c r="H30" s="114"/>
      <c r="I30" s="114"/>
      <c r="J30" s="114">
        <v>0</v>
      </c>
    </row>
    <row r="31" spans="2:10" x14ac:dyDescent="0.25">
      <c r="B31" s="115" t="s">
        <v>822</v>
      </c>
      <c r="C31" s="114"/>
      <c r="D31" s="114"/>
      <c r="E31" s="114">
        <v>0</v>
      </c>
      <c r="F31" s="114"/>
      <c r="G31" s="114"/>
      <c r="H31" s="114"/>
      <c r="I31" s="114"/>
      <c r="J31" s="114">
        <v>0</v>
      </c>
    </row>
    <row r="32" spans="2:10" x14ac:dyDescent="0.25">
      <c r="B32" s="113" t="s">
        <v>445</v>
      </c>
      <c r="C32" s="114"/>
      <c r="D32" s="114"/>
      <c r="E32" s="114"/>
      <c r="F32" s="114"/>
      <c r="G32" s="114">
        <v>0</v>
      </c>
      <c r="H32" s="114"/>
      <c r="I32" s="114"/>
      <c r="J32" s="114">
        <v>0</v>
      </c>
    </row>
    <row r="33" spans="2:10" x14ac:dyDescent="0.25">
      <c r="B33" s="115" t="s">
        <v>822</v>
      </c>
      <c r="C33" s="114"/>
      <c r="D33" s="114"/>
      <c r="E33" s="114"/>
      <c r="F33" s="114"/>
      <c r="G33" s="114">
        <v>0</v>
      </c>
      <c r="H33" s="114"/>
      <c r="I33" s="114"/>
      <c r="J33" s="114">
        <v>0</v>
      </c>
    </row>
    <row r="34" spans="2:10" x14ac:dyDescent="0.25">
      <c r="B34" s="113" t="s">
        <v>535</v>
      </c>
      <c r="C34" s="114"/>
      <c r="D34" s="114"/>
      <c r="E34" s="114"/>
      <c r="F34" s="114"/>
      <c r="G34" s="114"/>
      <c r="H34" s="114">
        <v>0</v>
      </c>
      <c r="I34" s="114"/>
      <c r="J34" s="114">
        <v>0</v>
      </c>
    </row>
    <row r="35" spans="2:10" x14ac:dyDescent="0.25">
      <c r="B35" s="115" t="s">
        <v>822</v>
      </c>
      <c r="C35" s="114"/>
      <c r="D35" s="114"/>
      <c r="E35" s="114"/>
      <c r="F35" s="114"/>
      <c r="G35" s="114"/>
      <c r="H35" s="114">
        <v>0</v>
      </c>
      <c r="I35" s="114"/>
      <c r="J35" s="114">
        <v>0</v>
      </c>
    </row>
    <row r="36" spans="2:10" x14ac:dyDescent="0.25">
      <c r="B36" s="113" t="s">
        <v>101</v>
      </c>
      <c r="C36" s="114"/>
      <c r="D36" s="114"/>
      <c r="E36" s="114"/>
      <c r="F36" s="114"/>
      <c r="G36" s="114">
        <v>0</v>
      </c>
      <c r="H36" s="114">
        <v>0</v>
      </c>
      <c r="I36" s="114"/>
      <c r="J36" s="114">
        <v>0</v>
      </c>
    </row>
    <row r="37" spans="2:10" x14ac:dyDescent="0.25">
      <c r="B37" s="115" t="s">
        <v>822</v>
      </c>
      <c r="C37" s="114"/>
      <c r="D37" s="114"/>
      <c r="E37" s="114"/>
      <c r="F37" s="114"/>
      <c r="G37" s="114">
        <v>0</v>
      </c>
      <c r="H37" s="114">
        <v>0</v>
      </c>
      <c r="I37" s="114"/>
      <c r="J37" s="114">
        <v>0</v>
      </c>
    </row>
    <row r="38" spans="2:10" x14ac:dyDescent="0.25">
      <c r="B38" s="113" t="s">
        <v>39</v>
      </c>
      <c r="C38" s="114"/>
      <c r="D38" s="114"/>
      <c r="E38" s="114"/>
      <c r="F38" s="114"/>
      <c r="G38" s="114">
        <v>0</v>
      </c>
      <c r="H38" s="114">
        <v>0</v>
      </c>
      <c r="I38" s="114"/>
      <c r="J38" s="114">
        <v>0</v>
      </c>
    </row>
    <row r="39" spans="2:10" x14ac:dyDescent="0.25">
      <c r="B39" s="115" t="s">
        <v>822</v>
      </c>
      <c r="C39" s="114"/>
      <c r="D39" s="114"/>
      <c r="E39" s="114"/>
      <c r="F39" s="114"/>
      <c r="G39" s="114">
        <v>0</v>
      </c>
      <c r="H39" s="114">
        <v>0</v>
      </c>
      <c r="I39" s="114"/>
      <c r="J39" s="114">
        <v>0</v>
      </c>
    </row>
    <row r="40" spans="2:10" x14ac:dyDescent="0.25">
      <c r="B40" s="113" t="s">
        <v>70</v>
      </c>
      <c r="C40" s="114"/>
      <c r="D40" s="114"/>
      <c r="E40" s="114"/>
      <c r="F40" s="114"/>
      <c r="G40" s="114">
        <v>0</v>
      </c>
      <c r="H40" s="114">
        <v>0</v>
      </c>
      <c r="I40" s="114"/>
      <c r="J40" s="114">
        <v>0</v>
      </c>
    </row>
    <row r="41" spans="2:10" x14ac:dyDescent="0.25">
      <c r="B41" s="115" t="s">
        <v>822</v>
      </c>
      <c r="C41" s="114"/>
      <c r="D41" s="114"/>
      <c r="E41" s="114"/>
      <c r="F41" s="114"/>
      <c r="G41" s="114">
        <v>0</v>
      </c>
      <c r="H41" s="114">
        <v>0</v>
      </c>
      <c r="I41" s="114"/>
      <c r="J41" s="114">
        <v>0</v>
      </c>
    </row>
    <row r="42" spans="2:10" x14ac:dyDescent="0.25">
      <c r="B42" s="113" t="s">
        <v>541</v>
      </c>
      <c r="C42" s="114"/>
      <c r="D42" s="114"/>
      <c r="E42" s="114"/>
      <c r="F42" s="114"/>
      <c r="G42" s="114"/>
      <c r="H42" s="114">
        <v>0</v>
      </c>
      <c r="I42" s="114"/>
      <c r="J42" s="114">
        <v>0</v>
      </c>
    </row>
    <row r="43" spans="2:10" x14ac:dyDescent="0.25">
      <c r="B43" s="115" t="s">
        <v>822</v>
      </c>
      <c r="C43" s="114"/>
      <c r="D43" s="114"/>
      <c r="E43" s="114"/>
      <c r="F43" s="114"/>
      <c r="G43" s="114"/>
      <c r="H43" s="114">
        <v>0</v>
      </c>
      <c r="I43" s="114"/>
      <c r="J43" s="114">
        <v>0</v>
      </c>
    </row>
    <row r="44" spans="2:10" x14ac:dyDescent="0.25">
      <c r="B44" s="113" t="s">
        <v>542</v>
      </c>
      <c r="C44" s="114"/>
      <c r="D44" s="114"/>
      <c r="E44" s="114"/>
      <c r="F44" s="114"/>
      <c r="G44" s="114"/>
      <c r="H44" s="114">
        <v>0</v>
      </c>
      <c r="I44" s="114"/>
      <c r="J44" s="114">
        <v>0</v>
      </c>
    </row>
    <row r="45" spans="2:10" x14ac:dyDescent="0.25">
      <c r="B45" s="115" t="s">
        <v>822</v>
      </c>
      <c r="C45" s="114"/>
      <c r="D45" s="114"/>
      <c r="E45" s="114"/>
      <c r="F45" s="114"/>
      <c r="G45" s="114"/>
      <c r="H45" s="114">
        <v>0</v>
      </c>
      <c r="I45" s="114"/>
      <c r="J45" s="114">
        <v>0</v>
      </c>
    </row>
    <row r="46" spans="2:10" x14ac:dyDescent="0.25">
      <c r="B46" s="113" t="s">
        <v>86</v>
      </c>
      <c r="C46" s="114"/>
      <c r="D46" s="114"/>
      <c r="E46" s="114"/>
      <c r="F46" s="114"/>
      <c r="G46" s="114">
        <v>0</v>
      </c>
      <c r="H46" s="114"/>
      <c r="I46" s="114"/>
      <c r="J46" s="114">
        <v>0</v>
      </c>
    </row>
    <row r="47" spans="2:10" x14ac:dyDescent="0.25">
      <c r="B47" s="115" t="s">
        <v>822</v>
      </c>
      <c r="C47" s="114"/>
      <c r="D47" s="114"/>
      <c r="E47" s="114"/>
      <c r="F47" s="114"/>
      <c r="G47" s="114">
        <v>0</v>
      </c>
      <c r="H47" s="114"/>
      <c r="I47" s="114"/>
      <c r="J47" s="114">
        <v>0</v>
      </c>
    </row>
    <row r="48" spans="2:10" x14ac:dyDescent="0.25">
      <c r="B48" s="113" t="s">
        <v>536</v>
      </c>
      <c r="C48" s="114"/>
      <c r="D48" s="114"/>
      <c r="E48" s="114"/>
      <c r="F48" s="114"/>
      <c r="G48" s="114"/>
      <c r="H48" s="114">
        <v>0</v>
      </c>
      <c r="I48" s="114"/>
      <c r="J48" s="114">
        <v>0</v>
      </c>
    </row>
    <row r="49" spans="2:10" x14ac:dyDescent="0.25">
      <c r="B49" s="115" t="s">
        <v>822</v>
      </c>
      <c r="C49" s="114"/>
      <c r="D49" s="114"/>
      <c r="E49" s="114"/>
      <c r="F49" s="114"/>
      <c r="G49" s="114"/>
      <c r="H49" s="114">
        <v>0</v>
      </c>
      <c r="I49" s="114"/>
      <c r="J49" s="114">
        <v>0</v>
      </c>
    </row>
    <row r="50" spans="2:10" x14ac:dyDescent="0.25">
      <c r="B50" s="113" t="s">
        <v>400</v>
      </c>
      <c r="C50" s="114"/>
      <c r="D50" s="114">
        <v>4350</v>
      </c>
      <c r="E50" s="114"/>
      <c r="F50" s="114"/>
      <c r="G50" s="114"/>
      <c r="H50" s="114"/>
      <c r="I50" s="114"/>
      <c r="J50" s="114">
        <v>4350</v>
      </c>
    </row>
    <row r="51" spans="2:10" x14ac:dyDescent="0.25">
      <c r="B51" s="115" t="s">
        <v>746</v>
      </c>
      <c r="C51" s="114"/>
      <c r="D51" s="114">
        <v>4350</v>
      </c>
      <c r="E51" s="114"/>
      <c r="F51" s="114"/>
      <c r="G51" s="114"/>
      <c r="H51" s="114"/>
      <c r="I51" s="114"/>
      <c r="J51" s="114">
        <v>4350</v>
      </c>
    </row>
    <row r="52" spans="2:10" x14ac:dyDescent="0.25">
      <c r="B52" s="113" t="s">
        <v>773</v>
      </c>
      <c r="C52" s="114"/>
      <c r="D52" s="114">
        <v>0</v>
      </c>
      <c r="E52" s="114"/>
      <c r="F52" s="114"/>
      <c r="G52" s="114"/>
      <c r="H52" s="114"/>
      <c r="I52" s="114"/>
      <c r="J52" s="114">
        <v>0</v>
      </c>
    </row>
    <row r="53" spans="2:10" x14ac:dyDescent="0.25">
      <c r="B53" s="115" t="s">
        <v>829</v>
      </c>
      <c r="C53" s="114"/>
      <c r="D53" s="114">
        <v>0</v>
      </c>
      <c r="E53" s="114"/>
      <c r="F53" s="114"/>
      <c r="G53" s="114"/>
      <c r="H53" s="114"/>
      <c r="I53" s="114"/>
      <c r="J53" s="114">
        <v>0</v>
      </c>
    </row>
    <row r="54" spans="2:10" x14ac:dyDescent="0.25">
      <c r="B54" s="113" t="s">
        <v>177</v>
      </c>
      <c r="C54" s="114"/>
      <c r="D54" s="114"/>
      <c r="E54" s="114">
        <v>0</v>
      </c>
      <c r="F54" s="114"/>
      <c r="G54" s="114"/>
      <c r="H54" s="114"/>
      <c r="I54" s="114"/>
      <c r="J54" s="114">
        <v>0</v>
      </c>
    </row>
    <row r="55" spans="2:10" x14ac:dyDescent="0.25">
      <c r="B55" s="115" t="s">
        <v>822</v>
      </c>
      <c r="C55" s="114"/>
      <c r="D55" s="114"/>
      <c r="E55" s="114">
        <v>0</v>
      </c>
      <c r="F55" s="114"/>
      <c r="G55" s="114"/>
      <c r="H55" s="114"/>
      <c r="I55" s="114"/>
      <c r="J55" s="114">
        <v>0</v>
      </c>
    </row>
    <row r="56" spans="2:10" x14ac:dyDescent="0.25">
      <c r="B56" s="113" t="s">
        <v>139</v>
      </c>
      <c r="C56" s="114"/>
      <c r="D56" s="114"/>
      <c r="E56" s="114">
        <v>0</v>
      </c>
      <c r="F56" s="114"/>
      <c r="G56" s="114"/>
      <c r="H56" s="114"/>
      <c r="I56" s="114"/>
      <c r="J56" s="114">
        <v>0</v>
      </c>
    </row>
    <row r="57" spans="2:10" x14ac:dyDescent="0.25">
      <c r="B57" s="115" t="s">
        <v>822</v>
      </c>
      <c r="C57" s="114"/>
      <c r="D57" s="114"/>
      <c r="E57" s="114">
        <v>0</v>
      </c>
      <c r="F57" s="114"/>
      <c r="G57" s="114"/>
      <c r="H57" s="114"/>
      <c r="I57" s="114"/>
      <c r="J57" s="114">
        <v>0</v>
      </c>
    </row>
    <row r="58" spans="2:10" x14ac:dyDescent="0.25">
      <c r="B58" s="113" t="s">
        <v>63</v>
      </c>
      <c r="C58" s="114"/>
      <c r="D58" s="114">
        <v>486174</v>
      </c>
      <c r="E58" s="114"/>
      <c r="F58" s="114"/>
      <c r="G58" s="114"/>
      <c r="H58" s="114"/>
      <c r="I58" s="114"/>
      <c r="J58" s="114">
        <v>486174</v>
      </c>
    </row>
    <row r="59" spans="2:10" x14ac:dyDescent="0.25">
      <c r="B59" s="115" t="s">
        <v>752</v>
      </c>
      <c r="C59" s="114"/>
      <c r="D59" s="114">
        <v>486174</v>
      </c>
      <c r="E59" s="114"/>
      <c r="F59" s="114"/>
      <c r="G59" s="114"/>
      <c r="H59" s="114"/>
      <c r="I59" s="114"/>
      <c r="J59" s="114">
        <v>486174</v>
      </c>
    </row>
    <row r="60" spans="2:10" x14ac:dyDescent="0.25">
      <c r="B60" s="113" t="s">
        <v>659</v>
      </c>
      <c r="C60" s="114"/>
      <c r="D60" s="114">
        <v>0</v>
      </c>
      <c r="E60" s="114"/>
      <c r="F60" s="114"/>
      <c r="G60" s="114"/>
      <c r="H60" s="114"/>
      <c r="I60" s="114"/>
      <c r="J60" s="114">
        <v>0</v>
      </c>
    </row>
    <row r="61" spans="2:10" x14ac:dyDescent="0.25">
      <c r="B61" s="115" t="s">
        <v>829</v>
      </c>
      <c r="C61" s="114"/>
      <c r="D61" s="114">
        <v>0</v>
      </c>
      <c r="E61" s="114"/>
      <c r="F61" s="114"/>
      <c r="G61" s="114"/>
      <c r="H61" s="114"/>
      <c r="I61" s="114"/>
      <c r="J61" s="114">
        <v>0</v>
      </c>
    </row>
    <row r="62" spans="2:10" x14ac:dyDescent="0.25">
      <c r="B62" s="113" t="s">
        <v>176</v>
      </c>
      <c r="C62" s="114"/>
      <c r="D62" s="114"/>
      <c r="E62" s="114">
        <v>0</v>
      </c>
      <c r="F62" s="114"/>
      <c r="G62" s="114"/>
      <c r="H62" s="114"/>
      <c r="I62" s="114"/>
      <c r="J62" s="114">
        <v>0</v>
      </c>
    </row>
    <row r="63" spans="2:10" x14ac:dyDescent="0.25">
      <c r="B63" s="115" t="s">
        <v>822</v>
      </c>
      <c r="C63" s="114"/>
      <c r="D63" s="114"/>
      <c r="E63" s="114">
        <v>0</v>
      </c>
      <c r="F63" s="114"/>
      <c r="G63" s="114"/>
      <c r="H63" s="114"/>
      <c r="I63" s="114"/>
      <c r="J63" s="114">
        <v>0</v>
      </c>
    </row>
    <row r="64" spans="2:10" x14ac:dyDescent="0.25">
      <c r="B64" s="113" t="s">
        <v>117</v>
      </c>
      <c r="C64" s="114"/>
      <c r="D64" s="114">
        <v>80788</v>
      </c>
      <c r="E64" s="114"/>
      <c r="F64" s="114"/>
      <c r="G64" s="114"/>
      <c r="H64" s="114"/>
      <c r="I64" s="114"/>
      <c r="J64" s="114">
        <v>80788</v>
      </c>
    </row>
    <row r="65" spans="2:10" x14ac:dyDescent="0.25">
      <c r="B65" s="115" t="s">
        <v>791</v>
      </c>
      <c r="C65" s="114"/>
      <c r="D65" s="114">
        <v>80788</v>
      </c>
      <c r="E65" s="114"/>
      <c r="F65" s="114"/>
      <c r="G65" s="114"/>
      <c r="H65" s="114"/>
      <c r="I65" s="114"/>
      <c r="J65" s="114">
        <v>80788</v>
      </c>
    </row>
    <row r="66" spans="2:10" x14ac:dyDescent="0.25">
      <c r="B66" s="113" t="s">
        <v>439</v>
      </c>
      <c r="C66" s="114"/>
      <c r="D66" s="114"/>
      <c r="E66" s="114">
        <v>0</v>
      </c>
      <c r="F66" s="114"/>
      <c r="G66" s="114"/>
      <c r="H66" s="114"/>
      <c r="I66" s="114"/>
      <c r="J66" s="114">
        <v>0</v>
      </c>
    </row>
    <row r="67" spans="2:10" x14ac:dyDescent="0.25">
      <c r="B67" s="115" t="s">
        <v>822</v>
      </c>
      <c r="C67" s="114"/>
      <c r="D67" s="114"/>
      <c r="E67" s="114">
        <v>0</v>
      </c>
      <c r="F67" s="114"/>
      <c r="G67" s="114"/>
      <c r="H67" s="114"/>
      <c r="I67" s="114"/>
      <c r="J67" s="114">
        <v>0</v>
      </c>
    </row>
    <row r="68" spans="2:10" x14ac:dyDescent="0.25">
      <c r="B68" s="113" t="s">
        <v>221</v>
      </c>
      <c r="C68" s="114">
        <v>0</v>
      </c>
      <c r="D68" s="114"/>
      <c r="E68" s="114">
        <v>0</v>
      </c>
      <c r="F68" s="114">
        <v>0</v>
      </c>
      <c r="G68" s="114">
        <v>0</v>
      </c>
      <c r="H68" s="114">
        <v>0</v>
      </c>
      <c r="I68" s="114"/>
      <c r="J68" s="114">
        <v>0</v>
      </c>
    </row>
    <row r="69" spans="2:10" x14ac:dyDescent="0.25">
      <c r="B69" s="115" t="s">
        <v>822</v>
      </c>
      <c r="C69" s="114">
        <v>0</v>
      </c>
      <c r="D69" s="114"/>
      <c r="E69" s="114">
        <v>0</v>
      </c>
      <c r="F69" s="114">
        <v>0</v>
      </c>
      <c r="G69" s="114">
        <v>0</v>
      </c>
      <c r="H69" s="114">
        <v>0</v>
      </c>
      <c r="I69" s="114"/>
      <c r="J69" s="114">
        <v>0</v>
      </c>
    </row>
    <row r="70" spans="2:10" x14ac:dyDescent="0.25">
      <c r="B70" s="113" t="s">
        <v>492</v>
      </c>
      <c r="C70" s="114"/>
      <c r="D70" s="114"/>
      <c r="E70" s="114"/>
      <c r="F70" s="114"/>
      <c r="G70" s="114">
        <v>0</v>
      </c>
      <c r="H70" s="114">
        <v>0</v>
      </c>
      <c r="I70" s="114"/>
      <c r="J70" s="114">
        <v>0</v>
      </c>
    </row>
    <row r="71" spans="2:10" x14ac:dyDescent="0.25">
      <c r="B71" s="115" t="s">
        <v>822</v>
      </c>
      <c r="C71" s="114"/>
      <c r="D71" s="114"/>
      <c r="E71" s="114"/>
      <c r="F71" s="114"/>
      <c r="G71" s="114">
        <v>0</v>
      </c>
      <c r="H71" s="114">
        <v>0</v>
      </c>
      <c r="I71" s="114"/>
      <c r="J71" s="114">
        <v>0</v>
      </c>
    </row>
    <row r="72" spans="2:10" x14ac:dyDescent="0.25">
      <c r="B72" s="113" t="s">
        <v>540</v>
      </c>
      <c r="C72" s="114"/>
      <c r="D72" s="114"/>
      <c r="E72" s="114"/>
      <c r="F72" s="114"/>
      <c r="G72" s="114"/>
      <c r="H72" s="114">
        <v>0</v>
      </c>
      <c r="I72" s="114"/>
      <c r="J72" s="114">
        <v>0</v>
      </c>
    </row>
    <row r="73" spans="2:10" x14ac:dyDescent="0.25">
      <c r="B73" s="115" t="s">
        <v>822</v>
      </c>
      <c r="C73" s="114"/>
      <c r="D73" s="114"/>
      <c r="E73" s="114"/>
      <c r="F73" s="114"/>
      <c r="G73" s="114"/>
      <c r="H73" s="114">
        <v>0</v>
      </c>
      <c r="I73" s="114"/>
      <c r="J73" s="114">
        <v>0</v>
      </c>
    </row>
    <row r="74" spans="2:10" x14ac:dyDescent="0.25">
      <c r="B74" s="113" t="s">
        <v>368</v>
      </c>
      <c r="C74" s="114">
        <v>0</v>
      </c>
      <c r="D74" s="114"/>
      <c r="E74" s="114"/>
      <c r="F74" s="114">
        <v>0</v>
      </c>
      <c r="G74" s="114">
        <v>0</v>
      </c>
      <c r="H74" s="114">
        <v>0</v>
      </c>
      <c r="I74" s="114"/>
      <c r="J74" s="114">
        <v>0</v>
      </c>
    </row>
    <row r="75" spans="2:10" x14ac:dyDescent="0.25">
      <c r="B75" s="115" t="s">
        <v>822</v>
      </c>
      <c r="C75" s="114">
        <v>0</v>
      </c>
      <c r="D75" s="114"/>
      <c r="E75" s="114"/>
      <c r="F75" s="114">
        <v>0</v>
      </c>
      <c r="G75" s="114">
        <v>0</v>
      </c>
      <c r="H75" s="114">
        <v>0</v>
      </c>
      <c r="I75" s="114"/>
      <c r="J75" s="114">
        <v>0</v>
      </c>
    </row>
    <row r="76" spans="2:10" x14ac:dyDescent="0.25">
      <c r="B76" s="113" t="s">
        <v>373</v>
      </c>
      <c r="C76" s="114">
        <v>0</v>
      </c>
      <c r="D76" s="114"/>
      <c r="E76" s="114"/>
      <c r="F76" s="114"/>
      <c r="G76" s="114"/>
      <c r="H76" s="114">
        <v>0</v>
      </c>
      <c r="I76" s="114"/>
      <c r="J76" s="114">
        <v>0</v>
      </c>
    </row>
    <row r="77" spans="2:10" x14ac:dyDescent="0.25">
      <c r="B77" s="115" t="s">
        <v>822</v>
      </c>
      <c r="C77" s="114">
        <v>0</v>
      </c>
      <c r="D77" s="114"/>
      <c r="E77" s="114"/>
      <c r="F77" s="114"/>
      <c r="G77" s="114"/>
      <c r="H77" s="114">
        <v>0</v>
      </c>
      <c r="I77" s="114"/>
      <c r="J77" s="114">
        <v>0</v>
      </c>
    </row>
    <row r="78" spans="2:10" x14ac:dyDescent="0.25">
      <c r="B78" s="113" t="s">
        <v>488</v>
      </c>
      <c r="C78" s="114">
        <v>0</v>
      </c>
      <c r="D78" s="114">
        <v>10858</v>
      </c>
      <c r="E78" s="114">
        <v>0</v>
      </c>
      <c r="F78" s="114">
        <v>0</v>
      </c>
      <c r="G78" s="114">
        <v>0</v>
      </c>
      <c r="H78" s="114">
        <v>0</v>
      </c>
      <c r="I78" s="114"/>
      <c r="J78" s="114">
        <v>10858</v>
      </c>
    </row>
    <row r="79" spans="2:10" x14ac:dyDescent="0.25">
      <c r="B79" s="115" t="s">
        <v>822</v>
      </c>
      <c r="C79" s="114">
        <v>0</v>
      </c>
      <c r="D79" s="114"/>
      <c r="E79" s="114">
        <v>0</v>
      </c>
      <c r="F79" s="114">
        <v>0</v>
      </c>
      <c r="G79" s="114">
        <v>0</v>
      </c>
      <c r="H79" s="114">
        <v>0</v>
      </c>
      <c r="I79" s="114"/>
      <c r="J79" s="114">
        <v>0</v>
      </c>
    </row>
    <row r="80" spans="2:10" x14ac:dyDescent="0.25">
      <c r="B80" s="115" t="s">
        <v>748</v>
      </c>
      <c r="C80" s="114"/>
      <c r="D80" s="114">
        <v>10858</v>
      </c>
      <c r="E80" s="114"/>
      <c r="F80" s="114"/>
      <c r="G80" s="114"/>
      <c r="H80" s="114"/>
      <c r="I80" s="114"/>
      <c r="J80" s="114">
        <v>10858</v>
      </c>
    </row>
    <row r="81" spans="2:10" x14ac:dyDescent="0.25">
      <c r="B81" s="113" t="s">
        <v>543</v>
      </c>
      <c r="C81" s="114">
        <v>0</v>
      </c>
      <c r="D81" s="114"/>
      <c r="E81" s="114"/>
      <c r="F81" s="114"/>
      <c r="G81" s="114"/>
      <c r="H81" s="114">
        <v>0</v>
      </c>
      <c r="I81" s="114"/>
      <c r="J81" s="114">
        <v>0</v>
      </c>
    </row>
    <row r="82" spans="2:10" x14ac:dyDescent="0.25">
      <c r="B82" s="115" t="s">
        <v>822</v>
      </c>
      <c r="C82" s="114">
        <v>0</v>
      </c>
      <c r="D82" s="114"/>
      <c r="E82" s="114"/>
      <c r="F82" s="114"/>
      <c r="G82" s="114"/>
      <c r="H82" s="114">
        <v>0</v>
      </c>
      <c r="I82" s="114"/>
      <c r="J82" s="114">
        <v>0</v>
      </c>
    </row>
    <row r="83" spans="2:10" x14ac:dyDescent="0.25">
      <c r="B83" s="113" t="s">
        <v>414</v>
      </c>
      <c r="C83" s="114"/>
      <c r="D83" s="114"/>
      <c r="E83" s="114">
        <v>0</v>
      </c>
      <c r="F83" s="114"/>
      <c r="G83" s="114"/>
      <c r="H83" s="114"/>
      <c r="I83" s="114"/>
      <c r="J83" s="114">
        <v>0</v>
      </c>
    </row>
    <row r="84" spans="2:10" x14ac:dyDescent="0.25">
      <c r="B84" s="115" t="s">
        <v>822</v>
      </c>
      <c r="C84" s="114"/>
      <c r="D84" s="114"/>
      <c r="E84" s="114">
        <v>0</v>
      </c>
      <c r="F84" s="114"/>
      <c r="G84" s="114"/>
      <c r="H84" s="114"/>
      <c r="I84" s="114"/>
      <c r="J84" s="114">
        <v>0</v>
      </c>
    </row>
    <row r="85" spans="2:10" x14ac:dyDescent="0.25">
      <c r="B85" s="113" t="s">
        <v>426</v>
      </c>
      <c r="C85" s="114"/>
      <c r="D85" s="114">
        <v>0</v>
      </c>
      <c r="E85" s="114">
        <v>0</v>
      </c>
      <c r="F85" s="114"/>
      <c r="G85" s="114"/>
      <c r="H85" s="114"/>
      <c r="I85" s="114"/>
      <c r="J85" s="114">
        <v>0</v>
      </c>
    </row>
    <row r="86" spans="2:10" x14ac:dyDescent="0.25">
      <c r="B86" s="115" t="s">
        <v>822</v>
      </c>
      <c r="C86" s="114"/>
      <c r="D86" s="114"/>
      <c r="E86" s="114">
        <v>0</v>
      </c>
      <c r="F86" s="114"/>
      <c r="G86" s="114"/>
      <c r="H86" s="114"/>
      <c r="I86" s="114"/>
      <c r="J86" s="114">
        <v>0</v>
      </c>
    </row>
    <row r="87" spans="2:10" x14ac:dyDescent="0.25">
      <c r="B87" s="115" t="s">
        <v>829</v>
      </c>
      <c r="C87" s="114"/>
      <c r="D87" s="114">
        <v>0</v>
      </c>
      <c r="E87" s="114"/>
      <c r="F87" s="114"/>
      <c r="G87" s="114"/>
      <c r="H87" s="114"/>
      <c r="I87" s="114"/>
      <c r="J87" s="114">
        <v>0</v>
      </c>
    </row>
    <row r="88" spans="2:10" x14ac:dyDescent="0.25">
      <c r="B88" s="113" t="s">
        <v>175</v>
      </c>
      <c r="C88" s="114"/>
      <c r="D88" s="114">
        <v>0</v>
      </c>
      <c r="E88" s="114">
        <v>0</v>
      </c>
      <c r="F88" s="114"/>
      <c r="G88" s="114"/>
      <c r="H88" s="114"/>
      <c r="I88" s="114"/>
      <c r="J88" s="114">
        <v>0</v>
      </c>
    </row>
    <row r="89" spans="2:10" x14ac:dyDescent="0.25">
      <c r="B89" s="115" t="s">
        <v>822</v>
      </c>
      <c r="C89" s="114"/>
      <c r="D89" s="114"/>
      <c r="E89" s="114">
        <v>0</v>
      </c>
      <c r="F89" s="114"/>
      <c r="G89" s="114"/>
      <c r="H89" s="114"/>
      <c r="I89" s="114"/>
      <c r="J89" s="114">
        <v>0</v>
      </c>
    </row>
    <row r="90" spans="2:10" x14ac:dyDescent="0.25">
      <c r="B90" s="115" t="s">
        <v>829</v>
      </c>
      <c r="C90" s="114"/>
      <c r="D90" s="114">
        <v>0</v>
      </c>
      <c r="E90" s="114"/>
      <c r="F90" s="114"/>
      <c r="G90" s="114"/>
      <c r="H90" s="114"/>
      <c r="I90" s="114"/>
      <c r="J90" s="114">
        <v>0</v>
      </c>
    </row>
    <row r="91" spans="2:10" x14ac:dyDescent="0.25">
      <c r="B91" s="113" t="s">
        <v>486</v>
      </c>
      <c r="C91" s="114"/>
      <c r="D91" s="114">
        <v>7060</v>
      </c>
      <c r="E91" s="114">
        <v>0</v>
      </c>
      <c r="F91" s="114">
        <v>0</v>
      </c>
      <c r="G91" s="114">
        <v>0</v>
      </c>
      <c r="H91" s="114"/>
      <c r="I91" s="114"/>
      <c r="J91" s="114">
        <v>7060</v>
      </c>
    </row>
    <row r="92" spans="2:10" x14ac:dyDescent="0.25">
      <c r="B92" s="115" t="s">
        <v>822</v>
      </c>
      <c r="C92" s="114"/>
      <c r="D92" s="114"/>
      <c r="E92" s="114">
        <v>0</v>
      </c>
      <c r="F92" s="114">
        <v>0</v>
      </c>
      <c r="G92" s="114">
        <v>0</v>
      </c>
      <c r="H92" s="114"/>
      <c r="I92" s="114"/>
      <c r="J92" s="114">
        <v>0</v>
      </c>
    </row>
    <row r="93" spans="2:10" x14ac:dyDescent="0.25">
      <c r="B93" s="115" t="s">
        <v>750</v>
      </c>
      <c r="C93" s="114"/>
      <c r="D93" s="114">
        <v>7060</v>
      </c>
      <c r="E93" s="114"/>
      <c r="F93" s="114"/>
      <c r="G93" s="114"/>
      <c r="H93" s="114"/>
      <c r="I93" s="114"/>
      <c r="J93" s="114">
        <v>7060</v>
      </c>
    </row>
    <row r="94" spans="2:10" x14ac:dyDescent="0.25">
      <c r="B94" s="113" t="s">
        <v>616</v>
      </c>
      <c r="C94" s="114"/>
      <c r="D94" s="114">
        <v>0</v>
      </c>
      <c r="E94" s="114"/>
      <c r="F94" s="114"/>
      <c r="G94" s="114"/>
      <c r="H94" s="114"/>
      <c r="I94" s="114"/>
      <c r="J94" s="114">
        <v>0</v>
      </c>
    </row>
    <row r="95" spans="2:10" ht="15.75" thickBot="1" x14ac:dyDescent="0.3">
      <c r="B95" s="115" t="s">
        <v>829</v>
      </c>
      <c r="C95" s="114"/>
      <c r="D95" s="114">
        <v>0</v>
      </c>
      <c r="E95" s="114"/>
      <c r="F95" s="114"/>
      <c r="G95" s="114"/>
      <c r="H95" s="114"/>
      <c r="I95" s="114"/>
      <c r="J95" s="114">
        <v>0</v>
      </c>
    </row>
    <row r="96" spans="2:10" x14ac:dyDescent="0.25">
      <c r="B96" s="113" t="s">
        <v>615</v>
      </c>
      <c r="C96" s="114"/>
      <c r="D96" s="114">
        <v>12020</v>
      </c>
      <c r="E96" s="114"/>
      <c r="F96" s="114"/>
      <c r="G96" s="114"/>
      <c r="H96" s="114"/>
      <c r="I96" s="114"/>
      <c r="J96" s="114">
        <v>12020</v>
      </c>
    </row>
    <row r="97" spans="2:10" x14ac:dyDescent="0.25">
      <c r="B97" s="115" t="s">
        <v>766</v>
      </c>
      <c r="C97" s="114"/>
      <c r="D97" s="114">
        <v>12020</v>
      </c>
      <c r="E97" s="114"/>
      <c r="F97" s="114"/>
      <c r="G97" s="114"/>
      <c r="H97" s="114"/>
      <c r="I97" s="114"/>
      <c r="J97" s="114">
        <v>12020</v>
      </c>
    </row>
    <row r="98" spans="2:10" x14ac:dyDescent="0.25">
      <c r="B98" s="113" t="s">
        <v>617</v>
      </c>
      <c r="C98" s="114"/>
      <c r="D98" s="114">
        <v>0</v>
      </c>
      <c r="E98" s="114"/>
      <c r="F98" s="114"/>
      <c r="G98" s="114"/>
      <c r="H98" s="114"/>
      <c r="I98" s="114"/>
      <c r="J98" s="114">
        <v>0</v>
      </c>
    </row>
    <row r="99" spans="2:10" x14ac:dyDescent="0.25">
      <c r="B99" s="115" t="s">
        <v>829</v>
      </c>
      <c r="C99" s="114"/>
      <c r="D99" s="114">
        <v>0</v>
      </c>
      <c r="E99" s="114"/>
      <c r="F99" s="114"/>
      <c r="G99" s="114"/>
      <c r="H99" s="114"/>
      <c r="I99" s="114"/>
      <c r="J99" s="114">
        <v>0</v>
      </c>
    </row>
    <row r="100" spans="2:10" x14ac:dyDescent="0.25">
      <c r="B100" s="113" t="s">
        <v>37</v>
      </c>
      <c r="C100" s="114"/>
      <c r="D100" s="114"/>
      <c r="E100" s="114">
        <v>0</v>
      </c>
      <c r="F100" s="114">
        <v>0</v>
      </c>
      <c r="G100" s="114">
        <v>0</v>
      </c>
      <c r="H100" s="114"/>
      <c r="I100" s="114"/>
      <c r="J100" s="114">
        <v>0</v>
      </c>
    </row>
    <row r="101" spans="2:10" x14ac:dyDescent="0.25">
      <c r="B101" s="115" t="s">
        <v>822</v>
      </c>
      <c r="C101" s="114"/>
      <c r="D101" s="114"/>
      <c r="E101" s="114">
        <v>0</v>
      </c>
      <c r="F101" s="114">
        <v>0</v>
      </c>
      <c r="G101" s="114">
        <v>0</v>
      </c>
      <c r="H101" s="114"/>
      <c r="I101" s="114"/>
      <c r="J101" s="114">
        <v>0</v>
      </c>
    </row>
    <row r="102" spans="2:10" x14ac:dyDescent="0.25">
      <c r="B102" s="113" t="s">
        <v>74</v>
      </c>
      <c r="C102" s="114">
        <v>0</v>
      </c>
      <c r="D102" s="114">
        <v>9933</v>
      </c>
      <c r="E102" s="114">
        <v>0</v>
      </c>
      <c r="F102" s="114">
        <v>0</v>
      </c>
      <c r="G102" s="114">
        <v>0</v>
      </c>
      <c r="H102" s="114">
        <v>0</v>
      </c>
      <c r="I102" s="114"/>
      <c r="J102" s="114">
        <v>9933</v>
      </c>
    </row>
    <row r="103" spans="2:10" x14ac:dyDescent="0.25">
      <c r="B103" s="115" t="s">
        <v>822</v>
      </c>
      <c r="C103" s="114">
        <v>0</v>
      </c>
      <c r="D103" s="114"/>
      <c r="E103" s="114">
        <v>0</v>
      </c>
      <c r="F103" s="114">
        <v>0</v>
      </c>
      <c r="G103" s="114">
        <v>0</v>
      </c>
      <c r="H103" s="114">
        <v>0</v>
      </c>
      <c r="I103" s="114"/>
      <c r="J103" s="114">
        <v>0</v>
      </c>
    </row>
    <row r="104" spans="2:10" x14ac:dyDescent="0.25">
      <c r="B104" s="115" t="s">
        <v>755</v>
      </c>
      <c r="C104" s="114"/>
      <c r="D104" s="114">
        <v>9933</v>
      </c>
      <c r="E104" s="114"/>
      <c r="F104" s="114"/>
      <c r="G104" s="114"/>
      <c r="H104" s="114"/>
      <c r="I104" s="114"/>
      <c r="J104" s="114">
        <v>9933</v>
      </c>
    </row>
    <row r="105" spans="2:10" x14ac:dyDescent="0.25">
      <c r="B105" s="113" t="s">
        <v>54</v>
      </c>
      <c r="C105" s="114">
        <v>0</v>
      </c>
      <c r="D105" s="114">
        <v>23968</v>
      </c>
      <c r="E105" s="114">
        <v>0</v>
      </c>
      <c r="F105" s="114">
        <v>0</v>
      </c>
      <c r="G105" s="114">
        <v>0</v>
      </c>
      <c r="H105" s="114">
        <v>0</v>
      </c>
      <c r="I105" s="114"/>
      <c r="J105" s="114">
        <v>23968</v>
      </c>
    </row>
    <row r="106" spans="2:10" x14ac:dyDescent="0.25">
      <c r="B106" s="115" t="s">
        <v>822</v>
      </c>
      <c r="C106" s="114">
        <v>0</v>
      </c>
      <c r="D106" s="114"/>
      <c r="E106" s="114">
        <v>0</v>
      </c>
      <c r="F106" s="114">
        <v>0</v>
      </c>
      <c r="G106" s="114">
        <v>0</v>
      </c>
      <c r="H106" s="114">
        <v>0</v>
      </c>
      <c r="I106" s="114"/>
      <c r="J106" s="114">
        <v>0</v>
      </c>
    </row>
    <row r="107" spans="2:10" x14ac:dyDescent="0.25">
      <c r="B107" s="115" t="s">
        <v>758</v>
      </c>
      <c r="C107" s="114"/>
      <c r="D107" s="114">
        <v>23968</v>
      </c>
      <c r="E107" s="114"/>
      <c r="F107" s="114"/>
      <c r="G107" s="114"/>
      <c r="H107" s="114"/>
      <c r="I107" s="114"/>
      <c r="J107" s="114">
        <v>23968</v>
      </c>
    </row>
    <row r="108" spans="2:10" x14ac:dyDescent="0.25">
      <c r="B108" s="113" t="s">
        <v>59</v>
      </c>
      <c r="C108" s="114">
        <v>0</v>
      </c>
      <c r="D108" s="114">
        <v>28136</v>
      </c>
      <c r="E108" s="114">
        <v>0</v>
      </c>
      <c r="F108" s="114">
        <v>0</v>
      </c>
      <c r="G108" s="114">
        <v>0</v>
      </c>
      <c r="H108" s="114">
        <v>0</v>
      </c>
      <c r="I108" s="114"/>
      <c r="J108" s="114">
        <v>28136</v>
      </c>
    </row>
    <row r="109" spans="2:10" x14ac:dyDescent="0.25">
      <c r="B109" s="115" t="s">
        <v>822</v>
      </c>
      <c r="C109" s="114">
        <v>0</v>
      </c>
      <c r="D109" s="114"/>
      <c r="E109" s="114">
        <v>0</v>
      </c>
      <c r="F109" s="114">
        <v>0</v>
      </c>
      <c r="G109" s="114">
        <v>0</v>
      </c>
      <c r="H109" s="114">
        <v>0</v>
      </c>
      <c r="I109" s="114"/>
      <c r="J109" s="114">
        <v>0</v>
      </c>
    </row>
    <row r="110" spans="2:10" x14ac:dyDescent="0.25">
      <c r="B110" s="115" t="s">
        <v>755</v>
      </c>
      <c r="C110" s="114"/>
      <c r="D110" s="114">
        <v>28136</v>
      </c>
      <c r="E110" s="114"/>
      <c r="F110" s="114"/>
      <c r="G110" s="114"/>
      <c r="H110" s="114"/>
      <c r="I110" s="114"/>
      <c r="J110" s="114">
        <v>28136</v>
      </c>
    </row>
    <row r="111" spans="2:10" x14ac:dyDescent="0.25">
      <c r="B111" s="113" t="s">
        <v>444</v>
      </c>
      <c r="C111" s="114"/>
      <c r="D111" s="114">
        <v>3887</v>
      </c>
      <c r="E111" s="114"/>
      <c r="F111" s="114"/>
      <c r="G111" s="114"/>
      <c r="H111" s="114"/>
      <c r="I111" s="114"/>
      <c r="J111" s="114">
        <v>3887</v>
      </c>
    </row>
    <row r="112" spans="2:10" x14ac:dyDescent="0.25">
      <c r="B112" s="115" t="s">
        <v>753</v>
      </c>
      <c r="C112" s="114"/>
      <c r="D112" s="114">
        <v>3887</v>
      </c>
      <c r="E112" s="114"/>
      <c r="F112" s="114"/>
      <c r="G112" s="114"/>
      <c r="H112" s="114"/>
      <c r="I112" s="114"/>
      <c r="J112" s="114">
        <v>3887</v>
      </c>
    </row>
    <row r="113" spans="2:10" x14ac:dyDescent="0.25">
      <c r="B113" s="113" t="s">
        <v>537</v>
      </c>
      <c r="C113" s="114"/>
      <c r="D113" s="114"/>
      <c r="E113" s="114"/>
      <c r="F113" s="114"/>
      <c r="G113" s="114">
        <v>0</v>
      </c>
      <c r="H113" s="114">
        <v>0</v>
      </c>
      <c r="I113" s="114"/>
      <c r="J113" s="114">
        <v>0</v>
      </c>
    </row>
    <row r="114" spans="2:10" x14ac:dyDescent="0.25">
      <c r="B114" s="115" t="s">
        <v>822</v>
      </c>
      <c r="C114" s="114"/>
      <c r="D114" s="114"/>
      <c r="E114" s="114"/>
      <c r="F114" s="114"/>
      <c r="G114" s="114">
        <v>0</v>
      </c>
      <c r="H114" s="114">
        <v>0</v>
      </c>
      <c r="I114" s="114"/>
      <c r="J114" s="114">
        <v>0</v>
      </c>
    </row>
    <row r="115" spans="2:10" ht="15.75" thickBot="1" x14ac:dyDescent="0.3">
      <c r="B115" s="116" t="s">
        <v>539</v>
      </c>
      <c r="C115" s="117"/>
      <c r="D115" s="117"/>
      <c r="E115" s="117"/>
      <c r="F115" s="117"/>
      <c r="G115" s="117"/>
      <c r="H115" s="117">
        <v>0</v>
      </c>
      <c r="I115" s="117"/>
      <c r="J115" s="117">
        <v>0</v>
      </c>
    </row>
    <row r="116" spans="2:10" x14ac:dyDescent="0.25">
      <c r="B116" s="115" t="s">
        <v>822</v>
      </c>
      <c r="C116" s="114"/>
      <c r="D116" s="114"/>
      <c r="E116" s="114"/>
      <c r="F116" s="114"/>
      <c r="G116" s="114"/>
      <c r="H116" s="114">
        <v>0</v>
      </c>
      <c r="I116" s="114"/>
      <c r="J116" s="114">
        <v>0</v>
      </c>
    </row>
    <row r="117" spans="2:10" x14ac:dyDescent="0.25">
      <c r="B117" s="113" t="s">
        <v>78</v>
      </c>
      <c r="C117" s="114"/>
      <c r="D117" s="114">
        <v>63600</v>
      </c>
      <c r="E117" s="114"/>
      <c r="F117" s="114"/>
      <c r="G117" s="114"/>
      <c r="H117" s="114"/>
      <c r="I117" s="114"/>
      <c r="J117" s="114">
        <v>63600</v>
      </c>
    </row>
    <row r="118" spans="2:10" x14ac:dyDescent="0.25">
      <c r="B118" s="115" t="s">
        <v>761</v>
      </c>
      <c r="C118" s="114"/>
      <c r="D118" s="114">
        <v>63600</v>
      </c>
      <c r="E118" s="114"/>
      <c r="F118" s="114"/>
      <c r="G118" s="114"/>
      <c r="H118" s="114"/>
      <c r="I118" s="114"/>
      <c r="J118" s="114">
        <v>63600</v>
      </c>
    </row>
    <row r="119" spans="2:10" x14ac:dyDescent="0.25">
      <c r="B119" s="113" t="s">
        <v>254</v>
      </c>
      <c r="C119" s="114"/>
      <c r="D119" s="114"/>
      <c r="E119" s="114">
        <v>0</v>
      </c>
      <c r="F119" s="114">
        <v>0</v>
      </c>
      <c r="G119" s="114">
        <v>0</v>
      </c>
      <c r="H119" s="114">
        <v>0</v>
      </c>
      <c r="I119" s="114"/>
      <c r="J119" s="114">
        <v>0</v>
      </c>
    </row>
    <row r="120" spans="2:10" x14ac:dyDescent="0.25">
      <c r="B120" s="115" t="s">
        <v>822</v>
      </c>
      <c r="C120" s="114"/>
      <c r="D120" s="114"/>
      <c r="E120" s="114">
        <v>0</v>
      </c>
      <c r="F120" s="114">
        <v>0</v>
      </c>
      <c r="G120" s="114">
        <v>0</v>
      </c>
      <c r="H120" s="114">
        <v>0</v>
      </c>
      <c r="I120" s="114"/>
      <c r="J120" s="114">
        <v>0</v>
      </c>
    </row>
    <row r="121" spans="2:10" x14ac:dyDescent="0.25">
      <c r="B121" s="113" t="s">
        <v>538</v>
      </c>
      <c r="C121" s="114"/>
      <c r="D121" s="114"/>
      <c r="E121" s="114"/>
      <c r="F121" s="114"/>
      <c r="G121" s="114"/>
      <c r="H121" s="114">
        <v>0</v>
      </c>
      <c r="I121" s="114"/>
      <c r="J121" s="114">
        <v>0</v>
      </c>
    </row>
    <row r="122" spans="2:10" ht="15.75" thickBot="1" x14ac:dyDescent="0.3">
      <c r="B122" s="115" t="s">
        <v>822</v>
      </c>
      <c r="C122" s="114"/>
      <c r="D122" s="114"/>
      <c r="E122" s="114"/>
      <c r="F122" s="114"/>
      <c r="G122" s="114"/>
      <c r="H122" s="114">
        <v>0</v>
      </c>
      <c r="I122" s="114"/>
      <c r="J122" s="114">
        <v>0</v>
      </c>
    </row>
    <row r="123" spans="2:10" x14ac:dyDescent="0.25">
      <c r="B123" s="113" t="s">
        <v>544</v>
      </c>
      <c r="C123" s="114"/>
      <c r="D123" s="114"/>
      <c r="E123" s="114"/>
      <c r="F123" s="114"/>
      <c r="G123" s="114"/>
      <c r="H123" s="114">
        <v>0</v>
      </c>
      <c r="I123" s="114"/>
      <c r="J123" s="114">
        <v>0</v>
      </c>
    </row>
    <row r="124" spans="2:10" x14ac:dyDescent="0.25">
      <c r="B124" s="115" t="s">
        <v>822</v>
      </c>
      <c r="C124" s="114"/>
      <c r="D124" s="114"/>
      <c r="E124" s="114"/>
      <c r="F124" s="114"/>
      <c r="G124" s="114"/>
      <c r="H124" s="114">
        <v>0</v>
      </c>
      <c r="I124" s="114"/>
      <c r="J124" s="114">
        <v>0</v>
      </c>
    </row>
    <row r="125" spans="2:10" x14ac:dyDescent="0.25">
      <c r="B125" s="113" t="s">
        <v>76</v>
      </c>
      <c r="C125" s="114">
        <v>0</v>
      </c>
      <c r="D125" s="114">
        <v>224200</v>
      </c>
      <c r="E125" s="114">
        <v>0</v>
      </c>
      <c r="F125" s="114">
        <v>0</v>
      </c>
      <c r="G125" s="114">
        <v>0</v>
      </c>
      <c r="H125" s="114">
        <v>0</v>
      </c>
      <c r="I125" s="114"/>
      <c r="J125" s="114">
        <v>224200</v>
      </c>
    </row>
    <row r="126" spans="2:10" x14ac:dyDescent="0.25">
      <c r="B126" s="115" t="s">
        <v>822</v>
      </c>
      <c r="C126" s="114">
        <v>0</v>
      </c>
      <c r="D126" s="114"/>
      <c r="E126" s="114">
        <v>0</v>
      </c>
      <c r="F126" s="114">
        <v>0</v>
      </c>
      <c r="G126" s="114">
        <v>0</v>
      </c>
      <c r="H126" s="114">
        <v>0</v>
      </c>
      <c r="I126" s="114"/>
      <c r="J126" s="114">
        <v>0</v>
      </c>
    </row>
    <row r="127" spans="2:10" x14ac:dyDescent="0.25">
      <c r="B127" s="115" t="s">
        <v>762</v>
      </c>
      <c r="C127" s="114"/>
      <c r="D127" s="114">
        <v>224200</v>
      </c>
      <c r="E127" s="114"/>
      <c r="F127" s="114"/>
      <c r="G127" s="114"/>
      <c r="H127" s="114"/>
      <c r="I127" s="114"/>
      <c r="J127" s="114">
        <v>224200</v>
      </c>
    </row>
    <row r="128" spans="2:10" x14ac:dyDescent="0.25">
      <c r="B128" s="113" t="s">
        <v>99</v>
      </c>
      <c r="C128" s="114"/>
      <c r="D128" s="114">
        <v>19300</v>
      </c>
      <c r="E128" s="114"/>
      <c r="F128" s="114"/>
      <c r="G128" s="114"/>
      <c r="H128" s="114"/>
      <c r="I128" s="114"/>
      <c r="J128" s="114">
        <v>19300</v>
      </c>
    </row>
    <row r="129" spans="2:10" x14ac:dyDescent="0.25">
      <c r="B129" s="115" t="s">
        <v>755</v>
      </c>
      <c r="C129" s="114"/>
      <c r="D129" s="114">
        <v>19300</v>
      </c>
      <c r="E129" s="114"/>
      <c r="F129" s="114"/>
      <c r="G129" s="114"/>
      <c r="H129" s="114"/>
      <c r="I129" s="114"/>
      <c r="J129" s="114">
        <v>19300</v>
      </c>
    </row>
    <row r="130" spans="2:10" x14ac:dyDescent="0.25">
      <c r="B130" s="113" t="s">
        <v>220</v>
      </c>
      <c r="C130" s="114">
        <v>0</v>
      </c>
      <c r="D130" s="114">
        <v>10325</v>
      </c>
      <c r="E130" s="114">
        <v>0</v>
      </c>
      <c r="F130" s="114">
        <v>0</v>
      </c>
      <c r="G130" s="114">
        <v>0</v>
      </c>
      <c r="H130" s="114"/>
      <c r="I130" s="114"/>
      <c r="J130" s="114">
        <v>10325</v>
      </c>
    </row>
    <row r="131" spans="2:10" x14ac:dyDescent="0.25">
      <c r="B131" s="115" t="s">
        <v>822</v>
      </c>
      <c r="C131" s="114">
        <v>0</v>
      </c>
      <c r="D131" s="114"/>
      <c r="E131" s="114">
        <v>0</v>
      </c>
      <c r="F131" s="114">
        <v>0</v>
      </c>
      <c r="G131" s="114">
        <v>0</v>
      </c>
      <c r="H131" s="114"/>
      <c r="I131" s="114"/>
      <c r="J131" s="114">
        <v>0</v>
      </c>
    </row>
    <row r="132" spans="2:10" x14ac:dyDescent="0.25">
      <c r="B132" s="115" t="s">
        <v>751</v>
      </c>
      <c r="C132" s="114"/>
      <c r="D132" s="114">
        <v>10325</v>
      </c>
      <c r="E132" s="114"/>
      <c r="F132" s="114"/>
      <c r="G132" s="114"/>
      <c r="H132" s="114"/>
      <c r="I132" s="114"/>
      <c r="J132" s="114">
        <v>10325</v>
      </c>
    </row>
    <row r="133" spans="2:10" x14ac:dyDescent="0.25">
      <c r="B133" s="113" t="s">
        <v>138</v>
      </c>
      <c r="C133" s="114">
        <v>0</v>
      </c>
      <c r="D133" s="114"/>
      <c r="E133" s="114">
        <v>0</v>
      </c>
      <c r="F133" s="114"/>
      <c r="G133" s="114"/>
      <c r="H133" s="114"/>
      <c r="I133" s="114"/>
      <c r="J133" s="114">
        <v>0</v>
      </c>
    </row>
    <row r="134" spans="2:10" x14ac:dyDescent="0.25">
      <c r="B134" s="115" t="s">
        <v>822</v>
      </c>
      <c r="C134" s="114">
        <v>0</v>
      </c>
      <c r="D134" s="114"/>
      <c r="E134" s="114">
        <v>0</v>
      </c>
      <c r="F134" s="114"/>
      <c r="G134" s="114"/>
      <c r="H134" s="114"/>
      <c r="I134" s="114"/>
      <c r="J134" s="114">
        <v>0</v>
      </c>
    </row>
    <row r="135" spans="2:10" x14ac:dyDescent="0.25">
      <c r="B135" s="113" t="s">
        <v>438</v>
      </c>
      <c r="C135" s="114"/>
      <c r="D135" s="114"/>
      <c r="E135" s="114">
        <v>0</v>
      </c>
      <c r="F135" s="114"/>
      <c r="G135" s="114"/>
      <c r="H135" s="114"/>
      <c r="I135" s="114"/>
      <c r="J135" s="114">
        <v>0</v>
      </c>
    </row>
    <row r="136" spans="2:10" x14ac:dyDescent="0.25">
      <c r="B136" s="115" t="s">
        <v>822</v>
      </c>
      <c r="C136" s="114"/>
      <c r="D136" s="114"/>
      <c r="E136" s="114">
        <v>0</v>
      </c>
      <c r="F136" s="114"/>
      <c r="G136" s="114"/>
      <c r="H136" s="114"/>
      <c r="I136" s="114"/>
      <c r="J136" s="114">
        <v>0</v>
      </c>
    </row>
    <row r="137" spans="2:10" x14ac:dyDescent="0.25">
      <c r="B137" s="113" t="s">
        <v>455</v>
      </c>
      <c r="C137" s="114"/>
      <c r="D137" s="114">
        <v>0</v>
      </c>
      <c r="E137" s="114">
        <v>0</v>
      </c>
      <c r="F137" s="114"/>
      <c r="G137" s="114"/>
      <c r="H137" s="114"/>
      <c r="I137" s="114"/>
      <c r="J137" s="114">
        <v>0</v>
      </c>
    </row>
    <row r="138" spans="2:10" x14ac:dyDescent="0.25">
      <c r="B138" s="115" t="s">
        <v>822</v>
      </c>
      <c r="C138" s="114"/>
      <c r="D138" s="114"/>
      <c r="E138" s="114">
        <v>0</v>
      </c>
      <c r="F138" s="114"/>
      <c r="G138" s="114"/>
      <c r="H138" s="114"/>
      <c r="I138" s="114"/>
      <c r="J138" s="114">
        <v>0</v>
      </c>
    </row>
    <row r="139" spans="2:10" x14ac:dyDescent="0.25">
      <c r="B139" s="115" t="s">
        <v>829</v>
      </c>
      <c r="C139" s="114"/>
      <c r="D139" s="114">
        <v>0</v>
      </c>
      <c r="E139" s="114"/>
      <c r="F139" s="114"/>
      <c r="G139" s="114"/>
      <c r="H139" s="114"/>
      <c r="I139" s="114"/>
      <c r="J139" s="114">
        <v>0</v>
      </c>
    </row>
    <row r="140" spans="2:10" x14ac:dyDescent="0.25">
      <c r="B140" s="113" t="s">
        <v>443</v>
      </c>
      <c r="C140" s="114"/>
      <c r="D140" s="114">
        <v>0</v>
      </c>
      <c r="E140" s="114"/>
      <c r="F140" s="114"/>
      <c r="G140" s="114"/>
      <c r="H140" s="114"/>
      <c r="I140" s="114"/>
      <c r="J140" s="114">
        <v>0</v>
      </c>
    </row>
    <row r="141" spans="2:10" x14ac:dyDescent="0.25">
      <c r="B141" s="115" t="s">
        <v>829</v>
      </c>
      <c r="C141" s="114"/>
      <c r="D141" s="114">
        <v>0</v>
      </c>
      <c r="E141" s="114"/>
      <c r="F141" s="114"/>
      <c r="G141" s="114"/>
      <c r="H141" s="114"/>
      <c r="I141" s="114"/>
      <c r="J141" s="114">
        <v>0</v>
      </c>
    </row>
    <row r="142" spans="2:10" x14ac:dyDescent="0.25">
      <c r="B142" s="113" t="s">
        <v>470</v>
      </c>
      <c r="C142" s="114"/>
      <c r="D142" s="114">
        <v>32128</v>
      </c>
      <c r="E142" s="114"/>
      <c r="F142" s="114"/>
      <c r="G142" s="114"/>
      <c r="H142" s="114"/>
      <c r="I142" s="114"/>
      <c r="J142" s="114">
        <v>32128</v>
      </c>
    </row>
    <row r="143" spans="2:10" x14ac:dyDescent="0.25">
      <c r="B143" s="115" t="s">
        <v>746</v>
      </c>
      <c r="C143" s="114"/>
      <c r="D143" s="114">
        <v>32128</v>
      </c>
      <c r="E143" s="114"/>
      <c r="F143" s="114"/>
      <c r="G143" s="114"/>
      <c r="H143" s="114"/>
      <c r="I143" s="114"/>
      <c r="J143" s="114">
        <v>32128</v>
      </c>
    </row>
    <row r="144" spans="2:10" x14ac:dyDescent="0.25">
      <c r="B144" s="113" t="s">
        <v>448</v>
      </c>
      <c r="C144" s="114"/>
      <c r="D144" s="114">
        <v>1630</v>
      </c>
      <c r="E144" s="114"/>
      <c r="F144" s="114"/>
      <c r="G144" s="114"/>
      <c r="H144" s="114"/>
      <c r="I144" s="114"/>
      <c r="J144" s="114">
        <v>1630</v>
      </c>
    </row>
    <row r="145" spans="2:10" x14ac:dyDescent="0.25">
      <c r="B145" s="115" t="s">
        <v>765</v>
      </c>
      <c r="C145" s="114"/>
      <c r="D145" s="114">
        <v>1630</v>
      </c>
      <c r="E145" s="114"/>
      <c r="F145" s="114"/>
      <c r="G145" s="114"/>
      <c r="H145" s="114"/>
      <c r="I145" s="114"/>
      <c r="J145" s="114">
        <v>1630</v>
      </c>
    </row>
    <row r="146" spans="2:10" x14ac:dyDescent="0.25">
      <c r="B146" s="113" t="s">
        <v>178</v>
      </c>
      <c r="C146" s="114"/>
      <c r="D146" s="114"/>
      <c r="E146" s="114">
        <v>0</v>
      </c>
      <c r="F146" s="114"/>
      <c r="G146" s="114"/>
      <c r="H146" s="114"/>
      <c r="I146" s="114"/>
      <c r="J146" s="114">
        <v>0</v>
      </c>
    </row>
    <row r="147" spans="2:10" x14ac:dyDescent="0.25">
      <c r="B147" s="115" t="s">
        <v>822</v>
      </c>
      <c r="C147" s="114"/>
      <c r="D147" s="114"/>
      <c r="E147" s="114">
        <v>0</v>
      </c>
      <c r="F147" s="114"/>
      <c r="G147" s="114"/>
      <c r="H147" s="114"/>
      <c r="I147" s="114"/>
      <c r="J147" s="114">
        <v>0</v>
      </c>
    </row>
    <row r="148" spans="2:10" x14ac:dyDescent="0.25">
      <c r="B148" s="113" t="s">
        <v>1052</v>
      </c>
      <c r="C148" s="114"/>
      <c r="D148" s="114"/>
      <c r="E148" s="114">
        <v>0</v>
      </c>
      <c r="F148" s="114"/>
      <c r="G148" s="114"/>
      <c r="H148" s="114"/>
      <c r="I148" s="114"/>
      <c r="J148" s="114">
        <v>0</v>
      </c>
    </row>
    <row r="149" spans="2:10" x14ac:dyDescent="0.25">
      <c r="B149" s="115" t="s">
        <v>822</v>
      </c>
      <c r="C149" s="114"/>
      <c r="D149" s="114"/>
      <c r="E149" s="114">
        <v>0</v>
      </c>
      <c r="F149" s="114"/>
      <c r="G149" s="114"/>
      <c r="H149" s="114"/>
      <c r="I149" s="114"/>
      <c r="J149" s="114">
        <v>0</v>
      </c>
    </row>
    <row r="150" spans="2:10" x14ac:dyDescent="0.25">
      <c r="B150" s="113" t="s">
        <v>169</v>
      </c>
      <c r="C150" s="114"/>
      <c r="D150" s="114"/>
      <c r="E150" s="114">
        <v>0</v>
      </c>
      <c r="F150" s="114"/>
      <c r="G150" s="114"/>
      <c r="H150" s="114"/>
      <c r="I150" s="114"/>
      <c r="J150" s="114">
        <v>0</v>
      </c>
    </row>
    <row r="151" spans="2:10" x14ac:dyDescent="0.25">
      <c r="B151" s="115" t="s">
        <v>822</v>
      </c>
      <c r="C151" s="114"/>
      <c r="D151" s="114"/>
      <c r="E151" s="114">
        <v>0</v>
      </c>
      <c r="F151" s="114"/>
      <c r="G151" s="114"/>
      <c r="H151" s="114"/>
      <c r="I151" s="114"/>
      <c r="J151" s="114">
        <v>0</v>
      </c>
    </row>
    <row r="152" spans="2:10" x14ac:dyDescent="0.25">
      <c r="B152" s="113" t="s">
        <v>367</v>
      </c>
      <c r="C152" s="114">
        <v>0</v>
      </c>
      <c r="D152" s="114"/>
      <c r="E152" s="114"/>
      <c r="F152" s="114"/>
      <c r="G152" s="114"/>
      <c r="H152" s="114"/>
      <c r="I152" s="114"/>
      <c r="J152" s="114">
        <v>0</v>
      </c>
    </row>
    <row r="153" spans="2:10" x14ac:dyDescent="0.25">
      <c r="B153" s="115" t="s">
        <v>822</v>
      </c>
      <c r="C153" s="114">
        <v>0</v>
      </c>
      <c r="D153" s="114"/>
      <c r="E153" s="114"/>
      <c r="F153" s="114"/>
      <c r="G153" s="114"/>
      <c r="H153" s="114"/>
      <c r="I153" s="114"/>
      <c r="J153" s="114">
        <v>0</v>
      </c>
    </row>
    <row r="154" spans="2:10" x14ac:dyDescent="0.25">
      <c r="B154" s="113" t="s">
        <v>376</v>
      </c>
      <c r="C154" s="114">
        <v>0</v>
      </c>
      <c r="D154" s="114"/>
      <c r="E154" s="114"/>
      <c r="F154" s="114"/>
      <c r="G154" s="114"/>
      <c r="H154" s="114"/>
      <c r="I154" s="114"/>
      <c r="J154" s="114">
        <v>0</v>
      </c>
    </row>
    <row r="155" spans="2:10" x14ac:dyDescent="0.25">
      <c r="B155" s="115" t="s">
        <v>822</v>
      </c>
      <c r="C155" s="114">
        <v>0</v>
      </c>
      <c r="D155" s="114"/>
      <c r="E155" s="114"/>
      <c r="F155" s="114"/>
      <c r="G155" s="114"/>
      <c r="H155" s="114"/>
      <c r="I155" s="114"/>
      <c r="J155" s="114">
        <v>0</v>
      </c>
    </row>
    <row r="156" spans="2:10" x14ac:dyDescent="0.25">
      <c r="B156" s="113" t="s">
        <v>380</v>
      </c>
      <c r="C156" s="114">
        <v>0</v>
      </c>
      <c r="D156" s="114"/>
      <c r="E156" s="114"/>
      <c r="F156" s="114"/>
      <c r="G156" s="114"/>
      <c r="H156" s="114"/>
      <c r="I156" s="114"/>
      <c r="J156" s="114">
        <v>0</v>
      </c>
    </row>
    <row r="157" spans="2:10" x14ac:dyDescent="0.25">
      <c r="B157" s="115" t="s">
        <v>822</v>
      </c>
      <c r="C157" s="114">
        <v>0</v>
      </c>
      <c r="D157" s="114"/>
      <c r="E157" s="114"/>
      <c r="F157" s="114"/>
      <c r="G157" s="114"/>
      <c r="H157" s="114"/>
      <c r="I157" s="114"/>
      <c r="J157" s="114">
        <v>0</v>
      </c>
    </row>
    <row r="158" spans="2:10" x14ac:dyDescent="0.25">
      <c r="B158" s="113" t="s">
        <v>397</v>
      </c>
      <c r="C158" s="114">
        <v>0</v>
      </c>
      <c r="D158" s="114"/>
      <c r="E158" s="114"/>
      <c r="F158" s="114"/>
      <c r="G158" s="114"/>
      <c r="H158" s="114"/>
      <c r="I158" s="114"/>
      <c r="J158" s="114">
        <v>0</v>
      </c>
    </row>
    <row r="159" spans="2:10" x14ac:dyDescent="0.25">
      <c r="B159" s="115" t="s">
        <v>822</v>
      </c>
      <c r="C159" s="114">
        <v>0</v>
      </c>
      <c r="D159" s="114"/>
      <c r="E159" s="114"/>
      <c r="F159" s="114"/>
      <c r="G159" s="114"/>
      <c r="H159" s="114"/>
      <c r="I159" s="114"/>
      <c r="J159" s="114">
        <v>0</v>
      </c>
    </row>
    <row r="160" spans="2:10" x14ac:dyDescent="0.25">
      <c r="B160" s="113" t="s">
        <v>232</v>
      </c>
      <c r="C160" s="114">
        <v>0</v>
      </c>
      <c r="D160" s="114"/>
      <c r="E160" s="114"/>
      <c r="F160" s="114"/>
      <c r="G160" s="114"/>
      <c r="H160" s="114"/>
      <c r="I160" s="114"/>
      <c r="J160" s="114">
        <v>0</v>
      </c>
    </row>
    <row r="161" spans="2:10" x14ac:dyDescent="0.25">
      <c r="B161" s="115" t="s">
        <v>822</v>
      </c>
      <c r="C161" s="114">
        <v>0</v>
      </c>
      <c r="D161" s="114"/>
      <c r="E161" s="114"/>
      <c r="F161" s="114"/>
      <c r="G161" s="114"/>
      <c r="H161" s="114"/>
      <c r="I161" s="114"/>
      <c r="J161" s="114">
        <v>0</v>
      </c>
    </row>
    <row r="162" spans="2:10" x14ac:dyDescent="0.25">
      <c r="B162" s="113" t="s">
        <v>213</v>
      </c>
      <c r="C162" s="114">
        <v>0</v>
      </c>
      <c r="D162" s="114"/>
      <c r="E162" s="114">
        <v>0</v>
      </c>
      <c r="F162" s="114"/>
      <c r="G162" s="114"/>
      <c r="H162" s="114"/>
      <c r="I162" s="114"/>
      <c r="J162" s="114">
        <v>0</v>
      </c>
    </row>
    <row r="163" spans="2:10" x14ac:dyDescent="0.25">
      <c r="B163" s="115" t="s">
        <v>822</v>
      </c>
      <c r="C163" s="114">
        <v>0</v>
      </c>
      <c r="D163" s="114"/>
      <c r="E163" s="114">
        <v>0</v>
      </c>
      <c r="F163" s="114"/>
      <c r="G163" s="114"/>
      <c r="H163" s="114"/>
      <c r="I163" s="114"/>
      <c r="J163" s="114">
        <v>0</v>
      </c>
    </row>
    <row r="164" spans="2:10" x14ac:dyDescent="0.25">
      <c r="B164" s="113" t="s">
        <v>137</v>
      </c>
      <c r="C164" s="114">
        <v>0</v>
      </c>
      <c r="D164" s="114"/>
      <c r="E164" s="114">
        <v>0</v>
      </c>
      <c r="F164" s="114"/>
      <c r="G164" s="114"/>
      <c r="H164" s="114"/>
      <c r="I164" s="114"/>
      <c r="J164" s="114">
        <v>0</v>
      </c>
    </row>
    <row r="165" spans="2:10" x14ac:dyDescent="0.25">
      <c r="B165" s="115" t="s">
        <v>822</v>
      </c>
      <c r="C165" s="114">
        <v>0</v>
      </c>
      <c r="D165" s="114"/>
      <c r="E165" s="114">
        <v>0</v>
      </c>
      <c r="F165" s="114"/>
      <c r="G165" s="114"/>
      <c r="H165" s="114"/>
      <c r="I165" s="114"/>
      <c r="J165" s="114">
        <v>0</v>
      </c>
    </row>
    <row r="166" spans="2:10" x14ac:dyDescent="0.25">
      <c r="B166" s="113" t="s">
        <v>209</v>
      </c>
      <c r="C166" s="114"/>
      <c r="D166" s="114"/>
      <c r="E166" s="114">
        <v>0</v>
      </c>
      <c r="F166" s="114"/>
      <c r="G166" s="114"/>
      <c r="H166" s="114"/>
      <c r="I166" s="114"/>
      <c r="J166" s="114">
        <v>0</v>
      </c>
    </row>
    <row r="167" spans="2:10" x14ac:dyDescent="0.25">
      <c r="B167" s="115" t="s">
        <v>822</v>
      </c>
      <c r="C167" s="114"/>
      <c r="D167" s="114"/>
      <c r="E167" s="114">
        <v>0</v>
      </c>
      <c r="F167" s="114"/>
      <c r="G167" s="114"/>
      <c r="H167" s="114"/>
      <c r="I167" s="114"/>
      <c r="J167" s="114">
        <v>0</v>
      </c>
    </row>
    <row r="168" spans="2:10" x14ac:dyDescent="0.25">
      <c r="B168" s="113" t="s">
        <v>289</v>
      </c>
      <c r="C168" s="114"/>
      <c r="D168" s="114"/>
      <c r="E168" s="114">
        <v>0</v>
      </c>
      <c r="F168" s="114"/>
      <c r="G168" s="114"/>
      <c r="H168" s="114"/>
      <c r="I168" s="114"/>
      <c r="J168" s="114">
        <v>0</v>
      </c>
    </row>
    <row r="169" spans="2:10" x14ac:dyDescent="0.25">
      <c r="B169" s="115" t="s">
        <v>822</v>
      </c>
      <c r="C169" s="114"/>
      <c r="D169" s="114"/>
      <c r="E169" s="114">
        <v>0</v>
      </c>
      <c r="F169" s="114"/>
      <c r="G169" s="114"/>
      <c r="H169" s="114"/>
      <c r="I169" s="114"/>
      <c r="J169" s="114">
        <v>0</v>
      </c>
    </row>
    <row r="170" spans="2:10" x14ac:dyDescent="0.25">
      <c r="B170" s="113" t="s">
        <v>824</v>
      </c>
      <c r="C170" s="114"/>
      <c r="D170" s="114"/>
      <c r="E170" s="114">
        <v>0</v>
      </c>
      <c r="F170" s="114"/>
      <c r="G170" s="114"/>
      <c r="H170" s="114"/>
      <c r="I170" s="114"/>
      <c r="J170" s="114">
        <v>0</v>
      </c>
    </row>
    <row r="171" spans="2:10" x14ac:dyDescent="0.25">
      <c r="B171" s="115" t="s">
        <v>822</v>
      </c>
      <c r="C171" s="114"/>
      <c r="D171" s="114"/>
      <c r="E171" s="114">
        <v>0</v>
      </c>
      <c r="F171" s="114"/>
      <c r="G171" s="114"/>
      <c r="H171" s="114"/>
      <c r="I171" s="114"/>
      <c r="J171" s="114">
        <v>0</v>
      </c>
    </row>
    <row r="172" spans="2:10" x14ac:dyDescent="0.25">
      <c r="B172" s="113" t="s">
        <v>291</v>
      </c>
      <c r="C172" s="114"/>
      <c r="D172" s="114"/>
      <c r="E172" s="114">
        <v>0</v>
      </c>
      <c r="F172" s="114"/>
      <c r="G172" s="114"/>
      <c r="H172" s="114"/>
      <c r="I172" s="114"/>
      <c r="J172" s="114">
        <v>0</v>
      </c>
    </row>
    <row r="173" spans="2:10" x14ac:dyDescent="0.25">
      <c r="B173" s="115" t="s">
        <v>822</v>
      </c>
      <c r="C173" s="114"/>
      <c r="D173" s="114"/>
      <c r="E173" s="114">
        <v>0</v>
      </c>
      <c r="F173" s="114"/>
      <c r="G173" s="114"/>
      <c r="H173" s="114"/>
      <c r="I173" s="114"/>
      <c r="J173" s="114">
        <v>0</v>
      </c>
    </row>
    <row r="174" spans="2:10" x14ac:dyDescent="0.25">
      <c r="B174" s="113" t="s">
        <v>292</v>
      </c>
      <c r="C174" s="114"/>
      <c r="D174" s="114"/>
      <c r="E174" s="114">
        <v>0</v>
      </c>
      <c r="F174" s="114"/>
      <c r="G174" s="114"/>
      <c r="H174" s="114"/>
      <c r="I174" s="114"/>
      <c r="J174" s="114">
        <v>0</v>
      </c>
    </row>
    <row r="175" spans="2:10" x14ac:dyDescent="0.25">
      <c r="B175" s="115" t="s">
        <v>822</v>
      </c>
      <c r="C175" s="114"/>
      <c r="D175" s="114"/>
      <c r="E175" s="114">
        <v>0</v>
      </c>
      <c r="F175" s="114"/>
      <c r="G175" s="114"/>
      <c r="H175" s="114"/>
      <c r="I175" s="114"/>
      <c r="J175" s="114">
        <v>0</v>
      </c>
    </row>
    <row r="176" spans="2:10" x14ac:dyDescent="0.25">
      <c r="B176" s="113" t="s">
        <v>293</v>
      </c>
      <c r="C176" s="114"/>
      <c r="D176" s="114"/>
      <c r="E176" s="114">
        <v>0</v>
      </c>
      <c r="F176" s="114"/>
      <c r="G176" s="114"/>
      <c r="H176" s="114"/>
      <c r="I176" s="114"/>
      <c r="J176" s="114">
        <v>0</v>
      </c>
    </row>
    <row r="177" spans="2:10" x14ac:dyDescent="0.25">
      <c r="B177" s="115" t="s">
        <v>822</v>
      </c>
      <c r="C177" s="114"/>
      <c r="D177" s="114"/>
      <c r="E177" s="114">
        <v>0</v>
      </c>
      <c r="F177" s="114"/>
      <c r="G177" s="114"/>
      <c r="H177" s="114"/>
      <c r="I177" s="114"/>
      <c r="J177" s="114">
        <v>0</v>
      </c>
    </row>
    <row r="178" spans="2:10" x14ac:dyDescent="0.25">
      <c r="B178" s="113" t="s">
        <v>167</v>
      </c>
      <c r="C178" s="114"/>
      <c r="D178" s="114"/>
      <c r="E178" s="114">
        <v>0</v>
      </c>
      <c r="F178" s="114"/>
      <c r="G178" s="114"/>
      <c r="H178" s="114"/>
      <c r="I178" s="114"/>
      <c r="J178" s="114">
        <v>0</v>
      </c>
    </row>
    <row r="179" spans="2:10" x14ac:dyDescent="0.25">
      <c r="B179" s="115" t="s">
        <v>822</v>
      </c>
      <c r="C179" s="114"/>
      <c r="D179" s="114"/>
      <c r="E179" s="114">
        <v>0</v>
      </c>
      <c r="F179" s="114"/>
      <c r="G179" s="114"/>
      <c r="H179" s="114"/>
      <c r="I179" s="114"/>
      <c r="J179" s="114">
        <v>0</v>
      </c>
    </row>
    <row r="180" spans="2:10" x14ac:dyDescent="0.25">
      <c r="B180" s="113" t="s">
        <v>168</v>
      </c>
      <c r="C180" s="114"/>
      <c r="D180" s="114"/>
      <c r="E180" s="114">
        <v>0</v>
      </c>
      <c r="F180" s="114"/>
      <c r="G180" s="114"/>
      <c r="H180" s="114"/>
      <c r="I180" s="114"/>
      <c r="J180" s="114">
        <v>0</v>
      </c>
    </row>
    <row r="181" spans="2:10" x14ac:dyDescent="0.25">
      <c r="B181" s="115" t="s">
        <v>822</v>
      </c>
      <c r="C181" s="114"/>
      <c r="D181" s="114"/>
      <c r="E181" s="114">
        <v>0</v>
      </c>
      <c r="F181" s="114"/>
      <c r="G181" s="114"/>
      <c r="H181" s="114"/>
      <c r="I181" s="114"/>
      <c r="J181" s="114">
        <v>0</v>
      </c>
    </row>
    <row r="182" spans="2:10" x14ac:dyDescent="0.25">
      <c r="B182" s="113" t="s">
        <v>171</v>
      </c>
      <c r="C182" s="114"/>
      <c r="D182" s="114"/>
      <c r="E182" s="114">
        <v>0</v>
      </c>
      <c r="F182" s="114"/>
      <c r="G182" s="114"/>
      <c r="H182" s="114"/>
      <c r="I182" s="114"/>
      <c r="J182" s="114">
        <v>0</v>
      </c>
    </row>
    <row r="183" spans="2:10" x14ac:dyDescent="0.25">
      <c r="B183" s="115" t="s">
        <v>822</v>
      </c>
      <c r="C183" s="114"/>
      <c r="D183" s="114"/>
      <c r="E183" s="114">
        <v>0</v>
      </c>
      <c r="F183" s="114"/>
      <c r="G183" s="114"/>
      <c r="H183" s="114"/>
      <c r="I183" s="114"/>
      <c r="J183" s="114">
        <v>0</v>
      </c>
    </row>
    <row r="184" spans="2:10" x14ac:dyDescent="0.25">
      <c r="B184" s="113" t="s">
        <v>174</v>
      </c>
      <c r="C184" s="114"/>
      <c r="D184" s="114"/>
      <c r="E184" s="114">
        <v>0</v>
      </c>
      <c r="F184" s="114"/>
      <c r="G184" s="114"/>
      <c r="H184" s="114"/>
      <c r="I184" s="114"/>
      <c r="J184" s="114">
        <v>0</v>
      </c>
    </row>
    <row r="185" spans="2:10" x14ac:dyDescent="0.25">
      <c r="B185" s="115" t="s">
        <v>822</v>
      </c>
      <c r="C185" s="114"/>
      <c r="D185" s="114"/>
      <c r="E185" s="114">
        <v>0</v>
      </c>
      <c r="F185" s="114"/>
      <c r="G185" s="114"/>
      <c r="H185" s="114"/>
      <c r="I185" s="114"/>
      <c r="J185" s="114">
        <v>0</v>
      </c>
    </row>
    <row r="186" spans="2:10" x14ac:dyDescent="0.25">
      <c r="B186" s="113" t="s">
        <v>409</v>
      </c>
      <c r="C186" s="114"/>
      <c r="D186" s="114"/>
      <c r="E186" s="114">
        <v>0</v>
      </c>
      <c r="F186" s="114"/>
      <c r="G186" s="114"/>
      <c r="H186" s="114"/>
      <c r="I186" s="114"/>
      <c r="J186" s="114">
        <v>0</v>
      </c>
    </row>
    <row r="187" spans="2:10" x14ac:dyDescent="0.25">
      <c r="B187" s="115" t="s">
        <v>822</v>
      </c>
      <c r="C187" s="114"/>
      <c r="D187" s="114"/>
      <c r="E187" s="114">
        <v>0</v>
      </c>
      <c r="F187" s="114"/>
      <c r="G187" s="114"/>
      <c r="H187" s="114"/>
      <c r="I187" s="114"/>
      <c r="J187" s="114">
        <v>0</v>
      </c>
    </row>
    <row r="188" spans="2:10" x14ac:dyDescent="0.25">
      <c r="B188" s="113" t="s">
        <v>412</v>
      </c>
      <c r="C188" s="114"/>
      <c r="D188" s="114"/>
      <c r="E188" s="114">
        <v>0</v>
      </c>
      <c r="F188" s="114"/>
      <c r="G188" s="114"/>
      <c r="H188" s="114"/>
      <c r="I188" s="114"/>
      <c r="J188" s="114">
        <v>0</v>
      </c>
    </row>
    <row r="189" spans="2:10" x14ac:dyDescent="0.25">
      <c r="B189" s="115" t="s">
        <v>822</v>
      </c>
      <c r="C189" s="114"/>
      <c r="D189" s="114"/>
      <c r="E189" s="114">
        <v>0</v>
      </c>
      <c r="F189" s="114"/>
      <c r="G189" s="114"/>
      <c r="H189" s="114"/>
      <c r="I189" s="114"/>
      <c r="J189" s="114">
        <v>0</v>
      </c>
    </row>
    <row r="190" spans="2:10" x14ac:dyDescent="0.25">
      <c r="B190" s="113" t="s">
        <v>257</v>
      </c>
      <c r="C190" s="114"/>
      <c r="D190" s="114"/>
      <c r="E190" s="114"/>
      <c r="F190" s="114">
        <v>0</v>
      </c>
      <c r="G190" s="114"/>
      <c r="H190" s="114"/>
      <c r="I190" s="114"/>
      <c r="J190" s="114">
        <v>0</v>
      </c>
    </row>
    <row r="191" spans="2:10" x14ac:dyDescent="0.25">
      <c r="B191" s="115" t="s">
        <v>822</v>
      </c>
      <c r="C191" s="114"/>
      <c r="D191" s="114"/>
      <c r="E191" s="114"/>
      <c r="F191" s="114">
        <v>0</v>
      </c>
      <c r="G191" s="114"/>
      <c r="H191" s="114"/>
      <c r="I191" s="114"/>
      <c r="J191" s="114">
        <v>0</v>
      </c>
    </row>
    <row r="192" spans="2:10" x14ac:dyDescent="0.25">
      <c r="B192" s="113" t="s">
        <v>283</v>
      </c>
      <c r="C192" s="114"/>
      <c r="D192" s="114"/>
      <c r="E192" s="114"/>
      <c r="F192" s="114"/>
      <c r="G192" s="114">
        <v>0</v>
      </c>
      <c r="H192" s="114"/>
      <c r="I192" s="114"/>
      <c r="J192" s="114">
        <v>0</v>
      </c>
    </row>
    <row r="193" spans="2:10" x14ac:dyDescent="0.25">
      <c r="B193" s="115" t="s">
        <v>822</v>
      </c>
      <c r="C193" s="114"/>
      <c r="D193" s="114"/>
      <c r="E193" s="114"/>
      <c r="F193" s="114"/>
      <c r="G193" s="114">
        <v>0</v>
      </c>
      <c r="H193" s="114"/>
      <c r="I193" s="114"/>
      <c r="J193" s="114">
        <v>0</v>
      </c>
    </row>
    <row r="194" spans="2:10" x14ac:dyDescent="0.25">
      <c r="B194" s="113" t="s">
        <v>284</v>
      </c>
      <c r="C194" s="114"/>
      <c r="D194" s="114"/>
      <c r="E194" s="114"/>
      <c r="F194" s="114"/>
      <c r="G194" s="114">
        <v>0</v>
      </c>
      <c r="H194" s="114"/>
      <c r="I194" s="114"/>
      <c r="J194" s="114">
        <v>0</v>
      </c>
    </row>
    <row r="195" spans="2:10" x14ac:dyDescent="0.25">
      <c r="B195" s="115" t="s">
        <v>822</v>
      </c>
      <c r="C195" s="114"/>
      <c r="D195" s="114"/>
      <c r="E195" s="114"/>
      <c r="F195" s="114"/>
      <c r="G195" s="114">
        <v>0</v>
      </c>
      <c r="H195" s="114"/>
      <c r="I195" s="114"/>
      <c r="J195" s="114">
        <v>0</v>
      </c>
    </row>
    <row r="196" spans="2:10" x14ac:dyDescent="0.25">
      <c r="B196" s="113" t="s">
        <v>285</v>
      </c>
      <c r="C196" s="114"/>
      <c r="D196" s="114"/>
      <c r="E196" s="114"/>
      <c r="F196" s="114"/>
      <c r="G196" s="114">
        <v>0</v>
      </c>
      <c r="H196" s="114"/>
      <c r="I196" s="114"/>
      <c r="J196" s="114">
        <v>0</v>
      </c>
    </row>
    <row r="197" spans="2:10" x14ac:dyDescent="0.25">
      <c r="B197" s="115" t="s">
        <v>822</v>
      </c>
      <c r="C197" s="114"/>
      <c r="D197" s="114"/>
      <c r="E197" s="114"/>
      <c r="F197" s="114"/>
      <c r="G197" s="114">
        <v>0</v>
      </c>
      <c r="H197" s="114"/>
      <c r="I197" s="114"/>
      <c r="J197" s="114">
        <v>0</v>
      </c>
    </row>
    <row r="198" spans="2:10" x14ac:dyDescent="0.25">
      <c r="B198" s="113" t="s">
        <v>286</v>
      </c>
      <c r="C198" s="114"/>
      <c r="D198" s="114"/>
      <c r="E198" s="114"/>
      <c r="F198" s="114"/>
      <c r="G198" s="114">
        <v>0</v>
      </c>
      <c r="H198" s="114"/>
      <c r="I198" s="114"/>
      <c r="J198" s="114">
        <v>0</v>
      </c>
    </row>
    <row r="199" spans="2:10" x14ac:dyDescent="0.25">
      <c r="B199" s="115" t="s">
        <v>822</v>
      </c>
      <c r="C199" s="114"/>
      <c r="D199" s="114"/>
      <c r="E199" s="114"/>
      <c r="F199" s="114"/>
      <c r="G199" s="114">
        <v>0</v>
      </c>
      <c r="H199" s="114"/>
      <c r="I199" s="114"/>
      <c r="J199" s="114">
        <v>0</v>
      </c>
    </row>
    <row r="200" spans="2:10" x14ac:dyDescent="0.25">
      <c r="B200" s="113" t="s">
        <v>287</v>
      </c>
      <c r="C200" s="114"/>
      <c r="D200" s="114"/>
      <c r="E200" s="114"/>
      <c r="F200" s="114"/>
      <c r="G200" s="114">
        <v>0</v>
      </c>
      <c r="H200" s="114"/>
      <c r="I200" s="114"/>
      <c r="J200" s="114">
        <v>0</v>
      </c>
    </row>
    <row r="201" spans="2:10" x14ac:dyDescent="0.25">
      <c r="B201" s="115" t="s">
        <v>822</v>
      </c>
      <c r="C201" s="114"/>
      <c r="D201" s="114"/>
      <c r="E201" s="114"/>
      <c r="F201" s="114"/>
      <c r="G201" s="114">
        <v>0</v>
      </c>
      <c r="H201" s="114"/>
      <c r="I201" s="114"/>
      <c r="J201" s="114">
        <v>0</v>
      </c>
    </row>
    <row r="202" spans="2:10" x14ac:dyDescent="0.25">
      <c r="B202" s="66" t="s">
        <v>163</v>
      </c>
      <c r="C202" s="114">
        <v>0</v>
      </c>
      <c r="D202" s="114">
        <v>475728</v>
      </c>
      <c r="E202" s="114">
        <v>0</v>
      </c>
      <c r="F202" s="114"/>
      <c r="G202" s="114"/>
      <c r="H202" s="114"/>
      <c r="I202" s="114"/>
      <c r="J202" s="114">
        <v>475728</v>
      </c>
    </row>
    <row r="203" spans="2:10" x14ac:dyDescent="0.25">
      <c r="B203" s="66" t="s">
        <v>157</v>
      </c>
      <c r="C203" s="114">
        <v>0</v>
      </c>
      <c r="D203" s="114">
        <v>116109</v>
      </c>
      <c r="E203" s="114">
        <v>0</v>
      </c>
      <c r="F203" s="114">
        <v>0</v>
      </c>
      <c r="G203" s="114"/>
      <c r="H203" s="114"/>
      <c r="I203" s="114">
        <v>0</v>
      </c>
      <c r="J203" s="114">
        <v>116109</v>
      </c>
    </row>
    <row r="204" spans="2:10" x14ac:dyDescent="0.25">
      <c r="B204" s="66" t="s">
        <v>410</v>
      </c>
      <c r="C204" s="114">
        <v>0</v>
      </c>
      <c r="D204" s="114">
        <v>95887</v>
      </c>
      <c r="E204" s="114">
        <v>0</v>
      </c>
      <c r="F204" s="114">
        <v>0</v>
      </c>
      <c r="G204" s="114">
        <v>0</v>
      </c>
      <c r="H204" s="114">
        <v>0</v>
      </c>
      <c r="I204" s="114"/>
      <c r="J204" s="114">
        <v>95887</v>
      </c>
    </row>
    <row r="205" spans="2:10" x14ac:dyDescent="0.25">
      <c r="B205" s="66" t="s">
        <v>420</v>
      </c>
      <c r="C205" s="114"/>
      <c r="D205" s="114">
        <v>82399</v>
      </c>
      <c r="E205" s="114"/>
      <c r="F205" s="114"/>
      <c r="G205" s="114"/>
      <c r="H205" s="114"/>
      <c r="I205" s="114"/>
      <c r="J205" s="114">
        <v>82399</v>
      </c>
    </row>
    <row r="206" spans="2:10" x14ac:dyDescent="0.25">
      <c r="B206" s="66" t="s">
        <v>673</v>
      </c>
      <c r="C206" s="114"/>
      <c r="D206" s="114">
        <v>0</v>
      </c>
      <c r="E206" s="114"/>
      <c r="F206" s="114"/>
      <c r="G206" s="114"/>
      <c r="H206" s="114"/>
      <c r="I206" s="114"/>
      <c r="J206" s="114">
        <v>0</v>
      </c>
    </row>
    <row r="207" spans="2:10" x14ac:dyDescent="0.25">
      <c r="B207" s="66" t="s">
        <v>674</v>
      </c>
      <c r="C207" s="114"/>
      <c r="D207" s="114">
        <v>0</v>
      </c>
      <c r="E207" s="114"/>
      <c r="F207" s="114"/>
      <c r="G207" s="114"/>
      <c r="H207" s="114"/>
      <c r="I207" s="114"/>
      <c r="J207" s="114">
        <v>0</v>
      </c>
    </row>
    <row r="208" spans="2:10" x14ac:dyDescent="0.25">
      <c r="B208" s="66" t="s">
        <v>828</v>
      </c>
      <c r="C208" s="114">
        <v>0</v>
      </c>
      <c r="D208" s="114">
        <v>1827480</v>
      </c>
      <c r="E208" s="114">
        <v>0</v>
      </c>
      <c r="F208" s="114">
        <v>0</v>
      </c>
      <c r="G208" s="114">
        <v>0</v>
      </c>
      <c r="H208" s="114">
        <v>0</v>
      </c>
      <c r="I208" s="114">
        <v>0</v>
      </c>
      <c r="J208" s="114">
        <v>1827480</v>
      </c>
    </row>
  </sheetData>
  <mergeCells count="1">
    <mergeCell ref="B2:J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"/>
  <sheetViews>
    <sheetView showGridLines="0" zoomScaleNormal="100" workbookViewId="0">
      <pane ySplit="4" topLeftCell="A5" activePane="bottomLeft" state="frozen"/>
      <selection pane="bottomLeft" activeCell="K22" sqref="K22"/>
    </sheetView>
  </sheetViews>
  <sheetFormatPr defaultColWidth="8.5703125" defaultRowHeight="15" x14ac:dyDescent="0.25"/>
  <cols>
    <col min="1" max="1" width="22" customWidth="1"/>
    <col min="2" max="2" width="20" customWidth="1"/>
    <col min="3" max="3" width="13" customWidth="1"/>
    <col min="4" max="4" width="14" customWidth="1"/>
    <col min="5" max="5" width="16" customWidth="1"/>
    <col min="6" max="6" width="17" customWidth="1"/>
    <col min="7" max="7" width="16" customWidth="1"/>
    <col min="8" max="11" width="12" customWidth="1"/>
  </cols>
  <sheetData>
    <row r="1" spans="1:11" ht="42" customHeight="1" x14ac:dyDescent="0.25">
      <c r="A1" s="118" t="s">
        <v>29</v>
      </c>
      <c r="B1" s="118"/>
      <c r="C1" s="118"/>
      <c r="D1" s="118"/>
      <c r="E1" s="118"/>
      <c r="F1" s="118"/>
      <c r="G1" s="118"/>
      <c r="H1" s="118"/>
      <c r="I1" s="118"/>
      <c r="J1" s="118"/>
      <c r="K1" s="118"/>
    </row>
    <row r="2" spans="1:11" ht="19.5" hidden="1" customHeight="1" x14ac:dyDescent="0.25">
      <c r="A2" s="119" t="s">
        <v>0</v>
      </c>
      <c r="B2" s="119"/>
      <c r="C2" s="119"/>
      <c r="D2" s="119"/>
      <c r="E2" s="119"/>
      <c r="F2" s="119"/>
      <c r="G2" s="119"/>
      <c r="H2" s="119"/>
      <c r="I2" s="119"/>
      <c r="J2" s="119"/>
      <c r="K2" s="119"/>
    </row>
    <row r="3" spans="1:11" ht="9.75" customHeight="1" x14ac:dyDescent="0.25"/>
    <row r="4" spans="1:11" ht="30" customHeight="1" x14ac:dyDescent="0.25">
      <c r="A4" s="1" t="s">
        <v>1</v>
      </c>
      <c r="B4" s="1" t="s">
        <v>2</v>
      </c>
      <c r="C4" s="2" t="s">
        <v>3</v>
      </c>
      <c r="D4" s="3" t="s">
        <v>4</v>
      </c>
      <c r="E4" s="4" t="s">
        <v>5</v>
      </c>
      <c r="F4" s="5" t="s">
        <v>6</v>
      </c>
      <c r="G4" s="6" t="s">
        <v>7</v>
      </c>
      <c r="H4" s="7" t="s">
        <v>8</v>
      </c>
      <c r="I4" s="1" t="s">
        <v>9</v>
      </c>
      <c r="J4" s="8" t="s">
        <v>10</v>
      </c>
      <c r="K4" s="7" t="s">
        <v>11</v>
      </c>
    </row>
    <row r="5" spans="1:11" ht="21.75" customHeight="1" x14ac:dyDescent="0.25">
      <c r="A5" s="9" t="str">
        <f>'Glovis Lighthouse'!C2</f>
        <v>Glovis Lighthouse</v>
      </c>
      <c r="B5" s="10" t="str">
        <f>'Glovis Lighthouse'!C3</f>
        <v>SWS - Shanghai Waigaoqiao Shipbuilding Co., Ltd.</v>
      </c>
      <c r="C5" s="11">
        <f>COUNTIF('Glovis Lighthouse'!E35:E140,"Not Created")</f>
        <v>25</v>
      </c>
      <c r="D5" s="11">
        <f>COUNTIF('Glovis Lighthouse'!E35:E73,"To Be Created")</f>
        <v>0</v>
      </c>
      <c r="E5" s="11">
        <f>COUNTIF('Glovis Lighthouse'!E35:E73,"Pending Approval")</f>
        <v>0</v>
      </c>
      <c r="F5" s="11">
        <f>COUNTIF('Glovis Lighthouse'!E35:E73,"Approved &amp; Issued")</f>
        <v>0</v>
      </c>
      <c r="G5" s="11">
        <f>COUNTIF('Glovis Lighthouse'!E35:E73,"Pending Delivery")</f>
        <v>23</v>
      </c>
      <c r="H5" s="11">
        <f>COUNTIF('Glovis Lighthouse'!E35:E73,"Delivered")</f>
        <v>3</v>
      </c>
      <c r="I5" s="12">
        <f>COUNTA('Glovis Lighthouse'!B35:B73)</f>
        <v>39</v>
      </c>
      <c r="J5" s="13">
        <f t="shared" ref="J5:J13" si="0">IF(I5&gt;0,(F5+G5)/I5,0)</f>
        <v>0.58974358974358976</v>
      </c>
      <c r="K5" s="13">
        <f t="shared" ref="K5:K13" si="1">IF(I5&gt;0,H5/I5,0)</f>
        <v>7.6923076923076927E-2</v>
      </c>
    </row>
    <row r="6" spans="1:11" ht="21.75" customHeight="1" x14ac:dyDescent="0.25">
      <c r="A6" s="14" t="str">
        <f>'Glovis Link'!C2</f>
        <v>Glovis Link</v>
      </c>
      <c r="B6" s="15" t="str">
        <f>'Glovis Link'!C3</f>
        <v>SWS</v>
      </c>
      <c r="C6" s="16">
        <f>COUNTIF('Glovis Link'!E11:E151,"Not Created")</f>
        <v>1</v>
      </c>
      <c r="D6" s="16">
        <f>COUNTIF('Glovis Link'!E11:E113,"To Be Created")</f>
        <v>0</v>
      </c>
      <c r="E6" s="16">
        <f>COUNTIF('Glovis Link'!E11:E113,"Pending Approval")</f>
        <v>9</v>
      </c>
      <c r="F6" s="16">
        <f>COUNTIF('Glovis Link'!E11:E113,"Approved &amp; Issued")</f>
        <v>0</v>
      </c>
      <c r="G6" s="16">
        <f>COUNTIF('Glovis Link'!E11:E113,"Pending Delivery")</f>
        <v>23</v>
      </c>
      <c r="H6" s="16">
        <f>COUNTIF('Glovis Link'!E11:E113,"Delivered")</f>
        <v>0</v>
      </c>
      <c r="I6" s="17">
        <f>COUNTA('Glovis Link'!B11:B113)</f>
        <v>39</v>
      </c>
      <c r="J6" s="18">
        <f t="shared" si="0"/>
        <v>0.58974358974358976</v>
      </c>
      <c r="K6" s="18">
        <f t="shared" si="1"/>
        <v>0</v>
      </c>
    </row>
    <row r="7" spans="1:11" ht="21.75" customHeight="1" x14ac:dyDescent="0.25">
      <c r="A7" s="9" t="str">
        <f>'Glovis Logos'!C2</f>
        <v>Glovis Logos</v>
      </c>
      <c r="B7" s="10" t="str">
        <f>'Glovis Logos'!C3</f>
        <v>SWS</v>
      </c>
      <c r="C7" s="11">
        <f>COUNTIF('Glovis Logos'!E11:E151,"Not Created")</f>
        <v>0</v>
      </c>
      <c r="D7" s="11">
        <f>COUNTIF('Glovis Logos'!E11:E113,"To Be Created")</f>
        <v>0</v>
      </c>
      <c r="E7" s="11">
        <f>COUNTIF('Glovis Logos'!E11:E113,"Pending Approval")</f>
        <v>6</v>
      </c>
      <c r="F7" s="11">
        <f>COUNTIF('Glovis Logos'!E11:E113,"Approved &amp; Issued")</f>
        <v>0</v>
      </c>
      <c r="G7" s="11">
        <f>COUNTIF('Glovis Logos'!E11:E113,"Pending Delivery")</f>
        <v>19</v>
      </c>
      <c r="H7" s="11">
        <f>COUNTIF('Glovis Logos'!E11:E113,"Delivered")</f>
        <v>0</v>
      </c>
      <c r="I7" s="12">
        <f>COUNTA('Glovis Logos'!B11:B113)</f>
        <v>31</v>
      </c>
      <c r="J7" s="13">
        <f t="shared" si="0"/>
        <v>0.61290322580645162</v>
      </c>
      <c r="K7" s="13">
        <f t="shared" si="1"/>
        <v>0</v>
      </c>
    </row>
    <row r="8" spans="1:11" ht="21.75" customHeight="1" x14ac:dyDescent="0.25">
      <c r="A8" s="14" t="str">
        <f>'Glovis Loyal'!C2</f>
        <v>Glovis Loyal</v>
      </c>
      <c r="B8" s="15" t="str">
        <f>'Glovis Loyal'!C3</f>
        <v>SWS</v>
      </c>
      <c r="C8" s="16">
        <f>COUNTIF('Glovis Loyal'!E11:E151,"Not Created")</f>
        <v>0</v>
      </c>
      <c r="D8" s="16">
        <f>COUNTIF('Glovis Loyal'!E11:E111,"To Be Created")</f>
        <v>0</v>
      </c>
      <c r="E8" s="16">
        <f>COUNTIF('Glovis Loyal'!E11:E111,"Pending Approval")</f>
        <v>5</v>
      </c>
      <c r="F8" s="16">
        <f>COUNTIF('Glovis Loyal'!E11:E111,"Approved &amp; Issued")</f>
        <v>0</v>
      </c>
      <c r="G8" s="16">
        <f>COUNTIF('Glovis Loyal'!E11:E111,"Pending Delivery")</f>
        <v>6</v>
      </c>
      <c r="H8" s="16">
        <f>COUNTIF('Glovis Loyal'!E11:E111,"Delivered")</f>
        <v>0</v>
      </c>
      <c r="I8" s="17">
        <f>COUNTA('Glovis Loyal'!B11:B111)</f>
        <v>29</v>
      </c>
      <c r="J8" s="18">
        <f t="shared" si="0"/>
        <v>0.20689655172413793</v>
      </c>
      <c r="K8" s="18">
        <f t="shared" si="1"/>
        <v>0</v>
      </c>
    </row>
    <row r="9" spans="1:11" ht="21.75" customHeight="1" x14ac:dyDescent="0.25">
      <c r="A9" s="9" t="str">
        <f>'Glovis Lander'!C2</f>
        <v>Glovis Lander</v>
      </c>
      <c r="B9" s="10" t="str">
        <f>'Glovis Lander'!C3</f>
        <v>GSI: Guangzhou United International Shipping Agency Co., Ltd</v>
      </c>
      <c r="C9" s="11">
        <f>COUNTIF('Glovis Lander'!F11:F150,"Not Created")</f>
        <v>1</v>
      </c>
      <c r="D9" s="11">
        <f>COUNTIF('Glovis Lander'!F11:F110,"To Be Created")</f>
        <v>0</v>
      </c>
      <c r="E9" s="11">
        <f>COUNTIF('Glovis Lander'!F11:F110,"Pending Approval")</f>
        <v>4</v>
      </c>
      <c r="F9" s="11">
        <f>COUNTIF('Glovis Lander'!F11:F110,"Approved &amp; Issued")</f>
        <v>0</v>
      </c>
      <c r="G9" s="11">
        <f>COUNTIF('Glovis Lander'!F11:F110,"Pending Delivery")</f>
        <v>30</v>
      </c>
      <c r="H9" s="11">
        <f>COUNTIF('Glovis Lander'!F11:F110,"Delivered")</f>
        <v>6</v>
      </c>
      <c r="I9" s="12">
        <f>COUNTA('Glovis Lander'!B11:B110)</f>
        <v>56</v>
      </c>
      <c r="J9" s="13">
        <f t="shared" si="0"/>
        <v>0.5357142857142857</v>
      </c>
      <c r="K9" s="13">
        <f t="shared" si="1"/>
        <v>0.10714285714285714</v>
      </c>
    </row>
    <row r="10" spans="1:11" ht="21.75" customHeight="1" x14ac:dyDescent="0.25">
      <c r="A10" s="14">
        <f>'Glovis Luminous'!C2</f>
        <v>0</v>
      </c>
      <c r="B10" s="15">
        <f>'Glovis Luminous'!C3</f>
        <v>0</v>
      </c>
      <c r="C10" s="16">
        <f>COUNTIF('Glovis Luminous'!E11:E150,"Not Created")</f>
        <v>0</v>
      </c>
      <c r="D10" s="16">
        <f>COUNTIF('Glovis Luminous'!E11:E110,"To Be Created")</f>
        <v>0</v>
      </c>
      <c r="E10" s="16">
        <f>COUNTIF('Glovis Luminous'!E11:E110,"Pending Approval")</f>
        <v>5</v>
      </c>
      <c r="F10" s="16">
        <f>COUNTIF('Glovis Luminous'!E11:E110,"Approved &amp; Issued")</f>
        <v>0</v>
      </c>
      <c r="G10" s="16">
        <f>COUNTIF('Glovis Luminous'!E11:E110,"Pending Delivery")</f>
        <v>11</v>
      </c>
      <c r="H10" s="16">
        <f>COUNTIF('Glovis Luminous'!E11:E110,"Delivered")</f>
        <v>0</v>
      </c>
      <c r="I10" s="17">
        <f>COUNTA('Glovis Luminous'!B11:B110)</f>
        <v>28</v>
      </c>
      <c r="J10" s="18">
        <f t="shared" si="0"/>
        <v>0.39285714285714285</v>
      </c>
      <c r="K10" s="18">
        <f t="shared" si="1"/>
        <v>0</v>
      </c>
    </row>
    <row r="11" spans="1:11" ht="21.75" customHeight="1" x14ac:dyDescent="0.25">
      <c r="A11" s="9">
        <f>'Vessel 7'!C2</f>
        <v>0</v>
      </c>
      <c r="B11" s="10">
        <f>'Vessel 7'!C3</f>
        <v>0</v>
      </c>
      <c r="C11" s="11">
        <f>COUNTIF('Vessel 7'!E11:E150,"Not Created")</f>
        <v>0</v>
      </c>
      <c r="D11" s="11">
        <f>COUNTIF('Vessel 7'!E11:E110,"To Be Created")</f>
        <v>0</v>
      </c>
      <c r="E11" s="11">
        <f>COUNTIF('Vessel 7'!E11:E110,"Pending Approval")</f>
        <v>0</v>
      </c>
      <c r="F11" s="11">
        <f>COUNTIF('Vessel 7'!E11:E110,"Approved &amp; Issued")</f>
        <v>0</v>
      </c>
      <c r="G11" s="11">
        <f>COUNTIF('Vessel 7'!E11:E110,"Pending Delivery")</f>
        <v>0</v>
      </c>
      <c r="H11" s="11">
        <f>COUNTIF('Vessel 7'!E11:E110,"Delivered")</f>
        <v>0</v>
      </c>
      <c r="I11" s="12">
        <f>COUNTA('Vessel 7'!B11:B110)</f>
        <v>0</v>
      </c>
      <c r="J11" s="13">
        <f t="shared" si="0"/>
        <v>0</v>
      </c>
      <c r="K11" s="13">
        <f t="shared" si="1"/>
        <v>0</v>
      </c>
    </row>
    <row r="12" spans="1:11" ht="21.75" customHeight="1" x14ac:dyDescent="0.25">
      <c r="A12" s="14">
        <f>'Vessel 8'!C2</f>
        <v>0</v>
      </c>
      <c r="B12" s="15">
        <f>'Vessel 8'!C3</f>
        <v>0</v>
      </c>
      <c r="C12" s="16">
        <f>COUNTIF('Vessel 8'!E11:E150,"Not Created")</f>
        <v>0</v>
      </c>
      <c r="D12" s="16">
        <f>COUNTIF('Vessel 8'!E11:E110,"To Be Created")</f>
        <v>0</v>
      </c>
      <c r="E12" s="16">
        <f>COUNTIF('Vessel 8'!E11:E110,"Pending Approval")</f>
        <v>0</v>
      </c>
      <c r="F12" s="16">
        <f>COUNTIF('Vessel 8'!E11:E110,"Approved &amp; Issued")</f>
        <v>0</v>
      </c>
      <c r="G12" s="16">
        <f>COUNTIF('Vessel 8'!E11:E110,"Pending Delivery")</f>
        <v>0</v>
      </c>
      <c r="H12" s="16">
        <f>COUNTIF('Vessel 8'!E11:E110,"Delivered")</f>
        <v>0</v>
      </c>
      <c r="I12" s="17">
        <f>COUNTA('Vessel 8'!B11:B110)</f>
        <v>0</v>
      </c>
      <c r="J12" s="18">
        <f t="shared" si="0"/>
        <v>0</v>
      </c>
      <c r="K12" s="18">
        <f t="shared" si="1"/>
        <v>0</v>
      </c>
    </row>
    <row r="13" spans="1:11" ht="25.5" customHeight="1" x14ac:dyDescent="0.25">
      <c r="A13" s="19" t="s">
        <v>12</v>
      </c>
      <c r="B13" s="20"/>
      <c r="C13" s="20">
        <f t="shared" ref="C13:I13" si="2">SUM(C5:C12)</f>
        <v>27</v>
      </c>
      <c r="D13" s="20">
        <f t="shared" si="2"/>
        <v>0</v>
      </c>
      <c r="E13" s="20">
        <f t="shared" si="2"/>
        <v>29</v>
      </c>
      <c r="F13" s="20">
        <f t="shared" si="2"/>
        <v>0</v>
      </c>
      <c r="G13" s="20">
        <f t="shared" si="2"/>
        <v>112</v>
      </c>
      <c r="H13" s="20">
        <f t="shared" si="2"/>
        <v>9</v>
      </c>
      <c r="I13" s="20">
        <f t="shared" si="2"/>
        <v>222</v>
      </c>
      <c r="J13" s="21">
        <f t="shared" si="0"/>
        <v>0.50450450450450446</v>
      </c>
      <c r="K13" s="21">
        <f t="shared" si="1"/>
        <v>4.0540540540540543E-2</v>
      </c>
    </row>
  </sheetData>
  <mergeCells count="2">
    <mergeCell ref="A1:K1"/>
    <mergeCell ref="A2:K2"/>
  </mergeCells>
  <pageMargins left="0.75" right="0.75" top="1" bottom="1" header="0.511811023622047" footer="0.511811023622047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/>
  <dimension ref="A1:P139"/>
  <sheetViews>
    <sheetView showGridLines="0" zoomScale="89" zoomScaleNormal="89" workbookViewId="0">
      <pane ySplit="10" topLeftCell="A12" activePane="bottomLeft" state="frozen"/>
      <selection pane="bottomLeft" activeCell="C12" sqref="C12"/>
    </sheetView>
  </sheetViews>
  <sheetFormatPr defaultColWidth="8.5703125" defaultRowHeight="15" x14ac:dyDescent="0.25"/>
  <cols>
    <col min="1" max="1" width="5" customWidth="1"/>
    <col min="2" max="2" width="19.85546875" customWidth="1"/>
    <col min="3" max="5" width="28" customWidth="1"/>
    <col min="6" max="6" width="16" customWidth="1"/>
    <col min="7" max="8" width="20" customWidth="1"/>
    <col min="9" max="9" width="16" customWidth="1"/>
    <col min="10" max="10" width="58.5703125" bestFit="1" customWidth="1"/>
    <col min="11" max="11" width="42" customWidth="1"/>
    <col min="12" max="13" width="4" customWidth="1"/>
  </cols>
  <sheetData>
    <row r="1" spans="1:16" ht="36" customHeight="1" x14ac:dyDescent="0.25">
      <c r="A1" s="125" t="s">
        <v>13</v>
      </c>
      <c r="B1" s="125"/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</row>
    <row r="2" spans="1:16" ht="24" customHeight="1" x14ac:dyDescent="0.25">
      <c r="A2" s="122" t="s">
        <v>14</v>
      </c>
      <c r="B2" s="122"/>
      <c r="C2" s="126" t="s">
        <v>398</v>
      </c>
      <c r="D2" s="126"/>
      <c r="E2" s="126"/>
      <c r="F2" s="126"/>
      <c r="G2" s="123" t="s">
        <v>15</v>
      </c>
      <c r="H2" s="123"/>
      <c r="I2" s="123"/>
      <c r="J2" s="123"/>
      <c r="K2" s="123"/>
      <c r="L2" s="123"/>
      <c r="M2" s="123"/>
    </row>
    <row r="3" spans="1:16" ht="24" customHeight="1" x14ac:dyDescent="0.25">
      <c r="A3" s="122" t="s">
        <v>16</v>
      </c>
      <c r="B3" s="122"/>
      <c r="C3" s="126" t="s">
        <v>689</v>
      </c>
      <c r="D3" s="126"/>
      <c r="E3" s="126"/>
      <c r="F3" s="126"/>
      <c r="G3" s="123" t="s">
        <v>17</v>
      </c>
      <c r="H3" s="123"/>
      <c r="I3" s="123"/>
      <c r="J3" s="123"/>
      <c r="K3" s="123"/>
      <c r="L3" s="123"/>
      <c r="M3" s="123"/>
    </row>
    <row r="4" spans="1:16" ht="24" customHeight="1" x14ac:dyDescent="0.25">
      <c r="A4" s="122" t="s">
        <v>18</v>
      </c>
      <c r="B4" s="122"/>
      <c r="C4" s="22">
        <v>46212</v>
      </c>
      <c r="D4" s="53"/>
      <c r="E4" s="123" t="s">
        <v>19</v>
      </c>
      <c r="F4" s="123"/>
      <c r="G4" s="123"/>
      <c r="H4" s="123"/>
      <c r="I4" s="123"/>
      <c r="J4" s="123"/>
      <c r="K4" s="123"/>
      <c r="L4" s="123"/>
      <c r="M4" s="123"/>
    </row>
    <row r="5" spans="1:16" ht="34.5" customHeight="1" x14ac:dyDescent="0.25">
      <c r="E5" s="94" t="s">
        <v>22</v>
      </c>
      <c r="F5" s="94" t="s">
        <v>23</v>
      </c>
      <c r="G5" s="94" t="s">
        <v>24</v>
      </c>
      <c r="H5" s="94" t="s">
        <v>25</v>
      </c>
      <c r="I5" s="94" t="s">
        <v>26</v>
      </c>
      <c r="J5" s="94" t="s">
        <v>27</v>
      </c>
      <c r="K5" s="94" t="s">
        <v>28</v>
      </c>
      <c r="L5" s="94" t="s">
        <v>601</v>
      </c>
      <c r="M5" s="94" t="s">
        <v>708</v>
      </c>
      <c r="N5" s="94" t="s">
        <v>782</v>
      </c>
      <c r="O5" s="94" t="s">
        <v>709</v>
      </c>
      <c r="P5" s="94" t="s">
        <v>809</v>
      </c>
    </row>
    <row r="6" spans="1:16" ht="21.75" customHeight="1" x14ac:dyDescent="0.25">
      <c r="A6" s="23" t="s">
        <v>3</v>
      </c>
      <c r="B6" s="24" t="s">
        <v>4</v>
      </c>
      <c r="C6" s="25" t="s">
        <v>5</v>
      </c>
      <c r="D6" s="25"/>
      <c r="E6" s="26" t="s">
        <v>6</v>
      </c>
      <c r="F6" s="27" t="s">
        <v>7</v>
      </c>
      <c r="G6" s="28" t="s">
        <v>8</v>
      </c>
      <c r="H6" s="28"/>
      <c r="I6" s="1" t="s">
        <v>9</v>
      </c>
      <c r="J6" s="8" t="s">
        <v>10</v>
      </c>
      <c r="K6" s="7" t="s">
        <v>11</v>
      </c>
    </row>
    <row r="7" spans="1:16" ht="21.75" customHeight="1" x14ac:dyDescent="0.25">
      <c r="A7" s="29">
        <f>COUNTIF(F11:F110,"Not Created")</f>
        <v>1</v>
      </c>
      <c r="B7" s="29">
        <f>COUNTIF(F11:F110,"To Be Created")</f>
        <v>0</v>
      </c>
      <c r="C7" s="29">
        <f>COUNTIF(F11:F110,"Pending Approval")</f>
        <v>4</v>
      </c>
      <c r="D7" s="29"/>
      <c r="E7" s="29">
        <f>COUNTIF(F11:F110,"Approved &amp; Issued")</f>
        <v>0</v>
      </c>
      <c r="F7" s="29">
        <f>COUNTIF(F11:F110,"Pending Delivery")</f>
        <v>30</v>
      </c>
      <c r="G7" s="29">
        <f>COUNTIF(F11:F110,"Delivered")</f>
        <v>6</v>
      </c>
      <c r="H7" s="29"/>
      <c r="I7" s="29">
        <f>COUNTA(B11:B110)</f>
        <v>56</v>
      </c>
      <c r="J7" s="30">
        <f>IF(I7&gt;0,(E7+F7)/I7,0)</f>
        <v>0.5357142857142857</v>
      </c>
      <c r="K7" s="30">
        <f>IF(I7&gt;0,G7/I7,0)</f>
        <v>0.10714285714285714</v>
      </c>
    </row>
    <row r="8" spans="1:16" ht="7.5" customHeight="1" x14ac:dyDescent="0.25"/>
    <row r="9" spans="1:16" ht="18" customHeight="1" x14ac:dyDescent="0.25">
      <c r="A9" s="124" t="s">
        <v>20</v>
      </c>
      <c r="B9" s="124"/>
      <c r="C9" s="124"/>
      <c r="D9" s="124"/>
      <c r="E9" s="124"/>
      <c r="F9" s="124"/>
      <c r="G9" s="124"/>
      <c r="H9" s="124"/>
      <c r="I9" s="124"/>
      <c r="J9" s="124"/>
      <c r="K9" s="124"/>
    </row>
    <row r="10" spans="1:16" ht="30" customHeight="1" x14ac:dyDescent="0.25">
      <c r="A10" s="1" t="s">
        <v>21</v>
      </c>
      <c r="B10" s="1" t="s">
        <v>22</v>
      </c>
      <c r="C10" s="1" t="s">
        <v>23</v>
      </c>
      <c r="D10" s="1"/>
      <c r="E10" s="1" t="s">
        <v>24</v>
      </c>
      <c r="F10" s="1" t="s">
        <v>25</v>
      </c>
      <c r="G10" s="1" t="s">
        <v>26</v>
      </c>
      <c r="H10" s="1"/>
      <c r="I10" s="1" t="s">
        <v>27</v>
      </c>
      <c r="J10" s="1" t="s">
        <v>28</v>
      </c>
    </row>
    <row r="11" spans="1:16" ht="18" hidden="1" customHeight="1" x14ac:dyDescent="0.25">
      <c r="A11" s="46">
        <v>1</v>
      </c>
      <c r="B11" s="47" t="s">
        <v>337</v>
      </c>
      <c r="C11" s="47" t="s">
        <v>59</v>
      </c>
      <c r="D11" s="47"/>
      <c r="E11" s="48" t="s">
        <v>158</v>
      </c>
      <c r="F11" s="48" t="s">
        <v>7</v>
      </c>
      <c r="G11" s="49" t="s">
        <v>222</v>
      </c>
      <c r="H11" s="49"/>
      <c r="I11" s="49"/>
      <c r="J11" s="47" t="s">
        <v>225</v>
      </c>
    </row>
    <row r="12" spans="1:16" ht="18" customHeight="1" x14ac:dyDescent="0.25">
      <c r="A12" s="46">
        <v>2</v>
      </c>
      <c r="B12" s="50" t="s">
        <v>338</v>
      </c>
      <c r="C12" s="50" t="s">
        <v>70</v>
      </c>
      <c r="D12" s="50"/>
      <c r="E12" s="51" t="s">
        <v>157</v>
      </c>
      <c r="F12" s="51" t="s">
        <v>7</v>
      </c>
      <c r="G12" s="52" t="s">
        <v>148</v>
      </c>
      <c r="H12" s="52"/>
      <c r="I12" s="52"/>
      <c r="J12" s="50" t="s">
        <v>160</v>
      </c>
    </row>
    <row r="13" spans="1:16" ht="18" customHeight="1" x14ac:dyDescent="0.25">
      <c r="A13" s="46">
        <v>3</v>
      </c>
      <c r="B13" s="47" t="s">
        <v>339</v>
      </c>
      <c r="C13" s="47" t="s">
        <v>366</v>
      </c>
      <c r="D13" s="47"/>
      <c r="E13" s="48" t="s">
        <v>157</v>
      </c>
      <c r="F13" s="48" t="s">
        <v>7</v>
      </c>
      <c r="G13" s="49" t="s">
        <v>140</v>
      </c>
      <c r="H13" s="49"/>
      <c r="I13" s="49"/>
      <c r="J13" s="47" t="s">
        <v>160</v>
      </c>
    </row>
    <row r="14" spans="1:16" ht="18" hidden="1" customHeight="1" x14ac:dyDescent="0.25">
      <c r="A14" s="46">
        <v>4</v>
      </c>
      <c r="B14" s="50" t="s">
        <v>340</v>
      </c>
      <c r="C14" s="50" t="s">
        <v>367</v>
      </c>
      <c r="D14" s="50"/>
      <c r="E14" s="51" t="s">
        <v>158</v>
      </c>
      <c r="F14" s="51" t="s">
        <v>7</v>
      </c>
      <c r="G14" s="52" t="s">
        <v>150</v>
      </c>
      <c r="H14" s="52"/>
      <c r="I14" s="52"/>
      <c r="J14" s="50" t="s">
        <v>388</v>
      </c>
    </row>
    <row r="15" spans="1:16" ht="18" hidden="1" customHeight="1" x14ac:dyDescent="0.25">
      <c r="A15" s="46">
        <v>5</v>
      </c>
      <c r="B15" s="47" t="s">
        <v>341</v>
      </c>
      <c r="C15" s="47" t="s">
        <v>368</v>
      </c>
      <c r="D15" s="47"/>
      <c r="E15" s="48" t="s">
        <v>158</v>
      </c>
      <c r="F15" s="48" t="s">
        <v>8</v>
      </c>
      <c r="G15" s="49" t="s">
        <v>384</v>
      </c>
      <c r="H15" s="49"/>
      <c r="I15" s="49"/>
      <c r="J15" s="47" t="s">
        <v>389</v>
      </c>
    </row>
    <row r="16" spans="1:16" ht="18" customHeight="1" x14ac:dyDescent="0.25">
      <c r="A16" s="46">
        <v>6</v>
      </c>
      <c r="B16" s="50" t="s">
        <v>342</v>
      </c>
      <c r="C16" s="50" t="s">
        <v>369</v>
      </c>
      <c r="D16" s="50"/>
      <c r="E16" s="51" t="s">
        <v>157</v>
      </c>
      <c r="F16" s="51" t="s">
        <v>7</v>
      </c>
      <c r="G16" s="52" t="s">
        <v>143</v>
      </c>
      <c r="H16" s="52"/>
      <c r="I16" s="52"/>
      <c r="J16" s="50" t="s">
        <v>160</v>
      </c>
    </row>
    <row r="17" spans="1:10" ht="18" customHeight="1" x14ac:dyDescent="0.25">
      <c r="A17" s="46">
        <v>7</v>
      </c>
      <c r="B17" s="47" t="s">
        <v>343</v>
      </c>
      <c r="C17" s="47" t="s">
        <v>370</v>
      </c>
      <c r="D17" s="47"/>
      <c r="E17" s="48" t="s">
        <v>157</v>
      </c>
      <c r="F17" s="48" t="s">
        <v>7</v>
      </c>
      <c r="G17" s="49" t="s">
        <v>385</v>
      </c>
      <c r="H17" s="49"/>
      <c r="I17" s="49"/>
      <c r="J17" s="47" t="s">
        <v>160</v>
      </c>
    </row>
    <row r="18" spans="1:10" ht="18" customHeight="1" x14ac:dyDescent="0.25">
      <c r="A18" s="46">
        <v>8</v>
      </c>
      <c r="B18" s="50" t="s">
        <v>344</v>
      </c>
      <c r="C18" s="50" t="s">
        <v>371</v>
      </c>
      <c r="D18" s="50"/>
      <c r="E18" s="51" t="s">
        <v>163</v>
      </c>
      <c r="F18" s="51" t="s">
        <v>7</v>
      </c>
      <c r="G18" s="52" t="s">
        <v>144</v>
      </c>
      <c r="H18" s="52"/>
      <c r="I18" s="52"/>
      <c r="J18" s="50" t="s">
        <v>390</v>
      </c>
    </row>
    <row r="19" spans="1:10" ht="18" customHeight="1" x14ac:dyDescent="0.25">
      <c r="A19" s="46">
        <v>9</v>
      </c>
      <c r="B19" s="47" t="s">
        <v>345</v>
      </c>
      <c r="C19" s="47" t="s">
        <v>372</v>
      </c>
      <c r="D19" s="47"/>
      <c r="E19" s="48" t="s">
        <v>163</v>
      </c>
      <c r="F19" s="48" t="s">
        <v>8</v>
      </c>
      <c r="G19" s="49" t="s">
        <v>146</v>
      </c>
      <c r="H19" s="49"/>
      <c r="I19" s="49"/>
      <c r="J19" s="47" t="s">
        <v>391</v>
      </c>
    </row>
    <row r="20" spans="1:10" ht="18" hidden="1" customHeight="1" x14ac:dyDescent="0.25">
      <c r="A20" s="46">
        <v>10</v>
      </c>
      <c r="B20" s="50" t="s">
        <v>346</v>
      </c>
      <c r="C20" s="50" t="s">
        <v>74</v>
      </c>
      <c r="D20" s="50"/>
      <c r="E20" s="51" t="s">
        <v>158</v>
      </c>
      <c r="F20" s="51" t="s">
        <v>7</v>
      </c>
      <c r="G20" s="52" t="s">
        <v>222</v>
      </c>
      <c r="H20" s="52"/>
      <c r="I20" s="52"/>
      <c r="J20" s="50" t="s">
        <v>225</v>
      </c>
    </row>
    <row r="21" spans="1:10" ht="18" customHeight="1" x14ac:dyDescent="0.25">
      <c r="A21" s="46">
        <v>11</v>
      </c>
      <c r="B21" s="47" t="s">
        <v>347</v>
      </c>
      <c r="C21" s="47" t="s">
        <v>101</v>
      </c>
      <c r="D21" s="47"/>
      <c r="E21" s="48" t="s">
        <v>157</v>
      </c>
      <c r="F21" s="48" t="s">
        <v>7</v>
      </c>
      <c r="G21" s="49" t="s">
        <v>155</v>
      </c>
      <c r="H21" s="49"/>
      <c r="I21" s="49"/>
      <c r="J21" s="47" t="s">
        <v>160</v>
      </c>
    </row>
    <row r="22" spans="1:10" ht="18" hidden="1" customHeight="1" x14ac:dyDescent="0.25">
      <c r="A22" s="46">
        <v>12</v>
      </c>
      <c r="B22" s="50" t="s">
        <v>490</v>
      </c>
      <c r="C22" s="50" t="s">
        <v>373</v>
      </c>
      <c r="D22" s="50"/>
      <c r="E22" s="51" t="s">
        <v>158</v>
      </c>
      <c r="F22" s="51" t="s">
        <v>7</v>
      </c>
      <c r="G22" s="52">
        <v>46100</v>
      </c>
      <c r="H22" s="52"/>
      <c r="I22" s="52"/>
      <c r="J22" s="50" t="s">
        <v>474</v>
      </c>
    </row>
    <row r="23" spans="1:10" ht="18" hidden="1" customHeight="1" x14ac:dyDescent="0.25">
      <c r="A23" s="46">
        <v>13</v>
      </c>
      <c r="B23" s="47" t="s">
        <v>348</v>
      </c>
      <c r="C23" s="47" t="s">
        <v>76</v>
      </c>
      <c r="D23" s="47"/>
      <c r="E23" s="48" t="s">
        <v>158</v>
      </c>
      <c r="F23" s="48" t="s">
        <v>7</v>
      </c>
      <c r="G23" s="49" t="s">
        <v>149</v>
      </c>
      <c r="H23" s="49"/>
      <c r="I23" s="49"/>
      <c r="J23" s="47" t="s">
        <v>392</v>
      </c>
    </row>
    <row r="24" spans="1:10" ht="18" customHeight="1" x14ac:dyDescent="0.25">
      <c r="A24" s="46">
        <v>14</v>
      </c>
      <c r="B24" s="50" t="s">
        <v>349</v>
      </c>
      <c r="C24" s="50" t="s">
        <v>374</v>
      </c>
      <c r="D24" s="50"/>
      <c r="E24" s="51" t="s">
        <v>157</v>
      </c>
      <c r="F24" s="51" t="s">
        <v>7</v>
      </c>
      <c r="G24" s="52" t="s">
        <v>145</v>
      </c>
      <c r="H24" s="52"/>
      <c r="I24" s="52"/>
      <c r="J24" s="50" t="s">
        <v>160</v>
      </c>
    </row>
    <row r="25" spans="1:10" ht="18" customHeight="1" x14ac:dyDescent="0.25">
      <c r="A25" s="46">
        <v>15</v>
      </c>
      <c r="B25" s="47" t="s">
        <v>350</v>
      </c>
      <c r="C25" s="47" t="s">
        <v>375</v>
      </c>
      <c r="D25" s="47"/>
      <c r="E25" s="48" t="s">
        <v>163</v>
      </c>
      <c r="F25" s="48" t="s">
        <v>8</v>
      </c>
      <c r="G25" s="49" t="s">
        <v>146</v>
      </c>
      <c r="H25" s="49"/>
      <c r="I25" s="49"/>
      <c r="J25" s="47" t="s">
        <v>393</v>
      </c>
    </row>
    <row r="26" spans="1:10" ht="18" hidden="1" customHeight="1" x14ac:dyDescent="0.25">
      <c r="A26" s="46">
        <v>16</v>
      </c>
      <c r="B26" s="50" t="s">
        <v>351</v>
      </c>
      <c r="C26" s="50" t="s">
        <v>376</v>
      </c>
      <c r="D26" s="50"/>
      <c r="E26" s="51" t="s">
        <v>158</v>
      </c>
      <c r="F26" s="51" t="s">
        <v>8</v>
      </c>
      <c r="G26" s="52" t="s">
        <v>384</v>
      </c>
      <c r="H26" s="52"/>
      <c r="I26" s="52"/>
      <c r="J26" s="50" t="s">
        <v>389</v>
      </c>
    </row>
    <row r="27" spans="1:10" ht="18" customHeight="1" x14ac:dyDescent="0.25">
      <c r="A27" s="46">
        <v>17</v>
      </c>
      <c r="B27" s="47" t="s">
        <v>352</v>
      </c>
      <c r="C27" s="47" t="s">
        <v>377</v>
      </c>
      <c r="D27" s="47"/>
      <c r="E27" s="48" t="s">
        <v>163</v>
      </c>
      <c r="F27" s="48" t="s">
        <v>8</v>
      </c>
      <c r="G27" s="49" t="s">
        <v>149</v>
      </c>
      <c r="H27" s="49"/>
      <c r="I27" s="49"/>
      <c r="J27" s="47" t="s">
        <v>389</v>
      </c>
    </row>
    <row r="28" spans="1:10" ht="18" customHeight="1" x14ac:dyDescent="0.25">
      <c r="A28" s="46">
        <v>18</v>
      </c>
      <c r="B28" s="50" t="s">
        <v>353</v>
      </c>
      <c r="C28" s="50" t="s">
        <v>376</v>
      </c>
      <c r="D28" s="50"/>
      <c r="E28" s="51" t="s">
        <v>163</v>
      </c>
      <c r="F28" s="51" t="s">
        <v>8</v>
      </c>
      <c r="G28" s="52" t="s">
        <v>386</v>
      </c>
      <c r="H28" s="52"/>
      <c r="I28" s="52"/>
      <c r="J28" s="50" t="s">
        <v>389</v>
      </c>
    </row>
    <row r="29" spans="1:10" ht="18" customHeight="1" x14ac:dyDescent="0.25">
      <c r="A29" s="46">
        <v>19</v>
      </c>
      <c r="B29" s="47" t="s">
        <v>354</v>
      </c>
      <c r="C29" s="47" t="s">
        <v>378</v>
      </c>
      <c r="D29" s="47"/>
      <c r="E29" s="48" t="s">
        <v>157</v>
      </c>
      <c r="F29" s="48" t="s">
        <v>7</v>
      </c>
      <c r="G29" s="49" t="s">
        <v>141</v>
      </c>
      <c r="H29" s="49"/>
      <c r="I29" s="49"/>
      <c r="J29" s="47" t="s">
        <v>160</v>
      </c>
    </row>
    <row r="30" spans="1:10" ht="18" customHeight="1" x14ac:dyDescent="0.25">
      <c r="A30" s="46">
        <v>20</v>
      </c>
      <c r="B30" s="50" t="s">
        <v>355</v>
      </c>
      <c r="C30" s="50" t="s">
        <v>379</v>
      </c>
      <c r="D30" s="50"/>
      <c r="E30" s="51" t="s">
        <v>157</v>
      </c>
      <c r="F30" s="51" t="s">
        <v>7</v>
      </c>
      <c r="G30" s="52" t="s">
        <v>143</v>
      </c>
      <c r="H30" s="52"/>
      <c r="I30" s="52"/>
      <c r="J30" s="50" t="s">
        <v>160</v>
      </c>
    </row>
    <row r="31" spans="1:10" ht="18" hidden="1" customHeight="1" x14ac:dyDescent="0.25">
      <c r="A31" s="46">
        <v>21</v>
      </c>
      <c r="B31" s="47" t="s">
        <v>473</v>
      </c>
      <c r="C31" s="47" t="s">
        <v>380</v>
      </c>
      <c r="D31" s="47"/>
      <c r="E31" s="48" t="s">
        <v>158</v>
      </c>
      <c r="F31" s="48" t="s">
        <v>7</v>
      </c>
      <c r="G31" s="49" t="s">
        <v>222</v>
      </c>
      <c r="H31" s="49"/>
      <c r="I31" s="49"/>
      <c r="J31" s="47" t="s">
        <v>474</v>
      </c>
    </row>
    <row r="32" spans="1:10" ht="18" customHeight="1" x14ac:dyDescent="0.25">
      <c r="A32" s="46">
        <v>22</v>
      </c>
      <c r="B32" s="50" t="s">
        <v>356</v>
      </c>
      <c r="C32" s="50" t="s">
        <v>381</v>
      </c>
      <c r="D32" s="50"/>
      <c r="E32" s="51" t="s">
        <v>157</v>
      </c>
      <c r="F32" s="51" t="s">
        <v>7</v>
      </c>
      <c r="G32" s="52" t="s">
        <v>144</v>
      </c>
      <c r="H32" s="52"/>
      <c r="I32" s="52"/>
      <c r="J32" s="50" t="s">
        <v>160</v>
      </c>
    </row>
    <row r="33" spans="1:10" ht="18" hidden="1" customHeight="1" x14ac:dyDescent="0.25">
      <c r="A33" s="46">
        <v>23</v>
      </c>
      <c r="B33" s="47" t="s">
        <v>357</v>
      </c>
      <c r="C33" s="47" t="s">
        <v>221</v>
      </c>
      <c r="D33" s="47"/>
      <c r="E33" s="48" t="s">
        <v>158</v>
      </c>
      <c r="F33" s="48" t="s">
        <v>7</v>
      </c>
      <c r="G33" s="49"/>
      <c r="H33" s="49"/>
      <c r="I33" s="49"/>
      <c r="J33" s="47" t="s">
        <v>394</v>
      </c>
    </row>
    <row r="34" spans="1:10" ht="18" customHeight="1" x14ac:dyDescent="0.25">
      <c r="A34" s="46">
        <v>24</v>
      </c>
      <c r="B34" s="50" t="s">
        <v>358</v>
      </c>
      <c r="C34" s="50" t="s">
        <v>49</v>
      </c>
      <c r="D34" s="50"/>
      <c r="E34" s="51" t="s">
        <v>157</v>
      </c>
      <c r="F34" s="51" t="s">
        <v>7</v>
      </c>
      <c r="G34" s="52" t="s">
        <v>143</v>
      </c>
      <c r="H34" s="52"/>
      <c r="I34" s="52"/>
      <c r="J34" s="50" t="s">
        <v>160</v>
      </c>
    </row>
    <row r="35" spans="1:10" ht="18" customHeight="1" x14ac:dyDescent="0.25">
      <c r="A35" s="46">
        <v>25</v>
      </c>
      <c r="B35" s="47" t="s">
        <v>359</v>
      </c>
      <c r="C35" s="47" t="s">
        <v>382</v>
      </c>
      <c r="D35" s="47"/>
      <c r="E35" s="48" t="s">
        <v>157</v>
      </c>
      <c r="F35" s="48" t="s">
        <v>7</v>
      </c>
      <c r="G35" s="49" t="s">
        <v>152</v>
      </c>
      <c r="H35" s="49"/>
      <c r="I35" s="49"/>
      <c r="J35" s="47" t="s">
        <v>160</v>
      </c>
    </row>
    <row r="36" spans="1:10" ht="18" customHeight="1" x14ac:dyDescent="0.25">
      <c r="A36" s="46">
        <v>26</v>
      </c>
      <c r="B36" s="50" t="s">
        <v>360</v>
      </c>
      <c r="C36" s="50" t="s">
        <v>382</v>
      </c>
      <c r="D36" s="50"/>
      <c r="E36" s="51" t="s">
        <v>157</v>
      </c>
      <c r="F36" s="51" t="s">
        <v>7</v>
      </c>
      <c r="G36" s="52" t="s">
        <v>143</v>
      </c>
      <c r="H36" s="52"/>
      <c r="I36" s="52"/>
      <c r="J36" s="50" t="s">
        <v>160</v>
      </c>
    </row>
    <row r="37" spans="1:10" ht="18" customHeight="1" x14ac:dyDescent="0.25">
      <c r="A37" s="46">
        <v>27</v>
      </c>
      <c r="B37" s="47" t="s">
        <v>361</v>
      </c>
      <c r="C37" s="47" t="s">
        <v>383</v>
      </c>
      <c r="D37" s="47"/>
      <c r="E37" s="48" t="s">
        <v>157</v>
      </c>
      <c r="F37" s="48" t="s">
        <v>7</v>
      </c>
      <c r="G37" s="49" t="s">
        <v>147</v>
      </c>
      <c r="H37" s="49"/>
      <c r="I37" s="49"/>
      <c r="J37" s="47" t="s">
        <v>160</v>
      </c>
    </row>
    <row r="38" spans="1:10" ht="18" hidden="1" customHeight="1" x14ac:dyDescent="0.25">
      <c r="A38" s="46">
        <v>28</v>
      </c>
      <c r="B38" s="50" t="s">
        <v>362</v>
      </c>
      <c r="C38" s="50" t="s">
        <v>54</v>
      </c>
      <c r="D38" s="50"/>
      <c r="E38" s="51" t="s">
        <v>158</v>
      </c>
      <c r="F38" s="51" t="s">
        <v>5</v>
      </c>
      <c r="G38" s="52" t="s">
        <v>151</v>
      </c>
      <c r="H38" s="52"/>
      <c r="I38" s="52"/>
      <c r="J38" s="50" t="s">
        <v>230</v>
      </c>
    </row>
    <row r="39" spans="1:10" ht="18" hidden="1" customHeight="1" x14ac:dyDescent="0.25">
      <c r="A39" s="46">
        <v>29</v>
      </c>
      <c r="B39" s="47" t="s">
        <v>363</v>
      </c>
      <c r="C39" s="47" t="s">
        <v>220</v>
      </c>
      <c r="D39" s="47"/>
      <c r="E39" s="48" t="s">
        <v>158</v>
      </c>
      <c r="F39" s="48" t="s">
        <v>7</v>
      </c>
      <c r="G39" s="49" t="s">
        <v>154</v>
      </c>
      <c r="H39" s="49"/>
      <c r="I39" s="49"/>
      <c r="J39" s="47" t="s">
        <v>395</v>
      </c>
    </row>
    <row r="40" spans="1:10" ht="18" customHeight="1" x14ac:dyDescent="0.25">
      <c r="A40" s="46">
        <v>30</v>
      </c>
      <c r="B40" s="50" t="s">
        <v>364</v>
      </c>
      <c r="C40" s="50" t="s">
        <v>80</v>
      </c>
      <c r="D40" s="50"/>
      <c r="E40" s="51" t="s">
        <v>163</v>
      </c>
      <c r="F40" s="51" t="s">
        <v>7</v>
      </c>
      <c r="G40" s="52" t="s">
        <v>387</v>
      </c>
      <c r="H40" s="52"/>
      <c r="I40" s="52"/>
      <c r="J40" s="50" t="s">
        <v>396</v>
      </c>
    </row>
    <row r="41" spans="1:10" ht="18" customHeight="1" x14ac:dyDescent="0.25">
      <c r="A41" s="46">
        <v>31</v>
      </c>
      <c r="B41" s="47" t="s">
        <v>365</v>
      </c>
      <c r="C41" s="47" t="s">
        <v>39</v>
      </c>
      <c r="D41" s="47"/>
      <c r="E41" s="48" t="s">
        <v>157</v>
      </c>
      <c r="F41" s="48" t="s">
        <v>7</v>
      </c>
      <c r="G41" s="49" t="s">
        <v>141</v>
      </c>
      <c r="H41" s="49"/>
      <c r="I41" s="49"/>
      <c r="J41" s="47" t="s">
        <v>160</v>
      </c>
    </row>
    <row r="42" spans="1:10" ht="18" customHeight="1" x14ac:dyDescent="0.25">
      <c r="A42" s="46">
        <v>32</v>
      </c>
      <c r="B42" s="50"/>
      <c r="C42" s="50" t="s">
        <v>397</v>
      </c>
      <c r="D42" s="50"/>
      <c r="E42" s="51"/>
      <c r="F42" s="51"/>
      <c r="G42" s="52"/>
      <c r="H42" s="52"/>
      <c r="I42" s="52"/>
      <c r="J42" s="50" t="s">
        <v>403</v>
      </c>
    </row>
    <row r="43" spans="1:10" ht="18" customHeight="1" x14ac:dyDescent="0.25">
      <c r="A43" s="46">
        <v>33</v>
      </c>
      <c r="B43" s="47"/>
      <c r="C43" s="47" t="s">
        <v>41</v>
      </c>
      <c r="D43" s="47"/>
      <c r="E43" s="48"/>
      <c r="F43" s="48"/>
      <c r="G43" s="49"/>
      <c r="H43" s="49"/>
      <c r="I43" s="49"/>
      <c r="J43" s="47" t="s">
        <v>159</v>
      </c>
    </row>
    <row r="44" spans="1:10" ht="18" customHeight="1" x14ac:dyDescent="0.25">
      <c r="A44" s="46">
        <v>34</v>
      </c>
      <c r="B44" s="50"/>
      <c r="C44" s="50" t="s">
        <v>54</v>
      </c>
      <c r="D44" s="50"/>
      <c r="E44" s="51"/>
      <c r="F44" s="51"/>
      <c r="G44" s="52"/>
      <c r="H44" s="52"/>
      <c r="I44" s="52"/>
      <c r="J44" s="50" t="s">
        <v>404</v>
      </c>
    </row>
    <row r="45" spans="1:10" ht="18" customHeight="1" x14ac:dyDescent="0.25">
      <c r="A45" s="46">
        <v>35</v>
      </c>
      <c r="B45" s="47"/>
      <c r="C45" s="47" t="s">
        <v>232</v>
      </c>
      <c r="D45" s="47"/>
      <c r="E45" s="48"/>
      <c r="F45" s="48"/>
      <c r="G45" s="49"/>
      <c r="H45" s="49"/>
      <c r="I45" s="49"/>
      <c r="J45" s="47" t="s">
        <v>405</v>
      </c>
    </row>
    <row r="46" spans="1:10" ht="18" customHeight="1" x14ac:dyDescent="0.25">
      <c r="A46" s="46">
        <v>36</v>
      </c>
      <c r="B46" s="50"/>
      <c r="C46" s="50" t="s">
        <v>213</v>
      </c>
      <c r="D46" s="50"/>
      <c r="E46" s="51"/>
      <c r="F46" s="51"/>
      <c r="G46" s="52"/>
      <c r="H46" s="52"/>
      <c r="I46" s="52"/>
      <c r="J46" s="50" t="s">
        <v>406</v>
      </c>
    </row>
    <row r="47" spans="1:10" ht="18" customHeight="1" x14ac:dyDescent="0.25">
      <c r="A47" s="46">
        <v>37</v>
      </c>
      <c r="B47" t="s">
        <v>556</v>
      </c>
      <c r="C47" s="47" t="s">
        <v>118</v>
      </c>
      <c r="D47" s="47"/>
      <c r="E47" s="48"/>
      <c r="F47" s="48"/>
      <c r="G47" s="49"/>
      <c r="H47" s="49"/>
      <c r="I47" s="49"/>
      <c r="J47" s="47"/>
    </row>
    <row r="48" spans="1:10" ht="18" customHeight="1" x14ac:dyDescent="0.25">
      <c r="A48" s="46">
        <v>38</v>
      </c>
      <c r="B48" t="s">
        <v>553</v>
      </c>
      <c r="C48" s="50" t="s">
        <v>119</v>
      </c>
      <c r="D48" s="50"/>
      <c r="E48" s="51"/>
      <c r="F48" s="51"/>
      <c r="G48" s="52"/>
      <c r="H48" s="52"/>
      <c r="I48" s="52"/>
      <c r="J48" s="50"/>
    </row>
    <row r="49" spans="1:10" ht="18" customHeight="1" x14ac:dyDescent="0.25">
      <c r="A49" s="46">
        <v>39</v>
      </c>
      <c r="B49" t="s">
        <v>557</v>
      </c>
      <c r="C49" s="47" t="s">
        <v>120</v>
      </c>
      <c r="D49" s="47"/>
      <c r="E49" s="48"/>
      <c r="F49" s="48"/>
      <c r="G49" s="49"/>
      <c r="H49" s="49"/>
      <c r="I49" s="49"/>
      <c r="J49" s="47"/>
    </row>
    <row r="50" spans="1:10" ht="18" customHeight="1" x14ac:dyDescent="0.25">
      <c r="A50" s="46">
        <v>40</v>
      </c>
      <c r="B50" t="s">
        <v>554</v>
      </c>
      <c r="C50" s="50" t="s">
        <v>121</v>
      </c>
      <c r="D50" s="50"/>
      <c r="E50" s="51"/>
      <c r="F50" s="51"/>
      <c r="G50" s="52"/>
      <c r="H50" s="52"/>
      <c r="I50" s="52"/>
      <c r="J50" s="50"/>
    </row>
    <row r="51" spans="1:10" ht="18" customHeight="1" x14ac:dyDescent="0.25">
      <c r="A51" s="46">
        <v>41</v>
      </c>
      <c r="B51" t="s">
        <v>547</v>
      </c>
      <c r="C51" s="47" t="s">
        <v>122</v>
      </c>
      <c r="D51" s="47"/>
      <c r="E51" s="48"/>
      <c r="F51" s="48"/>
      <c r="G51" s="49"/>
      <c r="H51" s="49"/>
      <c r="I51" s="49"/>
      <c r="J51" s="47"/>
    </row>
    <row r="52" spans="1:10" ht="18" customHeight="1" x14ac:dyDescent="0.25">
      <c r="A52" s="46">
        <v>42</v>
      </c>
      <c r="B52" t="s">
        <v>548</v>
      </c>
      <c r="C52" s="50" t="s">
        <v>123</v>
      </c>
      <c r="D52" s="50"/>
      <c r="E52" s="51"/>
      <c r="F52" s="51"/>
      <c r="G52" s="52"/>
      <c r="H52" s="52"/>
      <c r="I52" s="52"/>
      <c r="J52" s="50"/>
    </row>
    <row r="53" spans="1:10" ht="18" customHeight="1" x14ac:dyDescent="0.25">
      <c r="A53" s="46">
        <v>43</v>
      </c>
      <c r="B53" t="s">
        <v>555</v>
      </c>
      <c r="C53" s="47" t="s">
        <v>124</v>
      </c>
      <c r="D53" s="47"/>
      <c r="E53" s="48"/>
      <c r="F53" s="48"/>
      <c r="G53" s="49"/>
      <c r="H53" s="49"/>
      <c r="I53" s="49"/>
      <c r="J53" s="47"/>
    </row>
    <row r="54" spans="1:10" ht="18" customHeight="1" x14ac:dyDescent="0.25">
      <c r="A54" s="46">
        <v>44</v>
      </c>
      <c r="B54" t="s">
        <v>559</v>
      </c>
      <c r="C54" s="50" t="s">
        <v>125</v>
      </c>
      <c r="D54" s="50"/>
      <c r="E54" s="51"/>
      <c r="F54" s="51"/>
      <c r="G54" s="52"/>
      <c r="H54" s="52"/>
      <c r="I54" s="52"/>
      <c r="J54" s="50"/>
    </row>
    <row r="55" spans="1:10" ht="18" customHeight="1" x14ac:dyDescent="0.25">
      <c r="A55" s="46">
        <v>45</v>
      </c>
      <c r="B55" s="47"/>
      <c r="C55" s="47" t="s">
        <v>126</v>
      </c>
      <c r="D55" s="47"/>
      <c r="E55" s="48"/>
      <c r="F55" s="48"/>
      <c r="G55" s="49"/>
      <c r="H55" s="49"/>
      <c r="I55" s="49"/>
      <c r="J55" s="47"/>
    </row>
    <row r="56" spans="1:10" ht="18" customHeight="1" x14ac:dyDescent="0.25">
      <c r="A56" s="46">
        <v>46</v>
      </c>
      <c r="B56" t="s">
        <v>552</v>
      </c>
      <c r="C56" s="50" t="s">
        <v>127</v>
      </c>
      <c r="D56" s="50"/>
      <c r="E56" s="51"/>
      <c r="F56" s="51"/>
      <c r="G56" s="52"/>
      <c r="H56" s="52"/>
      <c r="I56" s="52"/>
      <c r="J56" s="50"/>
    </row>
    <row r="57" spans="1:10" ht="18" customHeight="1" x14ac:dyDescent="0.25">
      <c r="A57" s="46">
        <v>47</v>
      </c>
      <c r="B57" t="s">
        <v>549</v>
      </c>
      <c r="C57" s="47" t="s">
        <v>128</v>
      </c>
      <c r="D57" s="47"/>
      <c r="E57" s="48"/>
      <c r="F57" s="48"/>
      <c r="G57" s="49"/>
      <c r="H57" s="49"/>
      <c r="I57" s="49"/>
      <c r="J57" s="47"/>
    </row>
    <row r="58" spans="1:10" ht="18" customHeight="1" x14ac:dyDescent="0.25">
      <c r="A58" s="46">
        <v>48</v>
      </c>
      <c r="B58" t="s">
        <v>560</v>
      </c>
      <c r="C58" s="50" t="s">
        <v>129</v>
      </c>
      <c r="D58" s="50"/>
      <c r="E58" s="51"/>
      <c r="F58" s="51"/>
      <c r="G58" s="52"/>
      <c r="H58" s="52"/>
      <c r="I58" s="52"/>
      <c r="J58" s="50"/>
    </row>
    <row r="59" spans="1:10" ht="18" customHeight="1" x14ac:dyDescent="0.25">
      <c r="A59" s="46">
        <v>49</v>
      </c>
      <c r="B59" t="s">
        <v>558</v>
      </c>
      <c r="C59" s="47" t="s">
        <v>129</v>
      </c>
      <c r="D59" s="47"/>
      <c r="E59" s="48"/>
      <c r="F59" s="48"/>
      <c r="G59" s="49"/>
      <c r="H59" s="49"/>
      <c r="I59" s="49"/>
      <c r="J59" s="47"/>
    </row>
    <row r="60" spans="1:10" ht="18" customHeight="1" x14ac:dyDescent="0.25">
      <c r="A60" s="46">
        <v>50</v>
      </c>
      <c r="B60" t="s">
        <v>551</v>
      </c>
      <c r="C60" s="50" t="s">
        <v>129</v>
      </c>
      <c r="D60" s="50"/>
      <c r="E60" s="51"/>
      <c r="F60" s="51"/>
      <c r="G60" s="52"/>
      <c r="H60" s="52"/>
      <c r="I60" s="52"/>
      <c r="J60" s="50"/>
    </row>
    <row r="61" spans="1:10" ht="18" customHeight="1" x14ac:dyDescent="0.25">
      <c r="A61" s="46">
        <v>51</v>
      </c>
      <c r="B61" t="s">
        <v>550</v>
      </c>
      <c r="C61" s="47" t="s">
        <v>129</v>
      </c>
      <c r="D61" s="47"/>
      <c r="E61" s="48"/>
      <c r="F61" s="48"/>
      <c r="G61" s="49"/>
      <c r="H61" s="49"/>
      <c r="I61" s="49"/>
      <c r="J61" s="47"/>
    </row>
    <row r="62" spans="1:10" ht="18" customHeight="1" x14ac:dyDescent="0.25">
      <c r="A62" s="46">
        <v>52</v>
      </c>
      <c r="B62" t="s">
        <v>561</v>
      </c>
      <c r="C62" s="50" t="s">
        <v>130</v>
      </c>
      <c r="D62" s="50"/>
      <c r="E62" s="51"/>
      <c r="F62" s="51"/>
      <c r="G62" s="52"/>
      <c r="H62" s="52"/>
      <c r="I62" s="52"/>
      <c r="J62" s="50"/>
    </row>
    <row r="63" spans="1:10" ht="18" customHeight="1" x14ac:dyDescent="0.25">
      <c r="A63" s="46">
        <v>53</v>
      </c>
      <c r="B63" s="47"/>
      <c r="C63" s="47" t="s">
        <v>131</v>
      </c>
      <c r="D63" s="47"/>
      <c r="E63" s="48"/>
      <c r="F63" s="48"/>
      <c r="G63" s="49"/>
      <c r="H63" s="49"/>
      <c r="I63" s="49"/>
      <c r="J63" s="47"/>
    </row>
    <row r="64" spans="1:10" ht="18" customHeight="1" x14ac:dyDescent="0.25">
      <c r="A64" s="46">
        <v>54</v>
      </c>
      <c r="B64" s="50" t="s">
        <v>603</v>
      </c>
      <c r="C64" s="50" t="s">
        <v>104</v>
      </c>
      <c r="D64" s="50"/>
      <c r="E64" s="51" t="s">
        <v>410</v>
      </c>
      <c r="F64" s="51" t="s">
        <v>7</v>
      </c>
      <c r="G64" s="52"/>
      <c r="H64" s="52"/>
      <c r="I64" s="52"/>
      <c r="J64" s="50" t="s">
        <v>602</v>
      </c>
    </row>
    <row r="65" spans="1:10" ht="18" customHeight="1" x14ac:dyDescent="0.25">
      <c r="A65" s="46">
        <v>55</v>
      </c>
      <c r="B65" s="47" t="s">
        <v>604</v>
      </c>
      <c r="C65" s="47" t="s">
        <v>105</v>
      </c>
      <c r="D65" s="47"/>
      <c r="E65" s="48" t="s">
        <v>410</v>
      </c>
      <c r="F65" s="48" t="s">
        <v>7</v>
      </c>
      <c r="G65" s="49"/>
      <c r="H65" s="49"/>
      <c r="I65" s="49"/>
      <c r="J65" s="50" t="s">
        <v>602</v>
      </c>
    </row>
    <row r="66" spans="1:10" ht="18" customHeight="1" x14ac:dyDescent="0.25">
      <c r="A66" s="46">
        <v>56</v>
      </c>
      <c r="B66" s="50" t="s">
        <v>605</v>
      </c>
      <c r="C66" s="50" t="s">
        <v>106</v>
      </c>
      <c r="D66" s="50"/>
      <c r="E66" s="51" t="s">
        <v>410</v>
      </c>
      <c r="F66" s="51" t="s">
        <v>7</v>
      </c>
      <c r="G66" s="52"/>
      <c r="H66" s="52"/>
      <c r="I66" s="52"/>
      <c r="J66" s="50" t="s">
        <v>602</v>
      </c>
    </row>
    <row r="67" spans="1:10" ht="18" customHeight="1" x14ac:dyDescent="0.25">
      <c r="A67" s="46">
        <v>57</v>
      </c>
      <c r="B67" s="47"/>
      <c r="C67" s="47" t="s">
        <v>107</v>
      </c>
      <c r="D67" s="47"/>
      <c r="E67" s="48"/>
      <c r="F67" s="48"/>
      <c r="G67" s="49"/>
      <c r="H67" s="49"/>
      <c r="I67" s="49"/>
      <c r="J67" s="47"/>
    </row>
    <row r="68" spans="1:10" ht="18" customHeight="1" x14ac:dyDescent="0.25">
      <c r="A68" s="46">
        <v>58</v>
      </c>
      <c r="B68" s="50" t="s">
        <v>586</v>
      </c>
      <c r="C68" s="50" t="s">
        <v>108</v>
      </c>
      <c r="D68" s="50"/>
      <c r="E68" s="51" t="s">
        <v>410</v>
      </c>
      <c r="F68" s="51" t="s">
        <v>5</v>
      </c>
      <c r="G68" s="52"/>
      <c r="H68" s="52"/>
      <c r="I68" s="52"/>
      <c r="J68" s="50" t="s">
        <v>230</v>
      </c>
    </row>
    <row r="69" spans="1:10" ht="18" customHeight="1" x14ac:dyDescent="0.25">
      <c r="A69" s="46">
        <v>59</v>
      </c>
      <c r="B69" s="47"/>
      <c r="C69" s="47" t="s">
        <v>109</v>
      </c>
      <c r="D69" s="47"/>
      <c r="E69" s="48"/>
      <c r="F69" s="48"/>
      <c r="G69" s="49"/>
      <c r="H69" s="49"/>
      <c r="I69" s="49"/>
      <c r="J69" s="47"/>
    </row>
    <row r="70" spans="1:10" ht="18" customHeight="1" x14ac:dyDescent="0.25">
      <c r="A70" s="46">
        <v>60</v>
      </c>
      <c r="B70" s="50"/>
      <c r="C70" s="50" t="s">
        <v>110</v>
      </c>
      <c r="D70" s="50"/>
      <c r="E70" s="51"/>
      <c r="F70" s="51"/>
      <c r="G70" s="52"/>
      <c r="H70" s="52"/>
      <c r="I70" s="52"/>
      <c r="J70" s="50"/>
    </row>
    <row r="71" spans="1:10" ht="18" hidden="1" customHeight="1" x14ac:dyDescent="0.25">
      <c r="A71" s="46">
        <v>61</v>
      </c>
      <c r="B71" s="50" t="s">
        <v>546</v>
      </c>
      <c r="C71" s="50" t="s">
        <v>543</v>
      </c>
      <c r="D71" s="47"/>
      <c r="E71" s="48" t="s">
        <v>158</v>
      </c>
      <c r="F71" s="48" t="s">
        <v>7</v>
      </c>
      <c r="G71" s="52">
        <v>46098</v>
      </c>
      <c r="H71" s="49"/>
      <c r="I71" s="49"/>
      <c r="J71" s="47"/>
    </row>
    <row r="72" spans="1:10" ht="18" customHeight="1" x14ac:dyDescent="0.25">
      <c r="A72" s="46">
        <v>62</v>
      </c>
      <c r="B72" s="50" t="s">
        <v>466</v>
      </c>
      <c r="C72" s="50" t="s">
        <v>445</v>
      </c>
      <c r="D72" s="50"/>
      <c r="E72" s="51" t="s">
        <v>410</v>
      </c>
      <c r="F72" s="51" t="s">
        <v>7</v>
      </c>
      <c r="G72" s="52"/>
      <c r="H72" s="52"/>
      <c r="I72" s="52"/>
      <c r="J72" s="50" t="s">
        <v>467</v>
      </c>
    </row>
    <row r="73" spans="1:10" ht="18" customHeight="1" x14ac:dyDescent="0.25">
      <c r="A73" s="46">
        <v>63</v>
      </c>
      <c r="B73" s="47"/>
      <c r="C73" s="47" t="s">
        <v>111</v>
      </c>
      <c r="D73" s="47"/>
      <c r="E73" s="48"/>
      <c r="F73" s="48"/>
      <c r="G73" s="49"/>
      <c r="H73" s="49"/>
      <c r="I73" s="49"/>
      <c r="J73" s="47"/>
    </row>
    <row r="74" spans="1:10" ht="18" customHeight="1" x14ac:dyDescent="0.25">
      <c r="A74" s="46">
        <v>64</v>
      </c>
      <c r="B74" s="50" t="s">
        <v>491</v>
      </c>
      <c r="C74" s="50" t="s">
        <v>492</v>
      </c>
      <c r="D74" s="50"/>
      <c r="E74" s="51" t="s">
        <v>410</v>
      </c>
      <c r="F74" s="51" t="s">
        <v>3</v>
      </c>
      <c r="G74" s="52">
        <v>46098</v>
      </c>
      <c r="H74" s="52"/>
      <c r="I74" s="52"/>
      <c r="J74" s="50" t="s">
        <v>411</v>
      </c>
    </row>
    <row r="75" spans="1:10" ht="18" customHeight="1" x14ac:dyDescent="0.25">
      <c r="A75" s="46">
        <v>65</v>
      </c>
      <c r="B75" s="47"/>
      <c r="C75" s="47" t="s">
        <v>112</v>
      </c>
      <c r="D75" s="47"/>
      <c r="E75" s="48"/>
      <c r="F75" s="48"/>
      <c r="G75" s="49"/>
      <c r="H75" s="49"/>
      <c r="I75" s="49"/>
      <c r="J75" s="47"/>
    </row>
    <row r="76" spans="1:10" ht="18" customHeight="1" x14ac:dyDescent="0.25">
      <c r="A76" s="46">
        <v>66</v>
      </c>
      <c r="B76" s="50"/>
      <c r="C76" s="50" t="s">
        <v>113</v>
      </c>
      <c r="D76" s="50"/>
      <c r="E76" s="51"/>
      <c r="F76" s="51"/>
      <c r="G76" s="52"/>
      <c r="H76" s="52"/>
      <c r="I76" s="52"/>
      <c r="J76" s="50"/>
    </row>
    <row r="77" spans="1:10" ht="18" customHeight="1" x14ac:dyDescent="0.25">
      <c r="A77" s="46">
        <v>67</v>
      </c>
      <c r="B77" s="47"/>
      <c r="C77" s="47" t="s">
        <v>114</v>
      </c>
      <c r="D77" s="47"/>
      <c r="E77" s="48"/>
      <c r="F77" s="48"/>
      <c r="G77" s="49"/>
      <c r="H77" s="49"/>
      <c r="I77" s="49"/>
      <c r="J77" s="47"/>
    </row>
    <row r="78" spans="1:10" ht="18" customHeight="1" x14ac:dyDescent="0.25">
      <c r="A78" s="46">
        <v>68</v>
      </c>
      <c r="B78" s="50"/>
      <c r="C78" s="50" t="s">
        <v>115</v>
      </c>
      <c r="D78" s="50"/>
      <c r="E78" s="51"/>
      <c r="F78" s="51"/>
      <c r="G78" s="52"/>
      <c r="H78" s="52"/>
      <c r="I78" s="52"/>
      <c r="J78" s="50"/>
    </row>
    <row r="79" spans="1:10" ht="18" customHeight="1" x14ac:dyDescent="0.25">
      <c r="A79" s="46">
        <v>69</v>
      </c>
      <c r="B79" s="47"/>
      <c r="C79" s="47" t="s">
        <v>116</v>
      </c>
      <c r="D79" s="47"/>
      <c r="E79" s="48"/>
      <c r="F79" s="48"/>
      <c r="G79" s="49"/>
      <c r="H79" s="49"/>
      <c r="I79" s="49"/>
      <c r="J79" s="47"/>
    </row>
    <row r="80" spans="1:10" ht="18" customHeight="1" x14ac:dyDescent="0.25">
      <c r="A80" s="46">
        <v>70</v>
      </c>
      <c r="B80" s="50" t="s">
        <v>471</v>
      </c>
      <c r="C80" s="50" t="s">
        <v>117</v>
      </c>
      <c r="D80" s="50"/>
      <c r="E80" s="51" t="s">
        <v>410</v>
      </c>
      <c r="F80" s="51" t="s">
        <v>7</v>
      </c>
      <c r="G80" s="52"/>
      <c r="H80" s="52"/>
      <c r="I80" s="52"/>
      <c r="J80" s="50" t="s">
        <v>472</v>
      </c>
    </row>
    <row r="81" spans="1:10" ht="18" customHeight="1" x14ac:dyDescent="0.25">
      <c r="A81" s="46">
        <v>71</v>
      </c>
      <c r="B81" s="47"/>
      <c r="C81" s="47" t="s">
        <v>132</v>
      </c>
      <c r="D81" s="47"/>
      <c r="E81" s="48"/>
      <c r="F81" s="48"/>
      <c r="G81" s="49"/>
      <c r="H81" s="49"/>
      <c r="I81" s="49"/>
      <c r="J81" s="47"/>
    </row>
    <row r="82" spans="1:10" ht="18" customHeight="1" x14ac:dyDescent="0.25">
      <c r="A82" s="46">
        <v>72</v>
      </c>
      <c r="B82" s="50"/>
      <c r="C82" s="50" t="s">
        <v>133</v>
      </c>
      <c r="D82" s="50"/>
      <c r="E82" s="51"/>
      <c r="F82" s="51"/>
      <c r="G82" s="52"/>
      <c r="H82" s="52"/>
      <c r="I82" s="52"/>
      <c r="J82" s="50"/>
    </row>
    <row r="83" spans="1:10" ht="18" customHeight="1" x14ac:dyDescent="0.25">
      <c r="A83" s="46">
        <v>73</v>
      </c>
      <c r="B83" s="47"/>
      <c r="C83" s="47" t="s">
        <v>134</v>
      </c>
      <c r="D83" s="47"/>
      <c r="E83" s="48"/>
      <c r="F83" s="48"/>
      <c r="G83" s="49"/>
      <c r="H83" s="49"/>
      <c r="I83" s="49"/>
      <c r="J83" s="47"/>
    </row>
    <row r="84" spans="1:10" ht="18" customHeight="1" x14ac:dyDescent="0.25">
      <c r="A84" s="46">
        <v>74</v>
      </c>
      <c r="B84" s="50" t="s">
        <v>642</v>
      </c>
      <c r="C84" s="50" t="s">
        <v>135</v>
      </c>
      <c r="D84" s="50"/>
      <c r="E84" s="51" t="s">
        <v>410</v>
      </c>
      <c r="F84" s="51" t="s">
        <v>5</v>
      </c>
      <c r="G84" s="52"/>
      <c r="H84" s="52"/>
      <c r="I84" s="52"/>
      <c r="J84" s="50" t="s">
        <v>411</v>
      </c>
    </row>
    <row r="85" spans="1:10" ht="18" customHeight="1" x14ac:dyDescent="0.25">
      <c r="A85" s="46">
        <v>75</v>
      </c>
      <c r="B85" s="47"/>
      <c r="C85" s="47" t="s">
        <v>136</v>
      </c>
      <c r="D85" s="47"/>
      <c r="E85" s="48"/>
      <c r="F85" s="48"/>
      <c r="G85" s="49"/>
      <c r="H85" s="49"/>
      <c r="I85" s="49"/>
      <c r="J85" s="47"/>
    </row>
    <row r="86" spans="1:10" ht="18" hidden="1" customHeight="1" x14ac:dyDescent="0.25">
      <c r="A86" s="46">
        <v>76</v>
      </c>
      <c r="B86" s="50" t="s">
        <v>493</v>
      </c>
      <c r="C86" s="50" t="s">
        <v>488</v>
      </c>
      <c r="D86" s="50"/>
      <c r="E86" s="51" t="s">
        <v>158</v>
      </c>
      <c r="F86" s="51" t="s">
        <v>5</v>
      </c>
      <c r="G86" s="52">
        <v>46101</v>
      </c>
      <c r="H86" s="52"/>
      <c r="I86" s="52"/>
      <c r="J86" s="50" t="s">
        <v>413</v>
      </c>
    </row>
    <row r="87" spans="1:10" ht="18" customHeight="1" x14ac:dyDescent="0.25">
      <c r="A87" s="46">
        <v>77</v>
      </c>
      <c r="B87" s="47"/>
      <c r="C87" s="47" t="s">
        <v>137</v>
      </c>
      <c r="D87" s="47"/>
      <c r="E87" s="48"/>
      <c r="F87" s="48"/>
      <c r="G87" s="49"/>
      <c r="H87" s="49"/>
      <c r="I87" s="49"/>
      <c r="J87" s="47"/>
    </row>
    <row r="88" spans="1:10" ht="18" customHeight="1" x14ac:dyDescent="0.25">
      <c r="A88" s="46">
        <v>78</v>
      </c>
      <c r="B88" s="50"/>
      <c r="C88" s="50" t="s">
        <v>138</v>
      </c>
      <c r="D88" s="50"/>
      <c r="E88" s="51"/>
      <c r="F88" s="51"/>
      <c r="G88" s="52"/>
      <c r="H88" s="52"/>
      <c r="I88" s="52"/>
      <c r="J88" s="50"/>
    </row>
    <row r="89" spans="1:10" ht="18" customHeight="1" x14ac:dyDescent="0.25">
      <c r="A89" s="46">
        <v>79</v>
      </c>
      <c r="B89" s="47"/>
      <c r="C89" s="47"/>
      <c r="D89" s="47"/>
      <c r="E89" s="48"/>
      <c r="F89" s="48"/>
      <c r="G89" s="49"/>
      <c r="H89" s="49"/>
      <c r="I89" s="49"/>
      <c r="J89" s="47"/>
    </row>
    <row r="90" spans="1:10" ht="18" customHeight="1" x14ac:dyDescent="0.25">
      <c r="A90" s="46">
        <v>80</v>
      </c>
      <c r="B90" s="50"/>
      <c r="C90" s="50"/>
      <c r="D90" s="50"/>
      <c r="E90" s="51"/>
      <c r="F90" s="51"/>
      <c r="G90" s="52"/>
      <c r="H90" s="52"/>
      <c r="I90" s="52"/>
      <c r="J90" s="50"/>
    </row>
    <row r="91" spans="1:10" ht="18" customHeight="1" x14ac:dyDescent="0.25">
      <c r="A91" s="46">
        <v>81</v>
      </c>
      <c r="B91" s="47"/>
      <c r="C91" s="47"/>
      <c r="D91" s="47"/>
      <c r="E91" s="48"/>
      <c r="F91" s="48"/>
      <c r="G91" s="49"/>
      <c r="H91" s="49"/>
      <c r="I91" s="49"/>
      <c r="J91" s="47"/>
    </row>
    <row r="92" spans="1:10" ht="18" customHeight="1" x14ac:dyDescent="0.25">
      <c r="A92" s="46">
        <v>82</v>
      </c>
      <c r="B92" s="50"/>
      <c r="C92" s="50"/>
      <c r="D92" s="50"/>
      <c r="E92" s="51"/>
      <c r="F92" s="51"/>
      <c r="G92" s="52"/>
      <c r="H92" s="52"/>
      <c r="I92" s="52"/>
      <c r="J92" s="50"/>
    </row>
    <row r="93" spans="1:10" ht="18" customHeight="1" x14ac:dyDescent="0.25">
      <c r="A93" s="46">
        <v>83</v>
      </c>
      <c r="B93" s="47"/>
      <c r="C93" s="47"/>
      <c r="D93" s="47"/>
      <c r="E93" s="48"/>
      <c r="F93" s="48"/>
      <c r="G93" s="49"/>
      <c r="H93" s="49"/>
      <c r="I93" s="49"/>
      <c r="J93" s="47"/>
    </row>
    <row r="94" spans="1:10" ht="18" customHeight="1" x14ac:dyDescent="0.25">
      <c r="A94" s="46">
        <v>84</v>
      </c>
      <c r="B94" s="50"/>
      <c r="C94" s="50"/>
      <c r="D94" s="50"/>
      <c r="E94" s="51"/>
      <c r="F94" s="51"/>
      <c r="G94" s="52"/>
      <c r="H94" s="52"/>
      <c r="I94" s="52"/>
      <c r="J94" s="50"/>
    </row>
    <row r="95" spans="1:10" ht="18" customHeight="1" x14ac:dyDescent="0.25">
      <c r="A95" s="46">
        <v>85</v>
      </c>
      <c r="B95" s="47"/>
      <c r="C95" s="47"/>
      <c r="D95" s="47"/>
      <c r="E95" s="48"/>
      <c r="F95" s="48"/>
      <c r="G95" s="49"/>
      <c r="H95" s="49"/>
      <c r="I95" s="49"/>
      <c r="J95" s="47"/>
    </row>
    <row r="96" spans="1:10" ht="18" customHeight="1" x14ac:dyDescent="0.25">
      <c r="A96" s="46">
        <v>86</v>
      </c>
      <c r="B96" s="50"/>
      <c r="C96" s="50"/>
      <c r="D96" s="50"/>
      <c r="E96" s="51"/>
      <c r="F96" s="51"/>
      <c r="G96" s="52"/>
      <c r="H96" s="52"/>
      <c r="I96" s="52"/>
      <c r="J96" s="50"/>
    </row>
    <row r="97" spans="1:11" ht="18" customHeight="1" x14ac:dyDescent="0.25">
      <c r="A97" s="46">
        <v>87</v>
      </c>
      <c r="B97" s="47"/>
      <c r="C97" s="47"/>
      <c r="D97" s="47"/>
      <c r="E97" s="48"/>
      <c r="F97" s="48"/>
      <c r="G97" s="49"/>
      <c r="H97" s="49"/>
      <c r="I97" s="49"/>
      <c r="J97" s="47"/>
    </row>
    <row r="98" spans="1:11" ht="18" customHeight="1" x14ac:dyDescent="0.25">
      <c r="A98" s="46">
        <v>88</v>
      </c>
      <c r="B98" s="50"/>
      <c r="C98" s="50"/>
      <c r="D98" s="50"/>
      <c r="E98" s="51"/>
      <c r="F98" s="51"/>
      <c r="G98" s="52"/>
      <c r="H98" s="52"/>
      <c r="I98" s="52"/>
      <c r="J98" s="50"/>
    </row>
    <row r="99" spans="1:11" ht="18" customHeight="1" x14ac:dyDescent="0.25">
      <c r="A99" s="46">
        <v>89</v>
      </c>
      <c r="B99" s="47"/>
      <c r="C99" s="47"/>
      <c r="D99" s="47"/>
      <c r="E99" s="48"/>
      <c r="F99" s="48"/>
      <c r="G99" s="49"/>
      <c r="H99" s="49"/>
      <c r="I99" s="49"/>
      <c r="J99" s="47"/>
    </row>
    <row r="100" spans="1:11" ht="18" customHeight="1" x14ac:dyDescent="0.25">
      <c r="A100" s="46">
        <v>90</v>
      </c>
      <c r="B100" s="50"/>
      <c r="C100" s="50"/>
      <c r="D100" s="50"/>
      <c r="E100" s="51"/>
      <c r="F100" s="51"/>
      <c r="G100" s="52"/>
      <c r="H100" s="52"/>
      <c r="I100" s="52"/>
      <c r="J100" s="50"/>
    </row>
    <row r="101" spans="1:11" ht="18" customHeight="1" x14ac:dyDescent="0.25">
      <c r="A101" s="46">
        <v>91</v>
      </c>
      <c r="B101" s="47"/>
      <c r="C101" s="47"/>
      <c r="D101" s="47"/>
      <c r="E101" s="48"/>
      <c r="F101" s="48"/>
      <c r="G101" s="49"/>
      <c r="H101" s="49"/>
      <c r="I101" s="49"/>
      <c r="J101" s="47"/>
    </row>
    <row r="102" spans="1:11" ht="18" customHeight="1" x14ac:dyDescent="0.25">
      <c r="A102" s="46">
        <v>92</v>
      </c>
      <c r="B102" s="50"/>
      <c r="C102" s="50"/>
      <c r="D102" s="50"/>
      <c r="E102" s="51"/>
      <c r="F102" s="51"/>
      <c r="G102" s="52"/>
      <c r="H102" s="52"/>
      <c r="I102" s="52"/>
      <c r="J102" s="50"/>
    </row>
    <row r="103" spans="1:11" ht="18" customHeight="1" x14ac:dyDescent="0.25">
      <c r="A103" s="46">
        <v>93</v>
      </c>
      <c r="B103" s="47"/>
      <c r="C103" s="47"/>
      <c r="D103" s="47"/>
      <c r="E103" s="48"/>
      <c r="F103" s="48"/>
      <c r="G103" s="49"/>
      <c r="H103" s="49"/>
      <c r="I103" s="49"/>
      <c r="J103" s="47"/>
    </row>
    <row r="104" spans="1:11" ht="18" customHeight="1" x14ac:dyDescent="0.25">
      <c r="A104" s="46">
        <v>94</v>
      </c>
      <c r="B104" s="50"/>
      <c r="C104" s="50"/>
      <c r="D104" s="50"/>
      <c r="E104" s="51"/>
      <c r="F104" s="51"/>
      <c r="G104" s="52"/>
      <c r="H104" s="52"/>
      <c r="I104" s="52"/>
      <c r="J104" s="50"/>
    </row>
    <row r="105" spans="1:11" ht="18" customHeight="1" x14ac:dyDescent="0.25">
      <c r="A105" s="46">
        <v>95</v>
      </c>
      <c r="B105" s="47"/>
      <c r="C105" s="47"/>
      <c r="D105" s="47"/>
      <c r="E105" s="48"/>
      <c r="F105" s="48"/>
      <c r="G105" s="49"/>
      <c r="H105" s="49"/>
      <c r="I105" s="49"/>
      <c r="J105" s="47"/>
    </row>
    <row r="106" spans="1:11" ht="18" customHeight="1" x14ac:dyDescent="0.25">
      <c r="A106" s="46">
        <v>96</v>
      </c>
      <c r="B106" s="50"/>
      <c r="C106" s="50"/>
      <c r="D106" s="50"/>
      <c r="E106" s="51"/>
      <c r="F106" s="51"/>
      <c r="G106" s="52"/>
      <c r="H106" s="52"/>
      <c r="I106" s="52"/>
      <c r="J106" s="50"/>
    </row>
    <row r="107" spans="1:11" ht="18" customHeight="1" x14ac:dyDescent="0.25">
      <c r="A107" s="46">
        <v>97</v>
      </c>
      <c r="B107" s="47"/>
      <c r="C107" s="47"/>
      <c r="D107" s="47"/>
      <c r="E107" s="48"/>
      <c r="F107" s="48"/>
      <c r="G107" s="49"/>
      <c r="H107" s="49"/>
      <c r="I107" s="49"/>
      <c r="J107" s="47"/>
    </row>
    <row r="108" spans="1:11" ht="18" customHeight="1" x14ac:dyDescent="0.25">
      <c r="A108" s="46">
        <v>98</v>
      </c>
      <c r="B108" s="50"/>
      <c r="C108" s="50"/>
      <c r="D108" s="50"/>
      <c r="E108" s="51"/>
      <c r="F108" s="51"/>
      <c r="G108" s="52"/>
      <c r="H108" s="52"/>
      <c r="I108" s="52"/>
      <c r="J108" s="50"/>
    </row>
    <row r="109" spans="1:11" ht="18" customHeight="1" x14ac:dyDescent="0.25">
      <c r="A109" s="46">
        <v>99</v>
      </c>
      <c r="B109" s="47"/>
      <c r="C109" s="47"/>
      <c r="D109" s="47"/>
      <c r="E109" s="48"/>
      <c r="F109" s="48"/>
      <c r="G109" s="49"/>
      <c r="H109" s="49"/>
      <c r="I109" s="49"/>
      <c r="J109" s="47"/>
    </row>
    <row r="110" spans="1:11" ht="18" customHeight="1" x14ac:dyDescent="0.25">
      <c r="A110" s="46">
        <v>100</v>
      </c>
      <c r="B110" s="50"/>
      <c r="C110" s="50"/>
      <c r="D110" s="50"/>
      <c r="E110" s="51"/>
      <c r="F110" s="51"/>
      <c r="G110" s="52"/>
      <c r="H110" s="52"/>
      <c r="I110" s="52"/>
      <c r="J110" s="50"/>
    </row>
    <row r="111" spans="1:11" ht="40.5" x14ac:dyDescent="0.25">
      <c r="C111" s="42" t="s">
        <v>299</v>
      </c>
      <c r="D111" s="54"/>
      <c r="I111" s="39" t="s">
        <v>321</v>
      </c>
      <c r="J111" s="40" t="s">
        <v>322</v>
      </c>
      <c r="K111" t="s">
        <v>335</v>
      </c>
    </row>
    <row r="112" spans="1:11" x14ac:dyDescent="0.25">
      <c r="C112" s="41" t="s">
        <v>300</v>
      </c>
      <c r="D112" s="55"/>
      <c r="I112" s="39" t="s">
        <v>323</v>
      </c>
      <c r="J112" s="40" t="s">
        <v>324</v>
      </c>
      <c r="K112" t="s">
        <v>336</v>
      </c>
    </row>
    <row r="113" spans="3:11" ht="27" x14ac:dyDescent="0.25">
      <c r="C113" s="41" t="s">
        <v>301</v>
      </c>
      <c r="D113" s="55"/>
      <c r="I113" s="39" t="s">
        <v>323</v>
      </c>
      <c r="J113" s="40" t="s">
        <v>324</v>
      </c>
      <c r="K113" t="s">
        <v>408</v>
      </c>
    </row>
    <row r="114" spans="3:11" ht="27" x14ac:dyDescent="0.25">
      <c r="C114" s="36" t="s">
        <v>302</v>
      </c>
      <c r="D114" s="56"/>
      <c r="I114" s="39" t="s">
        <v>323</v>
      </c>
      <c r="J114" s="40" t="s">
        <v>325</v>
      </c>
    </row>
    <row r="115" spans="3:11" ht="40.5" x14ac:dyDescent="0.25">
      <c r="C115" s="36" t="s">
        <v>303</v>
      </c>
      <c r="D115" s="56"/>
      <c r="I115" s="39" t="s">
        <v>321</v>
      </c>
      <c r="J115" s="40" t="s">
        <v>325</v>
      </c>
    </row>
    <row r="116" spans="3:11" ht="81" x14ac:dyDescent="0.25">
      <c r="C116" s="36" t="s">
        <v>304</v>
      </c>
      <c r="D116" s="56"/>
      <c r="I116" s="39" t="s">
        <v>321</v>
      </c>
      <c r="J116" s="40" t="s">
        <v>325</v>
      </c>
    </row>
    <row r="117" spans="3:11" x14ac:dyDescent="0.25">
      <c r="C117" s="36" t="s">
        <v>305</v>
      </c>
      <c r="D117" s="56"/>
      <c r="I117" s="39" t="s">
        <v>323</v>
      </c>
      <c r="J117" s="40" t="s">
        <v>325</v>
      </c>
    </row>
    <row r="118" spans="3:11" ht="27" x14ac:dyDescent="0.25">
      <c r="C118" s="42" t="s">
        <v>306</v>
      </c>
      <c r="D118" s="54"/>
      <c r="I118" s="39" t="s">
        <v>321</v>
      </c>
      <c r="J118" s="40" t="s">
        <v>326</v>
      </c>
    </row>
    <row r="119" spans="3:11" ht="27" x14ac:dyDescent="0.25">
      <c r="C119" s="42" t="s">
        <v>307</v>
      </c>
      <c r="D119" s="54"/>
      <c r="I119" s="39" t="s">
        <v>327</v>
      </c>
      <c r="J119" s="40" t="s">
        <v>326</v>
      </c>
    </row>
    <row r="120" spans="3:11" x14ac:dyDescent="0.25">
      <c r="C120" s="43" t="s">
        <v>308</v>
      </c>
      <c r="D120" s="57"/>
      <c r="I120" s="39" t="s">
        <v>327</v>
      </c>
      <c r="J120" s="40" t="s">
        <v>324</v>
      </c>
    </row>
    <row r="121" spans="3:11" x14ac:dyDescent="0.25">
      <c r="C121" s="43" t="s">
        <v>309</v>
      </c>
      <c r="D121" s="57"/>
      <c r="I121" s="39" t="s">
        <v>327</v>
      </c>
      <c r="J121" s="40" t="s">
        <v>324</v>
      </c>
    </row>
    <row r="122" spans="3:11" ht="27" x14ac:dyDescent="0.25">
      <c r="C122" s="42" t="s">
        <v>310</v>
      </c>
      <c r="D122" s="54"/>
      <c r="I122" s="39" t="s">
        <v>327</v>
      </c>
      <c r="J122" s="40" t="s">
        <v>328</v>
      </c>
    </row>
    <row r="123" spans="3:11" ht="27" x14ac:dyDescent="0.25">
      <c r="C123" s="44" t="s">
        <v>311</v>
      </c>
      <c r="D123" s="58"/>
      <c r="I123" s="120" t="s">
        <v>327</v>
      </c>
      <c r="J123" s="121" t="s">
        <v>407</v>
      </c>
    </row>
    <row r="124" spans="3:11" ht="27" x14ac:dyDescent="0.25">
      <c r="C124" s="39" t="s">
        <v>312</v>
      </c>
      <c r="D124" s="59"/>
      <c r="I124" s="120"/>
      <c r="J124" s="121"/>
    </row>
    <row r="125" spans="3:11" ht="40.5" x14ac:dyDescent="0.25">
      <c r="C125" s="36" t="s">
        <v>303</v>
      </c>
      <c r="D125" s="56"/>
      <c r="I125" s="39" t="s">
        <v>321</v>
      </c>
      <c r="J125" s="40" t="s">
        <v>329</v>
      </c>
    </row>
    <row r="126" spans="3:11" ht="81" x14ac:dyDescent="0.25">
      <c r="C126" s="36" t="s">
        <v>304</v>
      </c>
      <c r="D126" s="56"/>
      <c r="I126" s="39" t="s">
        <v>321</v>
      </c>
      <c r="J126" s="40" t="s">
        <v>329</v>
      </c>
    </row>
    <row r="127" spans="3:11" x14ac:dyDescent="0.25">
      <c r="C127" s="42" t="s">
        <v>313</v>
      </c>
      <c r="D127" s="54"/>
      <c r="I127" s="39" t="s">
        <v>321</v>
      </c>
      <c r="J127" s="40" t="s">
        <v>330</v>
      </c>
    </row>
    <row r="128" spans="3:11" ht="15.75" x14ac:dyDescent="0.25">
      <c r="C128" s="36" t="s">
        <v>314</v>
      </c>
      <c r="D128" s="56"/>
      <c r="I128" s="38"/>
      <c r="J128" s="40" t="s">
        <v>183</v>
      </c>
    </row>
    <row r="129" spans="2:11" ht="15.75" x14ac:dyDescent="0.25">
      <c r="C129" s="36" t="s">
        <v>315</v>
      </c>
      <c r="D129" s="56"/>
      <c r="I129" s="38"/>
      <c r="J129" s="40" t="s">
        <v>331</v>
      </c>
    </row>
    <row r="130" spans="2:11" ht="15.75" x14ac:dyDescent="0.25">
      <c r="C130" s="36" t="s">
        <v>316</v>
      </c>
      <c r="D130" s="56"/>
      <c r="I130" s="38"/>
      <c r="J130" s="40" t="s">
        <v>332</v>
      </c>
    </row>
    <row r="131" spans="2:11" ht="15.75" x14ac:dyDescent="0.25">
      <c r="C131" s="36" t="s">
        <v>317</v>
      </c>
      <c r="D131" s="56"/>
      <c r="I131" s="38"/>
      <c r="J131" s="40" t="s">
        <v>326</v>
      </c>
    </row>
    <row r="132" spans="2:11" ht="15.75" x14ac:dyDescent="0.25">
      <c r="C132" s="36" t="s">
        <v>318</v>
      </c>
      <c r="D132" s="56"/>
      <c r="I132" s="38"/>
      <c r="J132" s="63" t="s">
        <v>660</v>
      </c>
      <c r="K132" t="s">
        <v>661</v>
      </c>
    </row>
    <row r="133" spans="2:11" x14ac:dyDescent="0.25">
      <c r="C133" s="36" t="s">
        <v>139</v>
      </c>
      <c r="D133" s="56"/>
      <c r="I133" s="40"/>
      <c r="J133" s="40" t="s">
        <v>183</v>
      </c>
    </row>
    <row r="134" spans="2:11" x14ac:dyDescent="0.25">
      <c r="C134" s="36" t="s">
        <v>319</v>
      </c>
      <c r="D134" s="56"/>
      <c r="I134" s="40"/>
      <c r="J134" s="40" t="s">
        <v>333</v>
      </c>
    </row>
    <row r="135" spans="2:11" x14ac:dyDescent="0.25">
      <c r="C135" s="40" t="s">
        <v>320</v>
      </c>
      <c r="D135" s="60"/>
      <c r="I135" s="40"/>
      <c r="J135" s="40" t="s">
        <v>334</v>
      </c>
    </row>
    <row r="136" spans="2:11" x14ac:dyDescent="0.25">
      <c r="C136" s="40" t="s">
        <v>297</v>
      </c>
      <c r="D136" s="60"/>
      <c r="I136" s="40"/>
      <c r="J136" s="40" t="s">
        <v>298</v>
      </c>
    </row>
    <row r="137" spans="2:11" x14ac:dyDescent="0.25">
      <c r="C137" s="40" t="s">
        <v>176</v>
      </c>
      <c r="D137" s="60"/>
      <c r="I137" s="40"/>
      <c r="J137" s="40" t="s">
        <v>182</v>
      </c>
    </row>
    <row r="138" spans="2:11" ht="15.75" x14ac:dyDescent="0.25">
      <c r="B138" t="s">
        <v>654</v>
      </c>
      <c r="C138" s="38" t="s">
        <v>177</v>
      </c>
      <c r="D138" s="45"/>
      <c r="I138" s="40"/>
      <c r="J138" s="40"/>
    </row>
    <row r="139" spans="2:11" ht="27" x14ac:dyDescent="0.25">
      <c r="C139" s="37" t="s">
        <v>178</v>
      </c>
      <c r="D139" s="60"/>
      <c r="I139" s="45"/>
      <c r="J139" s="37" t="s">
        <v>184</v>
      </c>
    </row>
  </sheetData>
  <autoFilter ref="A10:M139" xr:uid="{00000000-0001-0000-0500-000000000000}">
    <filterColumn colId="4">
      <filters blank="1">
        <filter val="Lube Oil"/>
        <filter val="Others"/>
        <filter val="Stores"/>
      </filters>
    </filterColumn>
  </autoFilter>
  <mergeCells count="12">
    <mergeCell ref="A1:M1"/>
    <mergeCell ref="A2:B2"/>
    <mergeCell ref="C2:F2"/>
    <mergeCell ref="G2:M2"/>
    <mergeCell ref="A3:B3"/>
    <mergeCell ref="C3:F3"/>
    <mergeCell ref="G3:M3"/>
    <mergeCell ref="I123:I124"/>
    <mergeCell ref="J123:J124"/>
    <mergeCell ref="A4:B4"/>
    <mergeCell ref="E4:M4"/>
    <mergeCell ref="A9:K9"/>
  </mergeCells>
  <phoneticPr fontId="23" type="noConversion"/>
  <dataValidations count="2">
    <dataValidation type="list" allowBlank="1" sqref="E11:E110" xr:uid="{00000000-0002-0000-0500-000000000000}">
      <formula1>"Spares,Stores,Lube Oil,Chemicals,Lashing Gear,Others"</formula1>
      <formula2>0</formula2>
    </dataValidation>
    <dataValidation type="list" allowBlank="1" sqref="F11:F110" xr:uid="{00000000-0002-0000-0500-000001000000}">
      <formula1>"Not Created,To Be Created,Pending Approval,Approved &amp; Issued,Pending Delivery,Delivered"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110"/>
  <sheetViews>
    <sheetView showGridLines="0" zoomScale="70" zoomScaleNormal="70" workbookViewId="0">
      <pane ySplit="10" topLeftCell="A11" activePane="bottomLeft" state="frozen"/>
      <selection pane="bottomLeft" activeCell="C27" sqref="C27"/>
    </sheetView>
  </sheetViews>
  <sheetFormatPr defaultColWidth="8.5703125" defaultRowHeight="15" x14ac:dyDescent="0.25"/>
  <cols>
    <col min="1" max="1" width="5" customWidth="1"/>
    <col min="2" max="2" width="24.5703125" bestFit="1" customWidth="1"/>
    <col min="3" max="3" width="58.7109375" bestFit="1" customWidth="1"/>
    <col min="4" max="4" width="29.28515625" customWidth="1"/>
    <col min="5" max="5" width="16" customWidth="1"/>
    <col min="6" max="6" width="20" customWidth="1"/>
    <col min="7" max="7" width="16" customWidth="1"/>
    <col min="8" max="8" width="18" customWidth="1"/>
    <col min="9" max="9" width="42" customWidth="1"/>
    <col min="10" max="11" width="4" customWidth="1"/>
  </cols>
  <sheetData>
    <row r="1" spans="1:11" ht="36" customHeight="1" x14ac:dyDescent="0.25">
      <c r="A1" s="125" t="s">
        <v>13</v>
      </c>
      <c r="B1" s="125"/>
      <c r="C1" s="125"/>
      <c r="D1" s="125"/>
      <c r="E1" s="125"/>
      <c r="F1" s="125"/>
      <c r="G1" s="125"/>
      <c r="H1" s="125"/>
      <c r="I1" s="125"/>
      <c r="J1" s="125"/>
      <c r="K1" s="125"/>
    </row>
    <row r="2" spans="1:11" ht="24" customHeight="1" x14ac:dyDescent="0.25">
      <c r="A2" s="122" t="s">
        <v>14</v>
      </c>
      <c r="B2" s="122"/>
      <c r="C2" s="126"/>
      <c r="D2" s="126"/>
      <c r="E2" s="126"/>
      <c r="F2" s="123" t="s">
        <v>15</v>
      </c>
      <c r="G2" s="123"/>
      <c r="H2" s="123"/>
      <c r="I2" s="123"/>
      <c r="J2" s="123"/>
      <c r="K2" s="123"/>
    </row>
    <row r="3" spans="1:11" ht="24" customHeight="1" x14ac:dyDescent="0.25">
      <c r="A3" s="122" t="s">
        <v>16</v>
      </c>
      <c r="B3" s="122"/>
      <c r="C3" s="126"/>
      <c r="D3" s="126"/>
      <c r="E3" s="126"/>
      <c r="F3" s="123" t="s">
        <v>17</v>
      </c>
      <c r="G3" s="123"/>
      <c r="H3" s="123"/>
      <c r="I3" s="123"/>
      <c r="J3" s="123"/>
      <c r="K3" s="123"/>
    </row>
    <row r="4" spans="1:11" ht="24" customHeight="1" x14ac:dyDescent="0.25">
      <c r="A4" s="122" t="s">
        <v>18</v>
      </c>
      <c r="B4" s="122"/>
      <c r="C4" s="22"/>
      <c r="D4" s="123" t="s">
        <v>19</v>
      </c>
      <c r="E4" s="123"/>
      <c r="F4" s="123"/>
      <c r="G4" s="123"/>
      <c r="H4" s="123"/>
      <c r="I4" s="123"/>
      <c r="J4" s="123"/>
      <c r="K4" s="123"/>
    </row>
    <row r="5" spans="1:11" ht="7.5" customHeight="1" x14ac:dyDescent="0.25"/>
    <row r="6" spans="1:11" ht="21.75" customHeight="1" x14ac:dyDescent="0.25">
      <c r="A6" s="23" t="s">
        <v>3</v>
      </c>
      <c r="B6" s="24" t="s">
        <v>4</v>
      </c>
      <c r="C6" s="25" t="s">
        <v>5</v>
      </c>
      <c r="D6" s="26" t="s">
        <v>6</v>
      </c>
      <c r="E6" s="27" t="s">
        <v>7</v>
      </c>
      <c r="F6" s="28" t="s">
        <v>8</v>
      </c>
      <c r="G6" s="1" t="s">
        <v>9</v>
      </c>
      <c r="H6" s="8" t="s">
        <v>10</v>
      </c>
      <c r="I6" s="7" t="s">
        <v>11</v>
      </c>
    </row>
    <row r="7" spans="1:11" ht="21.75" customHeight="1" x14ac:dyDescent="0.25">
      <c r="A7" s="29">
        <f>COUNTIF(E11:E110,"Not Created")</f>
        <v>0</v>
      </c>
      <c r="B7" s="29">
        <f>COUNTIF(E11:E110,"To Be Created")</f>
        <v>0</v>
      </c>
      <c r="C7" s="29">
        <f>COUNTIF(E11:E110,"Pending Approval")</f>
        <v>5</v>
      </c>
      <c r="D7" s="29">
        <f>COUNTIF(E11:E110,"Approved &amp; Issued")</f>
        <v>0</v>
      </c>
      <c r="E7" s="29">
        <f>COUNTIF(E11:E110,"Pending Delivery")</f>
        <v>11</v>
      </c>
      <c r="F7" s="29">
        <f>COUNTIF(E11:E110,"Delivered")</f>
        <v>0</v>
      </c>
      <c r="G7" s="29">
        <f>COUNTA(B11:B110)</f>
        <v>28</v>
      </c>
      <c r="H7" s="30">
        <f>IF(G7&gt;0,(D7+E7)/G7,0)</f>
        <v>0.39285714285714285</v>
      </c>
      <c r="I7" s="30">
        <f>IF(G7&gt;0,F7/G7,0)</f>
        <v>0</v>
      </c>
    </row>
    <row r="8" spans="1:11" ht="7.5" customHeight="1" x14ac:dyDescent="0.25"/>
    <row r="9" spans="1:11" ht="18" customHeight="1" x14ac:dyDescent="0.25">
      <c r="A9" s="124" t="s">
        <v>20</v>
      </c>
      <c r="B9" s="124"/>
      <c r="C9" s="124"/>
      <c r="D9" s="124"/>
      <c r="E9" s="124"/>
      <c r="F9" s="124"/>
      <c r="G9" s="124"/>
      <c r="H9" s="124"/>
      <c r="I9" s="124"/>
    </row>
    <row r="10" spans="1:11" ht="30" customHeight="1" x14ac:dyDescent="0.25">
      <c r="A10" s="1" t="s">
        <v>21</v>
      </c>
      <c r="B10" s="1" t="s">
        <v>22</v>
      </c>
      <c r="C10" s="1" t="s">
        <v>23</v>
      </c>
      <c r="D10" s="1" t="s">
        <v>24</v>
      </c>
      <c r="E10" s="1" t="s">
        <v>25</v>
      </c>
      <c r="F10" s="1" t="s">
        <v>26</v>
      </c>
      <c r="G10" s="1" t="s">
        <v>27</v>
      </c>
      <c r="H10" s="1" t="s">
        <v>28</v>
      </c>
    </row>
    <row r="11" spans="1:11" ht="18" customHeight="1" x14ac:dyDescent="0.25">
      <c r="A11" s="31">
        <v>1</v>
      </c>
      <c r="B11" s="10" t="s">
        <v>512</v>
      </c>
      <c r="C11" s="10" t="s">
        <v>221</v>
      </c>
      <c r="D11" s="11"/>
      <c r="E11" s="11" t="s">
        <v>545</v>
      </c>
      <c r="F11" s="32"/>
      <c r="G11" s="32"/>
      <c r="H11" s="10"/>
    </row>
    <row r="12" spans="1:11" ht="18" customHeight="1" x14ac:dyDescent="0.25">
      <c r="A12" s="31">
        <v>2</v>
      </c>
      <c r="B12" s="33" t="s">
        <v>513</v>
      </c>
      <c r="C12" s="33" t="s">
        <v>535</v>
      </c>
      <c r="D12" s="34"/>
      <c r="E12" s="34" t="s">
        <v>7</v>
      </c>
      <c r="F12" s="35">
        <v>46055</v>
      </c>
      <c r="G12" s="35"/>
      <c r="H12" s="33"/>
    </row>
    <row r="13" spans="1:11" ht="18" customHeight="1" x14ac:dyDescent="0.25">
      <c r="A13" s="31">
        <v>3</v>
      </c>
      <c r="B13" s="10" t="s">
        <v>514</v>
      </c>
      <c r="C13" s="10" t="s">
        <v>536</v>
      </c>
      <c r="D13" s="11"/>
      <c r="E13" s="11" t="s">
        <v>497</v>
      </c>
      <c r="F13" s="32">
        <v>46101</v>
      </c>
      <c r="G13" s="32"/>
      <c r="H13" s="10"/>
    </row>
    <row r="14" spans="1:11" ht="18" customHeight="1" x14ac:dyDescent="0.25">
      <c r="A14" s="31">
        <v>4</v>
      </c>
      <c r="B14" s="33" t="s">
        <v>515</v>
      </c>
      <c r="C14" s="33" t="s">
        <v>537</v>
      </c>
      <c r="D14" s="34"/>
      <c r="E14" s="34" t="s">
        <v>545</v>
      </c>
      <c r="F14" s="35"/>
      <c r="G14" s="35"/>
      <c r="H14" s="33"/>
    </row>
    <row r="15" spans="1:11" ht="18" customHeight="1" x14ac:dyDescent="0.25">
      <c r="A15" s="31">
        <v>5</v>
      </c>
      <c r="B15" s="10" t="s">
        <v>516</v>
      </c>
      <c r="C15" s="10" t="s">
        <v>538</v>
      </c>
      <c r="D15" s="11"/>
      <c r="E15" s="11" t="s">
        <v>7</v>
      </c>
      <c r="F15" s="32">
        <v>46091</v>
      </c>
      <c r="G15" s="32"/>
      <c r="H15" s="10"/>
    </row>
    <row r="16" spans="1:11" ht="18" customHeight="1" x14ac:dyDescent="0.25">
      <c r="A16" s="31">
        <v>6</v>
      </c>
      <c r="B16" s="33" t="s">
        <v>517</v>
      </c>
      <c r="C16" s="33" t="s">
        <v>539</v>
      </c>
      <c r="D16" s="34"/>
      <c r="E16" s="34" t="s">
        <v>497</v>
      </c>
      <c r="F16" s="35">
        <v>46101</v>
      </c>
      <c r="G16" s="35"/>
      <c r="H16" s="33"/>
    </row>
    <row r="17" spans="1:8" ht="18" customHeight="1" x14ac:dyDescent="0.25">
      <c r="A17" s="31">
        <v>7</v>
      </c>
      <c r="B17" s="10" t="s">
        <v>518</v>
      </c>
      <c r="C17" s="10" t="s">
        <v>59</v>
      </c>
      <c r="D17" s="11"/>
      <c r="E17" s="11" t="s">
        <v>7</v>
      </c>
      <c r="F17" s="32">
        <v>46087</v>
      </c>
      <c r="G17" s="32"/>
      <c r="H17" s="10"/>
    </row>
    <row r="18" spans="1:8" ht="18" customHeight="1" x14ac:dyDescent="0.25">
      <c r="A18" s="31">
        <v>8</v>
      </c>
      <c r="B18" s="33" t="s">
        <v>519</v>
      </c>
      <c r="C18" s="33" t="s">
        <v>254</v>
      </c>
      <c r="D18" s="34"/>
      <c r="E18" s="34" t="s">
        <v>497</v>
      </c>
      <c r="F18" s="35">
        <v>46070</v>
      </c>
      <c r="G18" s="35"/>
      <c r="H18" s="33"/>
    </row>
    <row r="19" spans="1:8" ht="18" customHeight="1" x14ac:dyDescent="0.25">
      <c r="A19" s="31">
        <v>9</v>
      </c>
      <c r="B19" s="10" t="s">
        <v>520</v>
      </c>
      <c r="C19" s="10" t="s">
        <v>101</v>
      </c>
      <c r="D19" s="11"/>
      <c r="E19" s="11" t="s">
        <v>7</v>
      </c>
      <c r="F19" s="32">
        <v>46072</v>
      </c>
      <c r="G19" s="32"/>
      <c r="H19" s="10"/>
    </row>
    <row r="20" spans="1:8" ht="18" customHeight="1" x14ac:dyDescent="0.25">
      <c r="A20" s="31">
        <v>10</v>
      </c>
      <c r="B20" s="33" t="s">
        <v>521</v>
      </c>
      <c r="C20" s="33" t="s">
        <v>540</v>
      </c>
      <c r="D20" s="34"/>
      <c r="E20" s="34" t="s">
        <v>7</v>
      </c>
      <c r="F20" s="35">
        <v>46099</v>
      </c>
      <c r="G20" s="35"/>
      <c r="H20" s="33"/>
    </row>
    <row r="21" spans="1:8" ht="18" customHeight="1" x14ac:dyDescent="0.25">
      <c r="A21" s="31">
        <v>11</v>
      </c>
      <c r="B21" s="10" t="s">
        <v>522</v>
      </c>
      <c r="C21" s="10" t="s">
        <v>76</v>
      </c>
      <c r="D21" s="11"/>
      <c r="E21" s="11" t="s">
        <v>7</v>
      </c>
      <c r="F21" s="32">
        <v>46037</v>
      </c>
      <c r="G21" s="32"/>
      <c r="H21" s="10"/>
    </row>
    <row r="22" spans="1:8" ht="18" customHeight="1" x14ac:dyDescent="0.25">
      <c r="A22" s="31">
        <v>12</v>
      </c>
      <c r="B22" s="33" t="s">
        <v>523</v>
      </c>
      <c r="C22" s="33" t="s">
        <v>74</v>
      </c>
      <c r="D22" s="34"/>
      <c r="E22" s="34" t="s">
        <v>7</v>
      </c>
      <c r="F22" s="35">
        <v>46087</v>
      </c>
      <c r="G22" s="35"/>
      <c r="H22" s="33"/>
    </row>
    <row r="23" spans="1:8" ht="18" customHeight="1" x14ac:dyDescent="0.25">
      <c r="A23" s="31">
        <v>13</v>
      </c>
      <c r="B23" s="10" t="s">
        <v>524</v>
      </c>
      <c r="C23" s="10" t="s">
        <v>541</v>
      </c>
      <c r="D23" s="11"/>
      <c r="E23" s="11" t="s">
        <v>7</v>
      </c>
      <c r="F23" s="32">
        <v>46048</v>
      </c>
      <c r="G23" s="32"/>
      <c r="H23" s="10"/>
    </row>
    <row r="24" spans="1:8" ht="18" customHeight="1" x14ac:dyDescent="0.25">
      <c r="A24" s="31">
        <v>14</v>
      </c>
      <c r="B24" s="33" t="s">
        <v>525</v>
      </c>
      <c r="C24" s="33" t="s">
        <v>488</v>
      </c>
      <c r="D24" s="34"/>
      <c r="E24" s="34" t="s">
        <v>497</v>
      </c>
      <c r="F24" s="35">
        <v>46101</v>
      </c>
      <c r="G24" s="35"/>
      <c r="H24" s="33"/>
    </row>
    <row r="25" spans="1:8" ht="18" customHeight="1" x14ac:dyDescent="0.25">
      <c r="A25" s="31">
        <v>15</v>
      </c>
      <c r="B25" s="10" t="s">
        <v>526</v>
      </c>
      <c r="C25" s="10" t="s">
        <v>39</v>
      </c>
      <c r="D25" s="11"/>
      <c r="E25" s="11" t="s">
        <v>497</v>
      </c>
      <c r="F25" s="32">
        <v>46071</v>
      </c>
      <c r="G25" s="32"/>
      <c r="H25" s="10"/>
    </row>
    <row r="26" spans="1:8" ht="18" customHeight="1" x14ac:dyDescent="0.25">
      <c r="A26" s="31">
        <v>16</v>
      </c>
      <c r="B26" s="33" t="s">
        <v>527</v>
      </c>
      <c r="C26" s="33" t="s">
        <v>542</v>
      </c>
      <c r="D26" s="34"/>
      <c r="E26" s="34" t="s">
        <v>7</v>
      </c>
      <c r="F26" s="35">
        <v>46066</v>
      </c>
      <c r="G26" s="35"/>
      <c r="H26" s="33"/>
    </row>
    <row r="27" spans="1:8" ht="18" customHeight="1" x14ac:dyDescent="0.25">
      <c r="A27" s="31">
        <v>17</v>
      </c>
      <c r="B27" s="10" t="s">
        <v>528</v>
      </c>
      <c r="C27" s="10" t="s">
        <v>70</v>
      </c>
      <c r="D27" s="11"/>
      <c r="E27" s="11" t="s">
        <v>7</v>
      </c>
      <c r="F27" s="32">
        <v>46079</v>
      </c>
      <c r="G27" s="32"/>
      <c r="H27" s="10"/>
    </row>
    <row r="28" spans="1:8" ht="18" customHeight="1" x14ac:dyDescent="0.25">
      <c r="A28" s="31">
        <v>18</v>
      </c>
      <c r="B28" s="33" t="s">
        <v>529</v>
      </c>
      <c r="C28" s="33" t="s">
        <v>492</v>
      </c>
      <c r="D28" s="34"/>
      <c r="E28" s="34" t="s">
        <v>497</v>
      </c>
      <c r="F28" s="35">
        <v>46098</v>
      </c>
      <c r="G28" s="35"/>
      <c r="H28" s="33"/>
    </row>
    <row r="29" spans="1:8" ht="18" customHeight="1" x14ac:dyDescent="0.25">
      <c r="A29" s="31">
        <v>19</v>
      </c>
      <c r="B29" s="10" t="s">
        <v>530</v>
      </c>
      <c r="C29" s="10" t="s">
        <v>373</v>
      </c>
      <c r="D29" s="11"/>
      <c r="E29" s="11" t="s">
        <v>497</v>
      </c>
      <c r="F29" s="32">
        <v>46100</v>
      </c>
      <c r="G29" s="32"/>
      <c r="H29" s="10"/>
    </row>
    <row r="30" spans="1:8" ht="18" customHeight="1" x14ac:dyDescent="0.25">
      <c r="A30" s="31">
        <v>20</v>
      </c>
      <c r="B30" s="33" t="s">
        <v>531</v>
      </c>
      <c r="C30" s="33" t="s">
        <v>543</v>
      </c>
      <c r="D30" s="34"/>
      <c r="E30" s="34" t="s">
        <v>497</v>
      </c>
      <c r="F30" s="35">
        <v>46099</v>
      </c>
      <c r="G30" s="35"/>
      <c r="H30" s="33"/>
    </row>
    <row r="31" spans="1:8" ht="18" customHeight="1" x14ac:dyDescent="0.25">
      <c r="A31" s="31">
        <v>21</v>
      </c>
      <c r="B31" s="10" t="s">
        <v>532</v>
      </c>
      <c r="C31" s="10" t="s">
        <v>368</v>
      </c>
      <c r="D31" s="11"/>
      <c r="E31" s="11" t="s">
        <v>7</v>
      </c>
      <c r="F31" s="32">
        <v>46059</v>
      </c>
      <c r="G31" s="32"/>
      <c r="H31" s="10"/>
    </row>
    <row r="32" spans="1:8" ht="18" customHeight="1" x14ac:dyDescent="0.25">
      <c r="A32" s="31">
        <v>22</v>
      </c>
      <c r="B32" s="33" t="s">
        <v>533</v>
      </c>
      <c r="C32" s="33" t="s">
        <v>544</v>
      </c>
      <c r="D32" s="34"/>
      <c r="E32" s="34" t="s">
        <v>497</v>
      </c>
      <c r="F32" s="35">
        <v>46065</v>
      </c>
      <c r="G32" s="35"/>
      <c r="H32" s="33"/>
    </row>
    <row r="33" spans="1:8" ht="18" customHeight="1" x14ac:dyDescent="0.25">
      <c r="A33" s="31">
        <v>23</v>
      </c>
      <c r="B33" s="10" t="s">
        <v>534</v>
      </c>
      <c r="C33" s="10" t="s">
        <v>54</v>
      </c>
      <c r="D33" s="11"/>
      <c r="E33" s="11" t="s">
        <v>5</v>
      </c>
      <c r="F33" s="32">
        <v>46078</v>
      </c>
      <c r="G33" s="32"/>
      <c r="H33" s="10" t="s">
        <v>411</v>
      </c>
    </row>
    <row r="34" spans="1:8" ht="18" customHeight="1" x14ac:dyDescent="0.25">
      <c r="A34" s="31">
        <v>24</v>
      </c>
      <c r="B34" s="33" t="s">
        <v>573</v>
      </c>
      <c r="C34" s="33" t="s">
        <v>574</v>
      </c>
      <c r="D34" s="34" t="s">
        <v>410</v>
      </c>
      <c r="E34" s="34" t="s">
        <v>5</v>
      </c>
      <c r="F34" s="35"/>
      <c r="G34" s="35"/>
      <c r="H34" s="33" t="s">
        <v>411</v>
      </c>
    </row>
    <row r="35" spans="1:8" ht="18" customHeight="1" x14ac:dyDescent="0.25">
      <c r="A35" s="31">
        <v>25</v>
      </c>
      <c r="B35" s="10" t="s">
        <v>578</v>
      </c>
      <c r="C35" s="47" t="s">
        <v>105</v>
      </c>
      <c r="D35" s="11" t="s">
        <v>410</v>
      </c>
      <c r="E35" s="11" t="s">
        <v>5</v>
      </c>
      <c r="F35" s="32"/>
      <c r="G35" s="32"/>
      <c r="H35" s="10" t="s">
        <v>411</v>
      </c>
    </row>
    <row r="36" spans="1:8" ht="18" customHeight="1" x14ac:dyDescent="0.25">
      <c r="A36" s="31">
        <v>26</v>
      </c>
      <c r="B36" s="33" t="s">
        <v>582</v>
      </c>
      <c r="C36" s="50" t="s">
        <v>106</v>
      </c>
      <c r="D36" s="34" t="s">
        <v>410</v>
      </c>
      <c r="E36" s="34" t="s">
        <v>5</v>
      </c>
      <c r="F36" s="35"/>
      <c r="G36" s="35"/>
      <c r="H36" s="33" t="s">
        <v>411</v>
      </c>
    </row>
    <row r="37" spans="1:8" ht="18" customHeight="1" x14ac:dyDescent="0.25">
      <c r="A37" s="31">
        <v>27</v>
      </c>
      <c r="B37" s="10" t="s">
        <v>587</v>
      </c>
      <c r="C37" s="47" t="s">
        <v>441</v>
      </c>
      <c r="D37" s="11" t="s">
        <v>410</v>
      </c>
      <c r="E37" s="11" t="s">
        <v>5</v>
      </c>
      <c r="F37" s="32"/>
      <c r="G37" s="32"/>
      <c r="H37" s="10" t="s">
        <v>411</v>
      </c>
    </row>
    <row r="38" spans="1:8" ht="18" customHeight="1" x14ac:dyDescent="0.25">
      <c r="A38" s="31">
        <v>28</v>
      </c>
      <c r="B38" s="33" t="s">
        <v>655</v>
      </c>
      <c r="C38" s="33" t="s">
        <v>656</v>
      </c>
      <c r="D38" s="34"/>
      <c r="E38" s="34"/>
      <c r="F38" s="35"/>
      <c r="G38" s="35"/>
      <c r="H38" s="33"/>
    </row>
    <row r="39" spans="1:8" ht="18" customHeight="1" x14ac:dyDescent="0.25">
      <c r="A39" s="31">
        <v>29</v>
      </c>
      <c r="B39" s="10"/>
      <c r="C39" s="10"/>
      <c r="D39" s="11"/>
      <c r="E39" s="11"/>
      <c r="F39" s="32"/>
      <c r="G39" s="32"/>
      <c r="H39" s="10"/>
    </row>
    <row r="40" spans="1:8" ht="18" customHeight="1" x14ac:dyDescent="0.25">
      <c r="A40" s="31">
        <v>30</v>
      </c>
      <c r="B40" s="33"/>
      <c r="C40" s="33"/>
      <c r="D40" s="34"/>
      <c r="E40" s="34"/>
      <c r="F40" s="35"/>
      <c r="G40" s="35"/>
      <c r="H40" s="33"/>
    </row>
    <row r="41" spans="1:8" ht="18" customHeight="1" x14ac:dyDescent="0.25">
      <c r="A41" s="31">
        <v>31</v>
      </c>
      <c r="B41" s="10"/>
      <c r="C41" s="10"/>
      <c r="D41" s="11"/>
      <c r="E41" s="11"/>
      <c r="F41" s="32"/>
      <c r="G41" s="32"/>
      <c r="H41" s="10"/>
    </row>
    <row r="42" spans="1:8" ht="18" customHeight="1" x14ac:dyDescent="0.25">
      <c r="A42" s="31">
        <v>32</v>
      </c>
      <c r="B42" s="33"/>
      <c r="C42" s="33"/>
      <c r="D42" s="34"/>
      <c r="E42" s="34"/>
      <c r="F42" s="35"/>
      <c r="G42" s="35"/>
      <c r="H42" s="33"/>
    </row>
    <row r="43" spans="1:8" ht="18" customHeight="1" x14ac:dyDescent="0.25">
      <c r="A43" s="31">
        <v>33</v>
      </c>
      <c r="B43" s="10"/>
      <c r="C43" s="10"/>
      <c r="D43" s="11"/>
      <c r="E43" s="11"/>
      <c r="F43" s="32"/>
      <c r="G43" s="32"/>
      <c r="H43" s="10"/>
    </row>
    <row r="44" spans="1:8" ht="18" customHeight="1" x14ac:dyDescent="0.25">
      <c r="A44" s="31">
        <v>34</v>
      </c>
      <c r="B44" s="33"/>
      <c r="C44" s="33"/>
      <c r="D44" s="34"/>
      <c r="E44" s="34"/>
      <c r="F44" s="35"/>
      <c r="G44" s="35"/>
      <c r="H44" s="33"/>
    </row>
    <row r="45" spans="1:8" ht="18" customHeight="1" x14ac:dyDescent="0.25">
      <c r="A45" s="31">
        <v>35</v>
      </c>
      <c r="B45" s="10"/>
      <c r="C45" s="10"/>
      <c r="D45" s="11"/>
      <c r="E45" s="11"/>
      <c r="F45" s="32"/>
      <c r="G45" s="32"/>
      <c r="H45" s="10"/>
    </row>
    <row r="46" spans="1:8" ht="18" customHeight="1" x14ac:dyDescent="0.25">
      <c r="A46" s="31">
        <v>36</v>
      </c>
      <c r="B46" s="33"/>
      <c r="C46" s="33"/>
      <c r="D46" s="34"/>
      <c r="E46" s="34"/>
      <c r="F46" s="35"/>
      <c r="G46" s="35"/>
      <c r="H46" s="33"/>
    </row>
    <row r="47" spans="1:8" ht="18" customHeight="1" x14ac:dyDescent="0.25">
      <c r="A47" s="31">
        <v>37</v>
      </c>
      <c r="B47" s="10"/>
      <c r="C47" s="10"/>
      <c r="D47" s="11"/>
      <c r="E47" s="11"/>
      <c r="F47" s="32"/>
      <c r="G47" s="32"/>
      <c r="H47" s="10"/>
    </row>
    <row r="48" spans="1:8" ht="18" customHeight="1" x14ac:dyDescent="0.25">
      <c r="A48" s="31">
        <v>38</v>
      </c>
      <c r="B48" s="33"/>
      <c r="C48" s="33"/>
      <c r="D48" s="34"/>
      <c r="E48" s="34"/>
      <c r="F48" s="35"/>
      <c r="G48" s="35"/>
      <c r="H48" s="33"/>
    </row>
    <row r="49" spans="1:8" ht="18" customHeight="1" x14ac:dyDescent="0.25">
      <c r="A49" s="31">
        <v>39</v>
      </c>
      <c r="B49" s="10"/>
      <c r="C49" s="10"/>
      <c r="D49" s="11"/>
      <c r="E49" s="11"/>
      <c r="F49" s="32"/>
      <c r="G49" s="32"/>
      <c r="H49" s="10"/>
    </row>
    <row r="50" spans="1:8" ht="18" customHeight="1" x14ac:dyDescent="0.25">
      <c r="A50" s="31">
        <v>40</v>
      </c>
      <c r="B50" s="33"/>
      <c r="C50" s="33"/>
      <c r="D50" s="34"/>
      <c r="E50" s="34"/>
      <c r="F50" s="35"/>
      <c r="G50" s="35"/>
      <c r="H50" s="33"/>
    </row>
    <row r="51" spans="1:8" ht="18" customHeight="1" x14ac:dyDescent="0.25">
      <c r="A51" s="31">
        <v>41</v>
      </c>
      <c r="B51" s="10"/>
      <c r="C51" s="10"/>
      <c r="D51" s="11"/>
      <c r="E51" s="11"/>
      <c r="F51" s="32"/>
      <c r="G51" s="32"/>
      <c r="H51" s="10"/>
    </row>
    <row r="52" spans="1:8" ht="18" customHeight="1" x14ac:dyDescent="0.25">
      <c r="A52" s="31">
        <v>42</v>
      </c>
      <c r="B52" s="33"/>
      <c r="C52" s="33"/>
      <c r="D52" s="34"/>
      <c r="E52" s="34"/>
      <c r="F52" s="35"/>
      <c r="G52" s="35"/>
      <c r="H52" s="33"/>
    </row>
    <row r="53" spans="1:8" ht="18" customHeight="1" x14ac:dyDescent="0.25">
      <c r="A53" s="31">
        <v>43</v>
      </c>
      <c r="B53" s="10"/>
      <c r="C53" s="10"/>
      <c r="D53" s="11"/>
      <c r="E53" s="11"/>
      <c r="F53" s="32"/>
      <c r="G53" s="32"/>
      <c r="H53" s="10"/>
    </row>
    <row r="54" spans="1:8" ht="18" customHeight="1" x14ac:dyDescent="0.25">
      <c r="A54" s="31">
        <v>44</v>
      </c>
      <c r="B54" s="33"/>
      <c r="C54" s="33"/>
      <c r="D54" s="34"/>
      <c r="E54" s="34"/>
      <c r="F54" s="35"/>
      <c r="G54" s="35"/>
      <c r="H54" s="33"/>
    </row>
    <row r="55" spans="1:8" ht="18" customHeight="1" x14ac:dyDescent="0.25">
      <c r="A55" s="31">
        <v>45</v>
      </c>
      <c r="B55" s="10"/>
      <c r="C55" s="10"/>
      <c r="D55" s="11"/>
      <c r="E55" s="11"/>
      <c r="F55" s="32"/>
      <c r="G55" s="32"/>
      <c r="H55" s="10"/>
    </row>
    <row r="56" spans="1:8" ht="18" customHeight="1" x14ac:dyDescent="0.25">
      <c r="A56" s="31">
        <v>46</v>
      </c>
      <c r="B56" s="33"/>
      <c r="C56" s="33"/>
      <c r="D56" s="34"/>
      <c r="E56" s="34"/>
      <c r="F56" s="35"/>
      <c r="G56" s="35"/>
      <c r="H56" s="33"/>
    </row>
    <row r="57" spans="1:8" ht="18" customHeight="1" x14ac:dyDescent="0.25">
      <c r="A57" s="31">
        <v>47</v>
      </c>
      <c r="B57" s="10"/>
      <c r="C57" s="10"/>
      <c r="D57" s="11"/>
      <c r="E57" s="11"/>
      <c r="F57" s="32"/>
      <c r="G57" s="32"/>
      <c r="H57" s="10"/>
    </row>
    <row r="58" spans="1:8" ht="18" customHeight="1" x14ac:dyDescent="0.25">
      <c r="A58" s="31">
        <v>48</v>
      </c>
      <c r="B58" s="33"/>
      <c r="C58" s="33"/>
      <c r="D58" s="34"/>
      <c r="E58" s="34"/>
      <c r="F58" s="35"/>
      <c r="G58" s="35"/>
      <c r="H58" s="33"/>
    </row>
    <row r="59" spans="1:8" ht="18" customHeight="1" x14ac:dyDescent="0.25">
      <c r="A59" s="31">
        <v>49</v>
      </c>
      <c r="B59" s="10"/>
      <c r="C59" s="10"/>
      <c r="D59" s="11"/>
      <c r="E59" s="11"/>
      <c r="F59" s="32"/>
      <c r="G59" s="32"/>
      <c r="H59" s="10"/>
    </row>
    <row r="60" spans="1:8" ht="18" customHeight="1" x14ac:dyDescent="0.25">
      <c r="A60" s="31">
        <v>50</v>
      </c>
      <c r="B60" s="33"/>
      <c r="C60" s="33"/>
      <c r="D60" s="34"/>
      <c r="E60" s="34"/>
      <c r="F60" s="35"/>
      <c r="G60" s="35"/>
      <c r="H60" s="33"/>
    </row>
    <row r="61" spans="1:8" ht="18" customHeight="1" x14ac:dyDescent="0.25">
      <c r="A61" s="31">
        <v>51</v>
      </c>
      <c r="B61" s="10"/>
      <c r="C61" s="10"/>
      <c r="D61" s="11"/>
      <c r="E61" s="11"/>
      <c r="F61" s="32"/>
      <c r="G61" s="32"/>
      <c r="H61" s="10"/>
    </row>
    <row r="62" spans="1:8" ht="18" customHeight="1" x14ac:dyDescent="0.25">
      <c r="A62" s="31">
        <v>52</v>
      </c>
      <c r="B62" s="33"/>
      <c r="C62" s="33"/>
      <c r="D62" s="34"/>
      <c r="E62" s="34"/>
      <c r="F62" s="35"/>
      <c r="G62" s="35"/>
      <c r="H62" s="33"/>
    </row>
    <row r="63" spans="1:8" ht="18" customHeight="1" x14ac:dyDescent="0.25">
      <c r="A63" s="31">
        <v>53</v>
      </c>
      <c r="B63" s="10"/>
      <c r="C63" s="10"/>
      <c r="D63" s="11"/>
      <c r="E63" s="11"/>
      <c r="F63" s="32"/>
      <c r="G63" s="32"/>
      <c r="H63" s="10"/>
    </row>
    <row r="64" spans="1:8" ht="18" customHeight="1" x14ac:dyDescent="0.25">
      <c r="A64" s="31">
        <v>54</v>
      </c>
      <c r="B64" s="33"/>
      <c r="C64" s="33"/>
      <c r="D64" s="34"/>
      <c r="E64" s="34"/>
      <c r="F64" s="35"/>
      <c r="G64" s="35"/>
      <c r="H64" s="33"/>
    </row>
    <row r="65" spans="1:8" ht="18" customHeight="1" x14ac:dyDescent="0.25">
      <c r="A65" s="31">
        <v>55</v>
      </c>
      <c r="B65" s="10"/>
      <c r="C65" s="10"/>
      <c r="D65" s="11"/>
      <c r="E65" s="11"/>
      <c r="F65" s="32"/>
      <c r="G65" s="32"/>
      <c r="H65" s="10"/>
    </row>
    <row r="66" spans="1:8" ht="18" customHeight="1" x14ac:dyDescent="0.25">
      <c r="A66" s="31">
        <v>56</v>
      </c>
      <c r="B66" s="33"/>
      <c r="C66" s="33"/>
      <c r="D66" s="34"/>
      <c r="E66" s="34"/>
      <c r="F66" s="35"/>
      <c r="G66" s="35"/>
      <c r="H66" s="33"/>
    </row>
    <row r="67" spans="1:8" ht="18" customHeight="1" x14ac:dyDescent="0.25">
      <c r="A67" s="31">
        <v>57</v>
      </c>
      <c r="B67" s="10"/>
      <c r="C67" s="10"/>
      <c r="D67" s="11"/>
      <c r="E67" s="11"/>
      <c r="F67" s="32"/>
      <c r="G67" s="32"/>
      <c r="H67" s="10"/>
    </row>
    <row r="68" spans="1:8" ht="18" customHeight="1" x14ac:dyDescent="0.25">
      <c r="A68" s="31">
        <v>58</v>
      </c>
      <c r="B68" s="33"/>
      <c r="C68" s="33"/>
      <c r="D68" s="34"/>
      <c r="E68" s="34"/>
      <c r="F68" s="35"/>
      <c r="G68" s="35"/>
      <c r="H68" s="33"/>
    </row>
    <row r="69" spans="1:8" ht="18" customHeight="1" x14ac:dyDescent="0.25">
      <c r="A69" s="31">
        <v>59</v>
      </c>
      <c r="B69" s="10"/>
      <c r="C69" s="10"/>
      <c r="D69" s="11"/>
      <c r="E69" s="11"/>
      <c r="F69" s="32"/>
      <c r="G69" s="32"/>
      <c r="H69" s="10"/>
    </row>
    <row r="70" spans="1:8" ht="18" customHeight="1" x14ac:dyDescent="0.25">
      <c r="A70" s="31">
        <v>60</v>
      </c>
      <c r="B70" s="33"/>
      <c r="C70" s="33"/>
      <c r="D70" s="34"/>
      <c r="E70" s="34"/>
      <c r="F70" s="35"/>
      <c r="G70" s="35"/>
      <c r="H70" s="33"/>
    </row>
    <row r="71" spans="1:8" ht="18" customHeight="1" x14ac:dyDescent="0.25">
      <c r="A71" s="31">
        <v>61</v>
      </c>
      <c r="B71" s="10"/>
      <c r="C71" s="10"/>
      <c r="D71" s="11"/>
      <c r="E71" s="11"/>
      <c r="F71" s="32"/>
      <c r="G71" s="32"/>
      <c r="H71" s="10"/>
    </row>
    <row r="72" spans="1:8" ht="18" customHeight="1" x14ac:dyDescent="0.25">
      <c r="A72" s="31">
        <v>62</v>
      </c>
      <c r="B72" s="33"/>
      <c r="C72" s="33"/>
      <c r="D72" s="34"/>
      <c r="E72" s="34"/>
      <c r="F72" s="35"/>
      <c r="G72" s="35"/>
      <c r="H72" s="33"/>
    </row>
    <row r="73" spans="1:8" ht="18" customHeight="1" x14ac:dyDescent="0.25">
      <c r="A73" s="31">
        <v>63</v>
      </c>
      <c r="B73" s="10"/>
      <c r="C73" s="10"/>
      <c r="D73" s="11"/>
      <c r="E73" s="11"/>
      <c r="F73" s="32"/>
      <c r="G73" s="32"/>
      <c r="H73" s="10"/>
    </row>
    <row r="74" spans="1:8" ht="18" customHeight="1" x14ac:dyDescent="0.25">
      <c r="A74" s="31">
        <v>64</v>
      </c>
      <c r="B74" s="33"/>
      <c r="C74" s="33"/>
      <c r="D74" s="34"/>
      <c r="E74" s="34"/>
      <c r="F74" s="35"/>
      <c r="G74" s="35"/>
      <c r="H74" s="33"/>
    </row>
    <row r="75" spans="1:8" ht="18" customHeight="1" x14ac:dyDescent="0.25">
      <c r="A75" s="31">
        <v>65</v>
      </c>
      <c r="B75" s="10"/>
      <c r="C75" s="10"/>
      <c r="D75" s="11"/>
      <c r="E75" s="11"/>
      <c r="F75" s="32"/>
      <c r="G75" s="32"/>
      <c r="H75" s="10"/>
    </row>
    <row r="76" spans="1:8" ht="18" customHeight="1" x14ac:dyDescent="0.25">
      <c r="A76" s="31">
        <v>66</v>
      </c>
      <c r="B76" s="33"/>
      <c r="C76" s="33"/>
      <c r="D76" s="34"/>
      <c r="E76" s="34"/>
      <c r="F76" s="35"/>
      <c r="G76" s="35"/>
      <c r="H76" s="33"/>
    </row>
    <row r="77" spans="1:8" ht="18" customHeight="1" x14ac:dyDescent="0.25">
      <c r="A77" s="31">
        <v>67</v>
      </c>
      <c r="B77" s="10"/>
      <c r="C77" s="10"/>
      <c r="D77" s="11"/>
      <c r="E77" s="11"/>
      <c r="F77" s="32"/>
      <c r="G77" s="32"/>
      <c r="H77" s="10"/>
    </row>
    <row r="78" spans="1:8" ht="18" customHeight="1" x14ac:dyDescent="0.25">
      <c r="A78" s="31">
        <v>68</v>
      </c>
      <c r="B78" s="33"/>
      <c r="C78" s="33"/>
      <c r="D78" s="34"/>
      <c r="E78" s="34"/>
      <c r="F78" s="35"/>
      <c r="G78" s="35"/>
      <c r="H78" s="33"/>
    </row>
    <row r="79" spans="1:8" ht="18" customHeight="1" x14ac:dyDescent="0.25">
      <c r="A79" s="31">
        <v>69</v>
      </c>
      <c r="B79" s="10"/>
      <c r="C79" s="10"/>
      <c r="D79" s="11"/>
      <c r="E79" s="11"/>
      <c r="F79" s="32"/>
      <c r="G79" s="32"/>
      <c r="H79" s="10"/>
    </row>
    <row r="80" spans="1:8" ht="18" customHeight="1" x14ac:dyDescent="0.25">
      <c r="A80" s="31">
        <v>70</v>
      </c>
      <c r="B80" s="33"/>
      <c r="C80" s="33"/>
      <c r="D80" s="34"/>
      <c r="E80" s="34"/>
      <c r="F80" s="35"/>
      <c r="G80" s="35"/>
      <c r="H80" s="33"/>
    </row>
    <row r="81" spans="1:8" ht="18" customHeight="1" x14ac:dyDescent="0.25">
      <c r="A81" s="31">
        <v>71</v>
      </c>
      <c r="B81" s="10"/>
      <c r="C81" s="10"/>
      <c r="D81" s="11"/>
      <c r="E81" s="11"/>
      <c r="F81" s="32"/>
      <c r="G81" s="32"/>
      <c r="H81" s="10"/>
    </row>
    <row r="82" spans="1:8" ht="18" customHeight="1" x14ac:dyDescent="0.25">
      <c r="A82" s="31">
        <v>72</v>
      </c>
      <c r="B82" s="33"/>
      <c r="C82" s="33"/>
      <c r="D82" s="34"/>
      <c r="E82" s="34"/>
      <c r="F82" s="35"/>
      <c r="G82" s="35"/>
      <c r="H82" s="33"/>
    </row>
    <row r="83" spans="1:8" ht="18" customHeight="1" x14ac:dyDescent="0.25">
      <c r="A83" s="31">
        <v>73</v>
      </c>
      <c r="B83" s="10"/>
      <c r="C83" s="10"/>
      <c r="D83" s="11"/>
      <c r="E83" s="11"/>
      <c r="F83" s="32"/>
      <c r="G83" s="32"/>
      <c r="H83" s="10"/>
    </row>
    <row r="84" spans="1:8" ht="18" customHeight="1" x14ac:dyDescent="0.25">
      <c r="A84" s="31">
        <v>74</v>
      </c>
      <c r="B84" s="33"/>
      <c r="C84" s="33"/>
      <c r="D84" s="34"/>
      <c r="E84" s="34"/>
      <c r="F84" s="35"/>
      <c r="G84" s="35"/>
      <c r="H84" s="33"/>
    </row>
    <row r="85" spans="1:8" ht="18" customHeight="1" x14ac:dyDescent="0.25">
      <c r="A85" s="31">
        <v>75</v>
      </c>
      <c r="B85" s="10"/>
      <c r="C85" s="10"/>
      <c r="D85" s="11"/>
      <c r="E85" s="11"/>
      <c r="F85" s="32"/>
      <c r="G85" s="32"/>
      <c r="H85" s="10"/>
    </row>
    <row r="86" spans="1:8" ht="18" customHeight="1" x14ac:dyDescent="0.25">
      <c r="A86" s="31">
        <v>76</v>
      </c>
      <c r="B86" s="33"/>
      <c r="C86" s="33"/>
      <c r="D86" s="34"/>
      <c r="E86" s="34"/>
      <c r="F86" s="35"/>
      <c r="G86" s="35"/>
      <c r="H86" s="33"/>
    </row>
    <row r="87" spans="1:8" ht="18" customHeight="1" x14ac:dyDescent="0.25">
      <c r="A87" s="31">
        <v>77</v>
      </c>
      <c r="B87" s="10"/>
      <c r="C87" s="10"/>
      <c r="D87" s="11"/>
      <c r="E87" s="11"/>
      <c r="F87" s="32"/>
      <c r="G87" s="32"/>
      <c r="H87" s="10"/>
    </row>
    <row r="88" spans="1:8" ht="18" customHeight="1" x14ac:dyDescent="0.25">
      <c r="A88" s="31">
        <v>78</v>
      </c>
      <c r="B88" s="33"/>
      <c r="C88" s="33"/>
      <c r="D88" s="34"/>
      <c r="E88" s="34"/>
      <c r="F88" s="35"/>
      <c r="G88" s="35"/>
      <c r="H88" s="33"/>
    </row>
    <row r="89" spans="1:8" ht="18" customHeight="1" x14ac:dyDescent="0.25">
      <c r="A89" s="31">
        <v>79</v>
      </c>
      <c r="B89" s="10"/>
      <c r="C89" s="10"/>
      <c r="D89" s="11"/>
      <c r="E89" s="11"/>
      <c r="F89" s="32"/>
      <c r="G89" s="32"/>
      <c r="H89" s="10"/>
    </row>
    <row r="90" spans="1:8" ht="18" customHeight="1" x14ac:dyDescent="0.25">
      <c r="A90" s="31">
        <v>80</v>
      </c>
      <c r="B90" s="33"/>
      <c r="C90" s="33"/>
      <c r="D90" s="34"/>
      <c r="E90" s="34"/>
      <c r="F90" s="35"/>
      <c r="G90" s="35"/>
      <c r="H90" s="33"/>
    </row>
    <row r="91" spans="1:8" ht="18" customHeight="1" x14ac:dyDescent="0.25">
      <c r="A91" s="31">
        <v>81</v>
      </c>
      <c r="B91" s="10"/>
      <c r="C91" s="10"/>
      <c r="D91" s="11"/>
      <c r="E91" s="11"/>
      <c r="F91" s="32"/>
      <c r="G91" s="32"/>
      <c r="H91" s="10"/>
    </row>
    <row r="92" spans="1:8" ht="18" customHeight="1" x14ac:dyDescent="0.25">
      <c r="A92" s="31">
        <v>82</v>
      </c>
      <c r="B92" s="33"/>
      <c r="C92" s="33"/>
      <c r="D92" s="34"/>
      <c r="E92" s="34"/>
      <c r="F92" s="35"/>
      <c r="G92" s="35"/>
      <c r="H92" s="33"/>
    </row>
    <row r="93" spans="1:8" ht="18" customHeight="1" x14ac:dyDescent="0.25">
      <c r="A93" s="31">
        <v>83</v>
      </c>
      <c r="B93" s="10"/>
      <c r="C93" s="10"/>
      <c r="D93" s="11"/>
      <c r="E93" s="11"/>
      <c r="F93" s="32"/>
      <c r="G93" s="32"/>
      <c r="H93" s="10"/>
    </row>
    <row r="94" spans="1:8" ht="18" customHeight="1" x14ac:dyDescent="0.25">
      <c r="A94" s="31">
        <v>84</v>
      </c>
      <c r="B94" s="33"/>
      <c r="C94" s="33"/>
      <c r="D94" s="34"/>
      <c r="E94" s="34"/>
      <c r="F94" s="35"/>
      <c r="G94" s="35"/>
      <c r="H94" s="33"/>
    </row>
    <row r="95" spans="1:8" ht="18" customHeight="1" x14ac:dyDescent="0.25">
      <c r="A95" s="31">
        <v>85</v>
      </c>
      <c r="B95" s="10"/>
      <c r="C95" s="10"/>
      <c r="D95" s="11"/>
      <c r="E95" s="11"/>
      <c r="F95" s="32"/>
      <c r="G95" s="32"/>
      <c r="H95" s="10"/>
    </row>
    <row r="96" spans="1:8" ht="18" customHeight="1" x14ac:dyDescent="0.25">
      <c r="A96" s="31">
        <v>86</v>
      </c>
      <c r="B96" s="33"/>
      <c r="C96" s="33"/>
      <c r="D96" s="34"/>
      <c r="E96" s="34"/>
      <c r="F96" s="35"/>
      <c r="G96" s="35"/>
      <c r="H96" s="33"/>
    </row>
    <row r="97" spans="1:8" ht="18" customHeight="1" x14ac:dyDescent="0.25">
      <c r="A97" s="31">
        <v>87</v>
      </c>
      <c r="B97" s="10"/>
      <c r="C97" s="10"/>
      <c r="D97" s="11"/>
      <c r="E97" s="11"/>
      <c r="F97" s="32"/>
      <c r="G97" s="32"/>
      <c r="H97" s="10"/>
    </row>
    <row r="98" spans="1:8" ht="18" customHeight="1" x14ac:dyDescent="0.25">
      <c r="A98" s="31">
        <v>88</v>
      </c>
      <c r="B98" s="33"/>
      <c r="C98" s="33"/>
      <c r="D98" s="34"/>
      <c r="E98" s="34"/>
      <c r="F98" s="35"/>
      <c r="G98" s="35"/>
      <c r="H98" s="33"/>
    </row>
    <row r="99" spans="1:8" ht="18" customHeight="1" x14ac:dyDescent="0.25">
      <c r="A99" s="31">
        <v>89</v>
      </c>
      <c r="B99" s="10"/>
      <c r="C99" s="10"/>
      <c r="D99" s="11"/>
      <c r="E99" s="11"/>
      <c r="F99" s="32"/>
      <c r="G99" s="32"/>
      <c r="H99" s="10"/>
    </row>
    <row r="100" spans="1:8" ht="18" customHeight="1" x14ac:dyDescent="0.25">
      <c r="A100" s="31">
        <v>90</v>
      </c>
      <c r="B100" s="33"/>
      <c r="C100" s="33"/>
      <c r="D100" s="34"/>
      <c r="E100" s="34"/>
      <c r="F100" s="35"/>
      <c r="G100" s="35"/>
      <c r="H100" s="33"/>
    </row>
    <row r="101" spans="1:8" ht="18" customHeight="1" x14ac:dyDescent="0.25">
      <c r="A101" s="31">
        <v>91</v>
      </c>
      <c r="B101" s="10"/>
      <c r="C101" s="10"/>
      <c r="D101" s="11"/>
      <c r="E101" s="11"/>
      <c r="F101" s="32"/>
      <c r="G101" s="32"/>
      <c r="H101" s="10"/>
    </row>
    <row r="102" spans="1:8" ht="18" customHeight="1" x14ac:dyDescent="0.25">
      <c r="A102" s="31">
        <v>92</v>
      </c>
      <c r="B102" s="33"/>
      <c r="C102" s="33"/>
      <c r="D102" s="34"/>
      <c r="E102" s="34"/>
      <c r="F102" s="35"/>
      <c r="G102" s="35"/>
      <c r="H102" s="33"/>
    </row>
    <row r="103" spans="1:8" ht="18" customHeight="1" x14ac:dyDescent="0.25">
      <c r="A103" s="31">
        <v>93</v>
      </c>
      <c r="B103" s="10"/>
      <c r="C103" s="10"/>
      <c r="D103" s="11"/>
      <c r="E103" s="11"/>
      <c r="F103" s="32"/>
      <c r="G103" s="32"/>
      <c r="H103" s="10"/>
    </row>
    <row r="104" spans="1:8" ht="18" customHeight="1" x14ac:dyDescent="0.25">
      <c r="A104" s="31">
        <v>94</v>
      </c>
      <c r="B104" s="33"/>
      <c r="C104" s="33"/>
      <c r="D104" s="34"/>
      <c r="E104" s="34"/>
      <c r="F104" s="35"/>
      <c r="G104" s="35"/>
      <c r="H104" s="33"/>
    </row>
    <row r="105" spans="1:8" ht="18" customHeight="1" x14ac:dyDescent="0.25">
      <c r="A105" s="31">
        <v>95</v>
      </c>
      <c r="B105" s="10"/>
      <c r="C105" s="10"/>
      <c r="D105" s="11"/>
      <c r="E105" s="11"/>
      <c r="F105" s="32"/>
      <c r="G105" s="32"/>
      <c r="H105" s="10"/>
    </row>
    <row r="106" spans="1:8" ht="18" customHeight="1" x14ac:dyDescent="0.25">
      <c r="A106" s="31">
        <v>96</v>
      </c>
      <c r="B106" s="33"/>
      <c r="C106" s="33"/>
      <c r="D106" s="34"/>
      <c r="E106" s="34"/>
      <c r="F106" s="35"/>
      <c r="G106" s="35"/>
      <c r="H106" s="33"/>
    </row>
    <row r="107" spans="1:8" ht="18" customHeight="1" x14ac:dyDescent="0.25">
      <c r="A107" s="31">
        <v>97</v>
      </c>
      <c r="B107" s="10"/>
      <c r="C107" s="10"/>
      <c r="D107" s="11"/>
      <c r="E107" s="11"/>
      <c r="F107" s="32"/>
      <c r="G107" s="32"/>
      <c r="H107" s="10"/>
    </row>
    <row r="108" spans="1:8" ht="18" customHeight="1" x14ac:dyDescent="0.25">
      <c r="A108" s="31">
        <v>98</v>
      </c>
      <c r="B108" s="33"/>
      <c r="C108" s="33"/>
      <c r="D108" s="34"/>
      <c r="E108" s="34"/>
      <c r="F108" s="35"/>
      <c r="G108" s="35"/>
      <c r="H108" s="33"/>
    </row>
    <row r="109" spans="1:8" ht="18" customHeight="1" x14ac:dyDescent="0.25">
      <c r="A109" s="31">
        <v>99</v>
      </c>
      <c r="B109" s="10"/>
      <c r="C109" s="10"/>
      <c r="D109" s="11"/>
      <c r="E109" s="11"/>
      <c r="F109" s="32"/>
      <c r="G109" s="32"/>
      <c r="H109" s="10"/>
    </row>
    <row r="110" spans="1:8" ht="18" customHeight="1" x14ac:dyDescent="0.25">
      <c r="A110" s="31">
        <v>100</v>
      </c>
      <c r="B110" s="33"/>
      <c r="C110" s="33"/>
      <c r="D110" s="34"/>
      <c r="E110" s="34"/>
      <c r="F110" s="35"/>
      <c r="G110" s="35"/>
      <c r="H110" s="33"/>
    </row>
  </sheetData>
  <autoFilter ref="A10:H110" xr:uid="{00000000-0001-0000-0600-000000000000}"/>
  <mergeCells count="10">
    <mergeCell ref="A4:B4"/>
    <mergeCell ref="D4:K4"/>
    <mergeCell ref="A9:I9"/>
    <mergeCell ref="A1:K1"/>
    <mergeCell ref="A2:B2"/>
    <mergeCell ref="C2:E2"/>
    <mergeCell ref="F2:K2"/>
    <mergeCell ref="A3:B3"/>
    <mergeCell ref="C3:E3"/>
    <mergeCell ref="F3:K3"/>
  </mergeCells>
  <dataValidations count="2">
    <dataValidation type="list" allowBlank="1" sqref="D11:D110" xr:uid="{00000000-0002-0000-0600-000000000000}">
      <formula1>"Spares,Stores,Lube Oil,Chemicals,Lashing Gear,Others"</formula1>
      <formula2>0</formula2>
    </dataValidation>
    <dataValidation type="list" allowBlank="1" sqref="E11:E110" xr:uid="{00000000-0002-0000-0600-000001000000}">
      <formula1>"Not Created,To Be Created,Pending Approval,Approved &amp; Issued,Pending Delivery,Delivered"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154"/>
  <sheetViews>
    <sheetView showGridLines="0" zoomScale="89" zoomScaleNormal="89" workbookViewId="0">
      <pane ySplit="10" topLeftCell="A11" activePane="bottomLeft" state="frozen"/>
      <selection activeCell="B1" sqref="B1"/>
      <selection pane="bottomLeft" activeCell="C20" sqref="C20"/>
    </sheetView>
  </sheetViews>
  <sheetFormatPr defaultColWidth="8.5703125" defaultRowHeight="15" x14ac:dyDescent="0.25"/>
  <cols>
    <col min="1" max="1" width="6.140625" style="66" customWidth="1"/>
    <col min="2" max="2" width="20" style="66" bestFit="1" customWidth="1"/>
    <col min="3" max="3" width="53.140625" style="66" customWidth="1"/>
    <col min="4" max="4" width="26.85546875" style="66" customWidth="1"/>
    <col min="5" max="5" width="17.140625" style="66" hidden="1" customWidth="1"/>
    <col min="6" max="6" width="20" style="68" hidden="1" customWidth="1"/>
    <col min="7" max="7" width="16" style="66" hidden="1" customWidth="1"/>
    <col min="8" max="8" width="50.5703125" style="66" hidden="1" customWidth="1"/>
    <col min="9" max="9" width="42" style="66" hidden="1" customWidth="1"/>
    <col min="10" max="11" width="24.140625" style="66" customWidth="1"/>
    <col min="12" max="12" width="23.85546875" style="90" customWidth="1"/>
    <col min="13" max="13" width="10.5703125" style="66" bestFit="1" customWidth="1"/>
    <col min="14" max="16384" width="8.5703125" style="66"/>
  </cols>
  <sheetData>
    <row r="1" spans="1:19" ht="36" customHeight="1" x14ac:dyDescent="0.3">
      <c r="A1" s="130" t="s">
        <v>13</v>
      </c>
      <c r="B1" s="130"/>
      <c r="C1" s="130"/>
      <c r="D1" s="130"/>
      <c r="E1" s="130"/>
      <c r="F1" s="130"/>
      <c r="G1" s="130"/>
      <c r="H1" s="130"/>
      <c r="I1" s="130"/>
      <c r="J1" s="130"/>
      <c r="K1" s="130"/>
      <c r="L1" s="130"/>
    </row>
    <row r="2" spans="1:19" ht="24" customHeight="1" x14ac:dyDescent="0.25">
      <c r="A2" s="127" t="s">
        <v>14</v>
      </c>
      <c r="B2" s="127"/>
      <c r="C2" s="131" t="s">
        <v>156</v>
      </c>
      <c r="D2" s="131"/>
      <c r="E2" s="131"/>
      <c r="F2" s="128" t="s">
        <v>15</v>
      </c>
      <c r="G2" s="128"/>
      <c r="H2" s="128"/>
      <c r="I2" s="128"/>
      <c r="J2" s="128"/>
      <c r="K2" s="128"/>
      <c r="L2" s="128"/>
    </row>
    <row r="3" spans="1:19" ht="24" customHeight="1" x14ac:dyDescent="0.25">
      <c r="A3" s="127" t="s">
        <v>16</v>
      </c>
      <c r="B3" s="127"/>
      <c r="C3" s="131" t="s">
        <v>649</v>
      </c>
      <c r="D3" s="131"/>
      <c r="E3" s="131"/>
      <c r="F3" s="128" t="s">
        <v>17</v>
      </c>
      <c r="G3" s="128"/>
      <c r="H3" s="128"/>
      <c r="I3" s="128"/>
      <c r="J3" s="128"/>
      <c r="K3" s="128"/>
      <c r="L3" s="128"/>
    </row>
    <row r="4" spans="1:19" ht="24" customHeight="1" x14ac:dyDescent="0.25">
      <c r="A4" s="127" t="s">
        <v>18</v>
      </c>
      <c r="B4" s="127"/>
      <c r="C4" s="67">
        <v>46179</v>
      </c>
      <c r="D4" s="128" t="s">
        <v>19</v>
      </c>
      <c r="E4" s="128"/>
      <c r="F4" s="128"/>
      <c r="G4" s="128"/>
      <c r="H4" s="128"/>
      <c r="I4" s="128"/>
      <c r="J4" s="128"/>
      <c r="K4" s="128"/>
      <c r="L4" s="128"/>
    </row>
    <row r="5" spans="1:19" ht="7.5" customHeight="1" x14ac:dyDescent="0.25"/>
    <row r="6" spans="1:19" ht="21.75" customHeight="1" x14ac:dyDescent="0.25">
      <c r="A6" s="69" t="s">
        <v>3</v>
      </c>
      <c r="B6" s="70" t="s">
        <v>4</v>
      </c>
      <c r="C6" s="71" t="s">
        <v>5</v>
      </c>
      <c r="D6" s="72" t="s">
        <v>6</v>
      </c>
      <c r="E6" s="73" t="s">
        <v>7</v>
      </c>
      <c r="F6" s="74" t="s">
        <v>8</v>
      </c>
      <c r="G6" s="75" t="s">
        <v>9</v>
      </c>
      <c r="H6" s="76" t="s">
        <v>10</v>
      </c>
      <c r="I6" s="77" t="s">
        <v>11</v>
      </c>
    </row>
    <row r="7" spans="1:19" ht="21.75" customHeight="1" x14ac:dyDescent="0.25">
      <c r="A7" s="78">
        <v>2</v>
      </c>
      <c r="B7" s="78">
        <v>0</v>
      </c>
      <c r="C7" s="78">
        <v>7</v>
      </c>
      <c r="D7" s="78">
        <v>0</v>
      </c>
      <c r="E7" s="78">
        <v>28</v>
      </c>
      <c r="F7" s="78">
        <v>3</v>
      </c>
      <c r="G7" s="78">
        <v>39</v>
      </c>
      <c r="H7" s="79">
        <v>0.71794871794871795</v>
      </c>
      <c r="I7" s="79">
        <v>7.6923076923076927E-2</v>
      </c>
    </row>
    <row r="8" spans="1:19" ht="7.5" customHeight="1" x14ac:dyDescent="0.25"/>
    <row r="9" spans="1:19" ht="18" customHeight="1" x14ac:dyDescent="0.25">
      <c r="A9" s="129" t="s">
        <v>20</v>
      </c>
      <c r="B9" s="129"/>
      <c r="C9" s="129"/>
      <c r="D9" s="129"/>
      <c r="E9" s="129"/>
      <c r="F9" s="129"/>
      <c r="G9" s="129"/>
      <c r="H9" s="129"/>
      <c r="I9" s="129"/>
    </row>
    <row r="10" spans="1:19" ht="30" customHeight="1" x14ac:dyDescent="0.25">
      <c r="A10" s="80" t="s">
        <v>21</v>
      </c>
      <c r="B10" s="80" t="s">
        <v>22</v>
      </c>
      <c r="C10" s="80" t="s">
        <v>23</v>
      </c>
      <c r="D10" s="80" t="s">
        <v>24</v>
      </c>
      <c r="E10" s="80" t="s">
        <v>25</v>
      </c>
      <c r="F10" s="81" t="s">
        <v>26</v>
      </c>
      <c r="G10" s="80" t="s">
        <v>27</v>
      </c>
      <c r="H10" s="80" t="s">
        <v>28</v>
      </c>
      <c r="I10" s="80" t="s">
        <v>601</v>
      </c>
      <c r="J10" s="80" t="s">
        <v>708</v>
      </c>
      <c r="K10" s="80" t="s">
        <v>782</v>
      </c>
      <c r="L10" s="91" t="s">
        <v>709</v>
      </c>
      <c r="M10" s="80" t="s">
        <v>809</v>
      </c>
      <c r="S10" s="66" t="s">
        <v>814</v>
      </c>
    </row>
    <row r="11" spans="1:19" ht="18" customHeight="1" x14ac:dyDescent="0.25">
      <c r="A11" s="84"/>
      <c r="B11" s="64"/>
      <c r="C11" s="64" t="s">
        <v>668</v>
      </c>
      <c r="D11" s="64" t="s">
        <v>673</v>
      </c>
      <c r="E11" s="64"/>
      <c r="F11" s="82"/>
      <c r="G11" s="64"/>
      <c r="H11" s="64" t="s">
        <v>673</v>
      </c>
      <c r="I11" s="64" t="s">
        <v>672</v>
      </c>
      <c r="J11" s="84" t="e">
        <v>#N/A</v>
      </c>
      <c r="K11" s="84" t="e">
        <v>#N/A</v>
      </c>
      <c r="L11" s="92" t="e">
        <v>#N/A</v>
      </c>
      <c r="M11" s="84" t="s">
        <v>814</v>
      </c>
      <c r="S11" s="66" t="s">
        <v>815</v>
      </c>
    </row>
    <row r="12" spans="1:19" ht="18" customHeight="1" x14ac:dyDescent="0.25">
      <c r="A12" s="84"/>
      <c r="B12" s="64"/>
      <c r="C12" s="64" t="s">
        <v>669</v>
      </c>
      <c r="D12" s="64" t="s">
        <v>673</v>
      </c>
      <c r="E12" s="64"/>
      <c r="F12" s="82"/>
      <c r="G12" s="64"/>
      <c r="H12" s="64" t="s">
        <v>673</v>
      </c>
      <c r="I12" s="64" t="s">
        <v>672</v>
      </c>
      <c r="J12" s="84" t="e">
        <v>#N/A</v>
      </c>
      <c r="K12" s="84" t="e">
        <v>#N/A</v>
      </c>
      <c r="L12" s="92" t="e">
        <v>#N/A</v>
      </c>
      <c r="M12" s="84"/>
      <c r="S12" s="66" t="s">
        <v>816</v>
      </c>
    </row>
    <row r="13" spans="1:19" ht="18" customHeight="1" x14ac:dyDescent="0.25">
      <c r="A13" s="88">
        <v>82</v>
      </c>
      <c r="B13" s="64" t="s">
        <v>626</v>
      </c>
      <c r="C13" s="64" t="s">
        <v>419</v>
      </c>
      <c r="D13" s="64" t="s">
        <v>420</v>
      </c>
      <c r="E13" s="64" t="s">
        <v>7</v>
      </c>
      <c r="F13" s="82"/>
      <c r="G13" s="83"/>
      <c r="H13" s="64" t="s">
        <v>718</v>
      </c>
      <c r="I13" s="64"/>
      <c r="J13" s="84" t="s">
        <v>748</v>
      </c>
      <c r="K13" s="84" t="s">
        <v>739</v>
      </c>
      <c r="L13" s="92">
        <v>3075.32</v>
      </c>
      <c r="M13" s="84"/>
      <c r="S13" s="66" t="s">
        <v>817</v>
      </c>
    </row>
    <row r="14" spans="1:19" ht="18" customHeight="1" x14ac:dyDescent="0.25">
      <c r="A14" s="88">
        <v>81</v>
      </c>
      <c r="B14" s="64" t="s">
        <v>631</v>
      </c>
      <c r="C14" s="64" t="s">
        <v>632</v>
      </c>
      <c r="D14" s="64" t="s">
        <v>420</v>
      </c>
      <c r="E14" s="64" t="s">
        <v>7</v>
      </c>
      <c r="F14" s="82"/>
      <c r="G14" s="83"/>
      <c r="H14" s="64" t="s">
        <v>718</v>
      </c>
      <c r="I14" s="64"/>
      <c r="J14" s="84" t="s">
        <v>748</v>
      </c>
      <c r="K14" s="84" t="s">
        <v>739</v>
      </c>
      <c r="L14" s="92">
        <v>20708.78</v>
      </c>
      <c r="M14" s="84"/>
    </row>
    <row r="15" spans="1:19" ht="18" customHeight="1" x14ac:dyDescent="0.25">
      <c r="A15" s="88">
        <v>79</v>
      </c>
      <c r="B15" s="64" t="s">
        <v>624</v>
      </c>
      <c r="C15" s="64" t="s">
        <v>418</v>
      </c>
      <c r="D15" s="64" t="s">
        <v>420</v>
      </c>
      <c r="E15" s="64" t="s">
        <v>7</v>
      </c>
      <c r="F15" s="82"/>
      <c r="G15" s="83"/>
      <c r="H15" s="64" t="s">
        <v>718</v>
      </c>
      <c r="I15" s="64"/>
      <c r="J15" s="84" t="s">
        <v>748</v>
      </c>
      <c r="K15" s="84" t="s">
        <v>739</v>
      </c>
      <c r="L15" s="92">
        <v>7739.92</v>
      </c>
      <c r="M15" s="84"/>
    </row>
    <row r="16" spans="1:19" ht="18" customHeight="1" x14ac:dyDescent="0.25">
      <c r="A16" s="88">
        <v>78</v>
      </c>
      <c r="B16" s="64" t="s">
        <v>716</v>
      </c>
      <c r="C16" s="64" t="s">
        <v>640</v>
      </c>
      <c r="D16" s="64" t="s">
        <v>420</v>
      </c>
      <c r="E16" s="64" t="s">
        <v>7</v>
      </c>
      <c r="F16" s="82"/>
      <c r="G16" s="83"/>
      <c r="H16" s="64" t="s">
        <v>718</v>
      </c>
      <c r="I16" s="64"/>
      <c r="J16" s="84" t="s">
        <v>748</v>
      </c>
      <c r="K16" s="84" t="s">
        <v>739</v>
      </c>
      <c r="L16" s="92">
        <v>30943.48</v>
      </c>
      <c r="M16" s="84"/>
    </row>
    <row r="17" spans="1:13" ht="18" customHeight="1" x14ac:dyDescent="0.25">
      <c r="A17" s="88">
        <v>76</v>
      </c>
      <c r="B17" s="64" t="s">
        <v>633</v>
      </c>
      <c r="C17" s="64" t="s">
        <v>417</v>
      </c>
      <c r="D17" s="64" t="s">
        <v>420</v>
      </c>
      <c r="E17" s="64" t="s">
        <v>7</v>
      </c>
      <c r="F17" s="82"/>
      <c r="G17" s="83"/>
      <c r="H17" s="64" t="s">
        <v>718</v>
      </c>
      <c r="I17" s="64"/>
      <c r="J17" s="84" t="s">
        <v>748</v>
      </c>
      <c r="K17" s="84" t="s">
        <v>739</v>
      </c>
      <c r="L17" s="92">
        <v>5327.36</v>
      </c>
      <c r="M17" s="84"/>
    </row>
    <row r="18" spans="1:13" ht="18" customHeight="1" x14ac:dyDescent="0.25">
      <c r="A18" s="88">
        <v>74</v>
      </c>
      <c r="B18" s="64" t="s">
        <v>636</v>
      </c>
      <c r="C18" s="64" t="s">
        <v>637</v>
      </c>
      <c r="D18" s="64" t="s">
        <v>420</v>
      </c>
      <c r="E18" s="64" t="s">
        <v>7</v>
      </c>
      <c r="F18" s="82"/>
      <c r="G18" s="83"/>
      <c r="H18" s="64" t="s">
        <v>718</v>
      </c>
      <c r="I18" s="64"/>
      <c r="J18" s="84" t="s">
        <v>748</v>
      </c>
      <c r="K18" s="84" t="s">
        <v>739</v>
      </c>
      <c r="L18" s="92">
        <v>9265.52</v>
      </c>
      <c r="M18" s="84"/>
    </row>
    <row r="19" spans="1:13" ht="18" customHeight="1" x14ac:dyDescent="0.25">
      <c r="A19" s="88">
        <v>75</v>
      </c>
      <c r="B19" s="64" t="s">
        <v>627</v>
      </c>
      <c r="C19" s="64" t="s">
        <v>416</v>
      </c>
      <c r="D19" s="64" t="s">
        <v>420</v>
      </c>
      <c r="E19" s="64" t="s">
        <v>7</v>
      </c>
      <c r="F19" s="82"/>
      <c r="G19" s="83"/>
      <c r="H19" s="64" t="s">
        <v>718</v>
      </c>
      <c r="I19" s="64"/>
      <c r="J19" s="84" t="s">
        <v>748</v>
      </c>
      <c r="K19" s="84" t="s">
        <v>739</v>
      </c>
      <c r="L19" s="92">
        <v>5339.14</v>
      </c>
      <c r="M19" s="84"/>
    </row>
    <row r="20" spans="1:13" ht="18" customHeight="1" x14ac:dyDescent="0.25">
      <c r="A20" s="84"/>
      <c r="B20" s="64"/>
      <c r="C20" s="64" t="s">
        <v>671</v>
      </c>
      <c r="D20" s="64" t="s">
        <v>674</v>
      </c>
      <c r="E20" s="64"/>
      <c r="F20" s="82"/>
      <c r="G20" s="64"/>
      <c r="H20" s="64" t="s">
        <v>674</v>
      </c>
      <c r="I20" s="64" t="s">
        <v>672</v>
      </c>
      <c r="J20" s="84" t="e">
        <v>#N/A</v>
      </c>
      <c r="K20" s="84" t="e">
        <v>#N/A</v>
      </c>
      <c r="L20" s="92" t="e">
        <v>#N/A</v>
      </c>
      <c r="M20" s="84"/>
    </row>
    <row r="21" spans="1:13" ht="18" customHeight="1" x14ac:dyDescent="0.25">
      <c r="A21" s="84"/>
      <c r="B21" s="64"/>
      <c r="C21" s="64" t="s">
        <v>670</v>
      </c>
      <c r="D21" s="64" t="s">
        <v>674</v>
      </c>
      <c r="E21" s="64"/>
      <c r="F21" s="82"/>
      <c r="G21" s="64"/>
      <c r="H21" s="64" t="s">
        <v>674</v>
      </c>
      <c r="I21" s="64" t="s">
        <v>672</v>
      </c>
      <c r="J21" s="84" t="e">
        <v>#N/A</v>
      </c>
      <c r="K21" s="84" t="e">
        <v>#N/A</v>
      </c>
      <c r="L21" s="92" t="e">
        <v>#N/A</v>
      </c>
      <c r="M21" s="84"/>
    </row>
    <row r="22" spans="1:13" ht="18" customHeight="1" x14ac:dyDescent="0.25">
      <c r="A22" s="88">
        <v>23</v>
      </c>
      <c r="B22" s="64" t="s">
        <v>71</v>
      </c>
      <c r="C22" s="64" t="s">
        <v>72</v>
      </c>
      <c r="D22" s="64" t="s">
        <v>163</v>
      </c>
      <c r="E22" s="64" t="s">
        <v>8</v>
      </c>
      <c r="F22" s="82">
        <v>46083</v>
      </c>
      <c r="G22" s="83"/>
      <c r="H22" s="64" t="s">
        <v>8</v>
      </c>
      <c r="I22" s="64"/>
      <c r="J22" s="84" t="s">
        <v>759</v>
      </c>
      <c r="K22" s="84" t="s">
        <v>739</v>
      </c>
      <c r="L22" s="92">
        <v>305941.12</v>
      </c>
      <c r="M22" s="84"/>
    </row>
    <row r="23" spans="1:13" ht="18" customHeight="1" x14ac:dyDescent="0.25">
      <c r="A23" s="88">
        <v>14</v>
      </c>
      <c r="B23" s="64" t="s">
        <v>55</v>
      </c>
      <c r="C23" s="64" t="s">
        <v>56</v>
      </c>
      <c r="D23" s="64" t="s">
        <v>163</v>
      </c>
      <c r="E23" s="64" t="s">
        <v>8</v>
      </c>
      <c r="F23" s="82">
        <v>45958</v>
      </c>
      <c r="G23" s="83">
        <v>46017</v>
      </c>
      <c r="H23" s="64" t="s">
        <v>164</v>
      </c>
      <c r="I23" s="64"/>
      <c r="J23" s="84" t="s">
        <v>759</v>
      </c>
      <c r="K23" s="84" t="s">
        <v>739</v>
      </c>
      <c r="L23" s="92">
        <v>83442.94</v>
      </c>
      <c r="M23" s="84"/>
    </row>
    <row r="24" spans="1:13" ht="18" customHeight="1" x14ac:dyDescent="0.25">
      <c r="A24" s="88">
        <v>27</v>
      </c>
      <c r="B24" s="64" t="s">
        <v>79</v>
      </c>
      <c r="C24" s="64" t="s">
        <v>80</v>
      </c>
      <c r="D24" s="64" t="s">
        <v>163</v>
      </c>
      <c r="E24" s="64" t="s">
        <v>7</v>
      </c>
      <c r="F24" s="82">
        <v>45951</v>
      </c>
      <c r="G24" s="83"/>
      <c r="H24" s="64" t="s">
        <v>723</v>
      </c>
      <c r="I24" s="64"/>
      <c r="J24" s="84" t="s">
        <v>759</v>
      </c>
      <c r="K24" s="84" t="s">
        <v>739</v>
      </c>
      <c r="L24" s="92">
        <v>51229.5</v>
      </c>
      <c r="M24" s="84"/>
    </row>
    <row r="25" spans="1:13" ht="18" customHeight="1" x14ac:dyDescent="0.25">
      <c r="A25" s="84"/>
      <c r="B25" s="64" t="s">
        <v>687</v>
      </c>
      <c r="C25" s="64" t="s">
        <v>613</v>
      </c>
      <c r="D25" s="64" t="s">
        <v>163</v>
      </c>
      <c r="E25" s="64" t="s">
        <v>7</v>
      </c>
      <c r="F25" s="82"/>
      <c r="G25" s="64"/>
      <c r="H25" s="64" t="s">
        <v>688</v>
      </c>
      <c r="I25" s="64"/>
      <c r="J25" s="84" t="s">
        <v>759</v>
      </c>
      <c r="K25" s="84" t="s">
        <v>739</v>
      </c>
      <c r="L25" s="92">
        <v>30700</v>
      </c>
      <c r="M25" s="84"/>
    </row>
    <row r="26" spans="1:13" ht="18" customHeight="1" x14ac:dyDescent="0.25">
      <c r="A26" s="88">
        <v>33</v>
      </c>
      <c r="B26" s="64" t="s">
        <v>90</v>
      </c>
      <c r="C26" s="64" t="s">
        <v>91</v>
      </c>
      <c r="D26" s="64" t="s">
        <v>163</v>
      </c>
      <c r="E26" s="64" t="s">
        <v>8</v>
      </c>
      <c r="F26" s="82">
        <v>46083</v>
      </c>
      <c r="G26" s="83"/>
      <c r="H26" s="64" t="s">
        <v>8</v>
      </c>
      <c r="I26" s="64"/>
      <c r="J26" s="84" t="s">
        <v>746</v>
      </c>
      <c r="K26" s="84" t="s">
        <v>739</v>
      </c>
      <c r="L26" s="92">
        <v>4413.5</v>
      </c>
      <c r="M26" s="84"/>
    </row>
    <row r="27" spans="1:13" ht="18" customHeight="1" x14ac:dyDescent="0.25">
      <c r="A27" s="88">
        <v>99</v>
      </c>
      <c r="B27" s="64"/>
      <c r="C27" s="64" t="s">
        <v>619</v>
      </c>
      <c r="D27" s="64" t="s">
        <v>163</v>
      </c>
      <c r="E27" s="64" t="s">
        <v>3</v>
      </c>
      <c r="F27" s="82"/>
      <c r="G27" s="83"/>
      <c r="H27" s="64" t="s">
        <v>618</v>
      </c>
      <c r="I27" s="64" t="s">
        <v>620</v>
      </c>
      <c r="J27" s="84" t="e">
        <v>#N/A</v>
      </c>
      <c r="K27" s="84" t="e">
        <v>#N/A</v>
      </c>
      <c r="L27" s="92" t="e">
        <v>#N/A</v>
      </c>
      <c r="M27" s="84"/>
    </row>
    <row r="28" spans="1:13" ht="18" customHeight="1" x14ac:dyDescent="0.25">
      <c r="A28" s="88">
        <v>36</v>
      </c>
      <c r="B28" s="64" t="s">
        <v>96</v>
      </c>
      <c r="C28" s="64" t="s">
        <v>97</v>
      </c>
      <c r="D28" s="64" t="s">
        <v>157</v>
      </c>
      <c r="E28" s="64" t="s">
        <v>7</v>
      </c>
      <c r="F28" s="82">
        <v>46037</v>
      </c>
      <c r="G28" s="83"/>
      <c r="H28" s="64" t="s">
        <v>427</v>
      </c>
      <c r="I28" s="64"/>
      <c r="J28" s="84" t="s">
        <v>747</v>
      </c>
      <c r="K28" s="84" t="s">
        <v>739</v>
      </c>
      <c r="L28" s="92">
        <v>5765.71</v>
      </c>
      <c r="M28" s="84"/>
    </row>
    <row r="29" spans="1:13" ht="18" customHeight="1" x14ac:dyDescent="0.25">
      <c r="A29" s="88">
        <v>20</v>
      </c>
      <c r="B29" s="64" t="s">
        <v>65</v>
      </c>
      <c r="C29" s="64" t="s">
        <v>66</v>
      </c>
      <c r="D29" s="64" t="s">
        <v>157</v>
      </c>
      <c r="E29" s="64" t="s">
        <v>7</v>
      </c>
      <c r="F29" s="82">
        <v>46051</v>
      </c>
      <c r="G29" s="83">
        <v>46081</v>
      </c>
      <c r="H29" s="64" t="s">
        <v>427</v>
      </c>
      <c r="I29" s="64"/>
      <c r="J29" s="84" t="s">
        <v>741</v>
      </c>
      <c r="K29" s="84" t="s">
        <v>742</v>
      </c>
      <c r="L29" s="92">
        <v>260190.71</v>
      </c>
      <c r="M29" s="84"/>
    </row>
    <row r="30" spans="1:13" ht="18" customHeight="1" x14ac:dyDescent="0.25">
      <c r="A30" s="88">
        <v>32</v>
      </c>
      <c r="B30" s="64" t="s">
        <v>88</v>
      </c>
      <c r="C30" s="64" t="s">
        <v>89</v>
      </c>
      <c r="D30" s="64" t="s">
        <v>157</v>
      </c>
      <c r="E30" s="64" t="s">
        <v>7</v>
      </c>
      <c r="F30" s="82">
        <v>46030</v>
      </c>
      <c r="G30" s="83">
        <v>46081</v>
      </c>
      <c r="H30" s="64" t="s">
        <v>427</v>
      </c>
      <c r="I30" s="64"/>
      <c r="J30" s="84" t="s">
        <v>741</v>
      </c>
      <c r="K30" s="84" t="s">
        <v>742</v>
      </c>
      <c r="L30" s="92">
        <v>55710</v>
      </c>
      <c r="M30" s="84"/>
    </row>
    <row r="31" spans="1:13" ht="18" customHeight="1" x14ac:dyDescent="0.25">
      <c r="A31" s="84"/>
      <c r="B31" s="64" t="s">
        <v>638</v>
      </c>
      <c r="C31" s="64" t="s">
        <v>639</v>
      </c>
      <c r="D31" s="64" t="s">
        <v>157</v>
      </c>
      <c r="E31" s="64"/>
      <c r="F31" s="82"/>
      <c r="G31" s="64"/>
      <c r="H31" s="64"/>
      <c r="I31" s="64"/>
      <c r="J31" s="84" t="s">
        <v>741</v>
      </c>
      <c r="K31" s="84" t="s">
        <v>742</v>
      </c>
      <c r="L31" s="92">
        <v>1911</v>
      </c>
      <c r="M31" s="84"/>
    </row>
    <row r="32" spans="1:13" ht="18" customHeight="1" x14ac:dyDescent="0.25">
      <c r="A32" s="88">
        <v>5</v>
      </c>
      <c r="B32" s="64" t="s">
        <v>38</v>
      </c>
      <c r="C32" s="64" t="s">
        <v>39</v>
      </c>
      <c r="D32" s="64" t="s">
        <v>157</v>
      </c>
      <c r="E32" s="64" t="s">
        <v>7</v>
      </c>
      <c r="F32" s="82">
        <v>46063</v>
      </c>
      <c r="G32" s="83">
        <v>46081</v>
      </c>
      <c r="H32" s="64" t="s">
        <v>427</v>
      </c>
      <c r="I32" s="64"/>
      <c r="J32" s="84" t="s">
        <v>738</v>
      </c>
      <c r="K32" s="84" t="s">
        <v>739</v>
      </c>
      <c r="L32" s="92">
        <v>1101.24</v>
      </c>
      <c r="M32" s="84"/>
    </row>
    <row r="33" spans="1:13" ht="18" customHeight="1" x14ac:dyDescent="0.25">
      <c r="A33" s="88">
        <v>3</v>
      </c>
      <c r="B33" s="64" t="s">
        <v>34</v>
      </c>
      <c r="C33" s="64" t="s">
        <v>35</v>
      </c>
      <c r="D33" s="64" t="s">
        <v>157</v>
      </c>
      <c r="E33" s="64" t="s">
        <v>7</v>
      </c>
      <c r="F33" s="82">
        <v>46063</v>
      </c>
      <c r="G33" s="83">
        <v>46081</v>
      </c>
      <c r="H33" s="64" t="s">
        <v>427</v>
      </c>
      <c r="I33" s="64"/>
      <c r="J33" s="84" t="s">
        <v>738</v>
      </c>
      <c r="K33" s="84" t="s">
        <v>740</v>
      </c>
      <c r="L33" s="92">
        <v>49418.82</v>
      </c>
      <c r="M33" s="84"/>
    </row>
    <row r="34" spans="1:13" ht="18" customHeight="1" x14ac:dyDescent="0.25">
      <c r="A34" s="88">
        <v>21</v>
      </c>
      <c r="B34" s="64" t="s">
        <v>67</v>
      </c>
      <c r="C34" s="64" t="s">
        <v>68</v>
      </c>
      <c r="D34" s="64" t="s">
        <v>157</v>
      </c>
      <c r="E34" s="64" t="s">
        <v>7</v>
      </c>
      <c r="F34" s="82">
        <v>46041</v>
      </c>
      <c r="G34" s="83">
        <v>46081</v>
      </c>
      <c r="H34" s="64" t="s">
        <v>427</v>
      </c>
      <c r="I34" s="64"/>
      <c r="J34" s="84" t="s">
        <v>738</v>
      </c>
      <c r="K34" s="84" t="s">
        <v>739</v>
      </c>
      <c r="L34" s="92">
        <v>29715.77</v>
      </c>
      <c r="M34" s="84"/>
    </row>
    <row r="35" spans="1:13" ht="18" customHeight="1" x14ac:dyDescent="0.25">
      <c r="A35" s="88">
        <v>22</v>
      </c>
      <c r="B35" s="64" t="s">
        <v>69</v>
      </c>
      <c r="C35" s="64" t="s">
        <v>70</v>
      </c>
      <c r="D35" s="64" t="s">
        <v>157</v>
      </c>
      <c r="E35" s="64" t="s">
        <v>7</v>
      </c>
      <c r="F35" s="82">
        <v>46077</v>
      </c>
      <c r="G35" s="83">
        <v>46081</v>
      </c>
      <c r="H35" s="64" t="s">
        <v>427</v>
      </c>
      <c r="I35" s="64"/>
      <c r="J35" s="84" t="s">
        <v>738</v>
      </c>
      <c r="K35" s="84" t="s">
        <v>739</v>
      </c>
      <c r="L35" s="92">
        <v>200.91</v>
      </c>
      <c r="M35" s="84"/>
    </row>
    <row r="36" spans="1:13" ht="18" customHeight="1" x14ac:dyDescent="0.25">
      <c r="A36" s="88">
        <v>38</v>
      </c>
      <c r="B36" s="64" t="s">
        <v>100</v>
      </c>
      <c r="C36" s="64" t="s">
        <v>101</v>
      </c>
      <c r="D36" s="64" t="s">
        <v>157</v>
      </c>
      <c r="E36" s="64" t="s">
        <v>7</v>
      </c>
      <c r="F36" s="82">
        <v>46072</v>
      </c>
      <c r="G36" s="83">
        <v>46081</v>
      </c>
      <c r="H36" s="64" t="s">
        <v>427</v>
      </c>
      <c r="I36" s="64"/>
      <c r="J36" s="84" t="s">
        <v>738</v>
      </c>
      <c r="K36" s="84" t="s">
        <v>739</v>
      </c>
      <c r="L36" s="92">
        <v>1494.12</v>
      </c>
      <c r="M36" s="84"/>
    </row>
    <row r="37" spans="1:13" ht="18" customHeight="1" x14ac:dyDescent="0.25">
      <c r="A37" s="88">
        <v>17</v>
      </c>
      <c r="B37" s="64" t="s">
        <v>60</v>
      </c>
      <c r="C37" s="64" t="s">
        <v>61</v>
      </c>
      <c r="D37" s="64" t="s">
        <v>157</v>
      </c>
      <c r="E37" s="64" t="s">
        <v>7</v>
      </c>
      <c r="F37" s="82">
        <v>46045</v>
      </c>
      <c r="G37" s="83"/>
      <c r="H37" s="64" t="s">
        <v>427</v>
      </c>
      <c r="I37" s="64"/>
      <c r="J37" s="84" t="s">
        <v>743</v>
      </c>
      <c r="K37" s="84" t="s">
        <v>739</v>
      </c>
      <c r="L37" s="92">
        <v>6775</v>
      </c>
      <c r="M37" s="84"/>
    </row>
    <row r="38" spans="1:13" ht="18" customHeight="1" x14ac:dyDescent="0.25">
      <c r="A38" s="84"/>
      <c r="B38" s="84" t="s">
        <v>714</v>
      </c>
      <c r="C38" s="84"/>
      <c r="D38" s="84" t="s">
        <v>157</v>
      </c>
      <c r="E38" s="64" t="s">
        <v>7</v>
      </c>
      <c r="F38" s="86"/>
      <c r="G38" s="84"/>
      <c r="H38" s="84" t="s">
        <v>427</v>
      </c>
      <c r="I38" s="84"/>
      <c r="J38" s="84" t="s">
        <v>743</v>
      </c>
      <c r="K38" s="84" t="s">
        <v>739</v>
      </c>
      <c r="L38" s="92">
        <v>4040</v>
      </c>
      <c r="M38" s="84"/>
    </row>
    <row r="39" spans="1:13" ht="18" customHeight="1" x14ac:dyDescent="0.25">
      <c r="A39" s="88">
        <v>11</v>
      </c>
      <c r="B39" s="64" t="s">
        <v>50</v>
      </c>
      <c r="C39" s="64" t="s">
        <v>51</v>
      </c>
      <c r="D39" s="64" t="s">
        <v>157</v>
      </c>
      <c r="E39" s="64" t="s">
        <v>7</v>
      </c>
      <c r="F39" s="82">
        <v>46048</v>
      </c>
      <c r="G39" s="83">
        <v>46081</v>
      </c>
      <c r="H39" s="64" t="s">
        <v>427</v>
      </c>
      <c r="I39" s="64"/>
      <c r="J39" s="84" t="s">
        <v>744</v>
      </c>
      <c r="K39" s="84" t="s">
        <v>739</v>
      </c>
      <c r="L39" s="92">
        <v>20000</v>
      </c>
      <c r="M39" s="84"/>
    </row>
    <row r="40" spans="1:13" ht="18" customHeight="1" x14ac:dyDescent="0.25">
      <c r="A40" s="88">
        <v>10</v>
      </c>
      <c r="B40" s="64" t="s">
        <v>48</v>
      </c>
      <c r="C40" s="64" t="s">
        <v>49</v>
      </c>
      <c r="D40" s="64" t="s">
        <v>157</v>
      </c>
      <c r="E40" s="64" t="s">
        <v>7</v>
      </c>
      <c r="F40" s="82">
        <v>46043</v>
      </c>
      <c r="G40" s="83"/>
      <c r="H40" s="64" t="s">
        <v>427</v>
      </c>
      <c r="I40" s="64"/>
      <c r="J40" s="84" t="s">
        <v>746</v>
      </c>
      <c r="K40" s="84" t="s">
        <v>739</v>
      </c>
      <c r="L40" s="92">
        <v>168</v>
      </c>
      <c r="M40" s="84"/>
    </row>
    <row r="41" spans="1:13" ht="18" customHeight="1" x14ac:dyDescent="0.25">
      <c r="A41" s="88">
        <v>2</v>
      </c>
      <c r="B41" s="64" t="s">
        <v>32</v>
      </c>
      <c r="C41" s="64" t="s">
        <v>33</v>
      </c>
      <c r="D41" s="64" t="s">
        <v>157</v>
      </c>
      <c r="E41" s="64" t="s">
        <v>7</v>
      </c>
      <c r="F41" s="82">
        <v>46041</v>
      </c>
      <c r="G41" s="83">
        <v>46081</v>
      </c>
      <c r="H41" s="64" t="s">
        <v>427</v>
      </c>
      <c r="I41" s="64"/>
      <c r="J41" s="84" t="s">
        <v>746</v>
      </c>
      <c r="K41" s="84" t="s">
        <v>739</v>
      </c>
      <c r="L41" s="92">
        <v>25285</v>
      </c>
      <c r="M41" s="84"/>
    </row>
    <row r="42" spans="1:13" ht="18" customHeight="1" x14ac:dyDescent="0.25">
      <c r="A42" s="88">
        <v>30</v>
      </c>
      <c r="B42" s="64" t="s">
        <v>85</v>
      </c>
      <c r="C42" s="64" t="s">
        <v>86</v>
      </c>
      <c r="D42" s="64" t="s">
        <v>157</v>
      </c>
      <c r="E42" s="64" t="s">
        <v>7</v>
      </c>
      <c r="F42" s="82">
        <v>46064</v>
      </c>
      <c r="G42" s="83">
        <v>46081</v>
      </c>
      <c r="H42" s="64" t="s">
        <v>427</v>
      </c>
      <c r="I42" s="64"/>
      <c r="J42" s="84" t="s">
        <v>746</v>
      </c>
      <c r="K42" s="84" t="s">
        <v>739</v>
      </c>
      <c r="L42" s="92">
        <v>63</v>
      </c>
      <c r="M42" s="84"/>
    </row>
    <row r="43" spans="1:13" ht="18" customHeight="1" x14ac:dyDescent="0.25">
      <c r="A43" s="84"/>
      <c r="B43" s="64" t="s">
        <v>630</v>
      </c>
      <c r="C43" s="64" t="s">
        <v>537</v>
      </c>
      <c r="D43" s="64" t="s">
        <v>157</v>
      </c>
      <c r="E43" s="64"/>
      <c r="F43" s="82"/>
      <c r="G43" s="64"/>
      <c r="H43" s="64"/>
      <c r="I43" s="64"/>
      <c r="J43" s="84" t="s">
        <v>771</v>
      </c>
      <c r="K43" s="84" t="s">
        <v>739</v>
      </c>
      <c r="L43" s="92">
        <v>21500</v>
      </c>
      <c r="M43" s="84"/>
    </row>
    <row r="44" spans="1:13" ht="18" customHeight="1" x14ac:dyDescent="0.25">
      <c r="A44" s="88">
        <v>12</v>
      </c>
      <c r="B44" s="64" t="s">
        <v>483</v>
      </c>
      <c r="C44" s="64" t="s">
        <v>52</v>
      </c>
      <c r="D44" s="64" t="s">
        <v>157</v>
      </c>
      <c r="E44" s="64" t="s">
        <v>3</v>
      </c>
      <c r="F44" s="82">
        <v>46105</v>
      </c>
      <c r="G44" s="83"/>
      <c r="H44" s="64" t="s">
        <v>162</v>
      </c>
      <c r="I44" s="64"/>
      <c r="J44" s="84" t="s">
        <v>756</v>
      </c>
      <c r="K44" s="84" t="s">
        <v>757</v>
      </c>
      <c r="L44" s="92">
        <v>11760</v>
      </c>
      <c r="M44" s="84"/>
    </row>
    <row r="45" spans="1:13" ht="18" customHeight="1" x14ac:dyDescent="0.25">
      <c r="A45" s="88">
        <v>8</v>
      </c>
      <c r="B45" s="64" t="s">
        <v>44</v>
      </c>
      <c r="C45" s="64" t="s">
        <v>45</v>
      </c>
      <c r="D45" s="64" t="s">
        <v>157</v>
      </c>
      <c r="E45" s="64" t="s">
        <v>7</v>
      </c>
      <c r="F45" s="82">
        <v>46043</v>
      </c>
      <c r="G45" s="83">
        <v>46081</v>
      </c>
      <c r="H45" s="64" t="s">
        <v>427</v>
      </c>
      <c r="I45" s="64"/>
      <c r="J45" s="84" t="s">
        <v>745</v>
      </c>
      <c r="K45" s="84" t="s">
        <v>740</v>
      </c>
      <c r="L45" s="92">
        <v>4281.08</v>
      </c>
      <c r="M45" s="84"/>
    </row>
    <row r="46" spans="1:13" ht="18" customHeight="1" x14ac:dyDescent="0.25">
      <c r="A46" s="88">
        <v>15</v>
      </c>
      <c r="B46" s="64" t="s">
        <v>57</v>
      </c>
      <c r="C46" s="64" t="s">
        <v>58</v>
      </c>
      <c r="D46" s="64" t="s">
        <v>157</v>
      </c>
      <c r="E46" s="64" t="s">
        <v>3</v>
      </c>
      <c r="F46" s="82">
        <v>46050</v>
      </c>
      <c r="G46" s="83"/>
      <c r="H46" s="64" t="s">
        <v>427</v>
      </c>
      <c r="I46" s="64"/>
      <c r="J46" s="84" t="e">
        <v>#N/A</v>
      </c>
      <c r="K46" s="84" t="e">
        <v>#N/A</v>
      </c>
      <c r="L46" s="92" t="e">
        <v>#N/A</v>
      </c>
      <c r="M46" s="84"/>
    </row>
    <row r="47" spans="1:13" ht="18" customHeight="1" x14ac:dyDescent="0.25">
      <c r="A47" s="88">
        <v>9</v>
      </c>
      <c r="B47" s="64" t="s">
        <v>46</v>
      </c>
      <c r="C47" s="64" t="s">
        <v>47</v>
      </c>
      <c r="D47" s="64" t="s">
        <v>157</v>
      </c>
      <c r="E47" s="64" t="s">
        <v>3</v>
      </c>
      <c r="F47" s="82">
        <v>46045</v>
      </c>
      <c r="G47" s="83"/>
      <c r="H47" s="64" t="s">
        <v>427</v>
      </c>
      <c r="I47" s="64"/>
      <c r="J47" s="84" t="e">
        <v>#N/A</v>
      </c>
      <c r="K47" s="84" t="e">
        <v>#N/A</v>
      </c>
      <c r="L47" s="92" t="e">
        <v>#N/A</v>
      </c>
      <c r="M47" s="84"/>
    </row>
    <row r="48" spans="1:13" ht="18" customHeight="1" x14ac:dyDescent="0.25">
      <c r="A48" s="88">
        <v>29</v>
      </c>
      <c r="B48" s="64" t="s">
        <v>83</v>
      </c>
      <c r="C48" s="64" t="s">
        <v>84</v>
      </c>
      <c r="D48" s="64" t="s">
        <v>157</v>
      </c>
      <c r="E48" s="64" t="s">
        <v>3</v>
      </c>
      <c r="F48" s="82">
        <v>46042</v>
      </c>
      <c r="G48" s="83"/>
      <c r="H48" s="64" t="s">
        <v>427</v>
      </c>
      <c r="I48" s="64"/>
      <c r="J48" s="84" t="e">
        <v>#N/A</v>
      </c>
      <c r="K48" s="84" t="e">
        <v>#N/A</v>
      </c>
      <c r="L48" s="92" t="e">
        <v>#N/A</v>
      </c>
      <c r="M48" s="84"/>
    </row>
    <row r="49" spans="1:13" ht="18" customHeight="1" x14ac:dyDescent="0.25">
      <c r="A49" s="88">
        <v>31</v>
      </c>
      <c r="B49" s="64" t="s">
        <v>87</v>
      </c>
      <c r="C49" s="64" t="s">
        <v>45</v>
      </c>
      <c r="D49" s="64" t="s">
        <v>157</v>
      </c>
      <c r="E49" s="64" t="s">
        <v>3</v>
      </c>
      <c r="F49" s="82">
        <v>46042</v>
      </c>
      <c r="G49" s="83">
        <v>46081</v>
      </c>
      <c r="H49" s="64" t="s">
        <v>427</v>
      </c>
      <c r="I49" s="64"/>
      <c r="J49" s="84" t="e">
        <v>#N/A</v>
      </c>
      <c r="K49" s="84" t="e">
        <v>#N/A</v>
      </c>
      <c r="L49" s="92" t="e">
        <v>#N/A</v>
      </c>
      <c r="M49" s="84"/>
    </row>
    <row r="50" spans="1:13" ht="18" customHeight="1" x14ac:dyDescent="0.25">
      <c r="A50" s="88">
        <v>7</v>
      </c>
      <c r="B50" s="64" t="s">
        <v>42</v>
      </c>
      <c r="C50" s="64" t="s">
        <v>43</v>
      </c>
      <c r="D50" s="64" t="s">
        <v>157</v>
      </c>
      <c r="E50" s="64" t="s">
        <v>3</v>
      </c>
      <c r="F50" s="82">
        <v>46038</v>
      </c>
      <c r="G50" s="83"/>
      <c r="H50" s="64" t="s">
        <v>427</v>
      </c>
      <c r="I50" s="64"/>
      <c r="J50" s="84" t="e">
        <v>#N/A</v>
      </c>
      <c r="K50" s="84" t="e">
        <v>#N/A</v>
      </c>
      <c r="L50" s="92" t="e">
        <v>#N/A</v>
      </c>
      <c r="M50" s="84"/>
    </row>
    <row r="51" spans="1:13" ht="18" customHeight="1" x14ac:dyDescent="0.25">
      <c r="A51" s="88">
        <v>1</v>
      </c>
      <c r="B51" s="64" t="s">
        <v>30</v>
      </c>
      <c r="C51" s="64" t="s">
        <v>31</v>
      </c>
      <c r="D51" s="64" t="s">
        <v>157</v>
      </c>
      <c r="E51" s="64" t="s">
        <v>3</v>
      </c>
      <c r="F51" s="82">
        <v>46014</v>
      </c>
      <c r="G51" s="83"/>
      <c r="H51" s="64" t="s">
        <v>427</v>
      </c>
      <c r="I51" s="64"/>
      <c r="J51" s="84" t="e">
        <v>#N/A</v>
      </c>
      <c r="K51" s="84" t="e">
        <v>#N/A</v>
      </c>
      <c r="L51" s="92" t="e">
        <v>#N/A</v>
      </c>
      <c r="M51" s="84"/>
    </row>
    <row r="52" spans="1:13" ht="18" customHeight="1" x14ac:dyDescent="0.25">
      <c r="A52" s="88">
        <v>39</v>
      </c>
      <c r="B52" s="64" t="s">
        <v>484</v>
      </c>
      <c r="C52" s="64" t="s">
        <v>103</v>
      </c>
      <c r="D52" s="64" t="s">
        <v>157</v>
      </c>
      <c r="E52" s="64" t="s">
        <v>7</v>
      </c>
      <c r="F52" s="82">
        <v>46086</v>
      </c>
      <c r="G52" s="83"/>
      <c r="H52" s="64" t="s">
        <v>427</v>
      </c>
      <c r="I52" s="64"/>
      <c r="J52" s="84" t="e">
        <v>#N/A</v>
      </c>
      <c r="K52" s="84" t="e">
        <v>#N/A</v>
      </c>
      <c r="L52" s="92" t="e">
        <v>#N/A</v>
      </c>
      <c r="M52" s="84"/>
    </row>
    <row r="53" spans="1:13" ht="18" customHeight="1" x14ac:dyDescent="0.25">
      <c r="A53" s="88">
        <v>35</v>
      </c>
      <c r="B53" s="64" t="s">
        <v>94</v>
      </c>
      <c r="C53" s="64" t="s">
        <v>95</v>
      </c>
      <c r="D53" s="64" t="s">
        <v>157</v>
      </c>
      <c r="E53" s="64" t="s">
        <v>3</v>
      </c>
      <c r="F53" s="82">
        <v>46029</v>
      </c>
      <c r="G53" s="83"/>
      <c r="H53" s="64" t="s">
        <v>427</v>
      </c>
      <c r="I53" s="64"/>
      <c r="J53" s="84" t="e">
        <v>#N/A</v>
      </c>
      <c r="K53" s="84" t="e">
        <v>#N/A</v>
      </c>
      <c r="L53" s="92" t="e">
        <v>#N/A</v>
      </c>
      <c r="M53" s="84"/>
    </row>
    <row r="54" spans="1:13" ht="18" customHeight="1" x14ac:dyDescent="0.25">
      <c r="A54" s="88">
        <v>28</v>
      </c>
      <c r="B54" s="64" t="s">
        <v>81</v>
      </c>
      <c r="C54" s="64" t="s">
        <v>82</v>
      </c>
      <c r="D54" s="64" t="s">
        <v>157</v>
      </c>
      <c r="E54" s="64" t="s">
        <v>3</v>
      </c>
      <c r="F54" s="82">
        <v>46078</v>
      </c>
      <c r="G54" s="83"/>
      <c r="H54" s="64" t="s">
        <v>427</v>
      </c>
      <c r="I54" s="64"/>
      <c r="J54" s="84" t="e">
        <v>#N/A</v>
      </c>
      <c r="K54" s="84" t="e">
        <v>#N/A</v>
      </c>
      <c r="L54" s="92" t="e">
        <v>#N/A</v>
      </c>
      <c r="M54" s="84"/>
    </row>
    <row r="55" spans="1:13" ht="18" customHeight="1" x14ac:dyDescent="0.25">
      <c r="A55" s="88">
        <v>34</v>
      </c>
      <c r="B55" s="64" t="s">
        <v>92</v>
      </c>
      <c r="C55" s="64" t="s">
        <v>93</v>
      </c>
      <c r="D55" s="64" t="s">
        <v>157</v>
      </c>
      <c r="E55" s="64" t="s">
        <v>3</v>
      </c>
      <c r="F55" s="82">
        <v>46028</v>
      </c>
      <c r="G55" s="83"/>
      <c r="H55" s="64" t="s">
        <v>427</v>
      </c>
      <c r="I55" s="64"/>
      <c r="J55" s="84" t="e">
        <v>#N/A</v>
      </c>
      <c r="K55" s="84" t="e">
        <v>#N/A</v>
      </c>
      <c r="L55" s="92" t="e">
        <v>#N/A</v>
      </c>
      <c r="M55" s="84"/>
    </row>
    <row r="56" spans="1:13" ht="18" customHeight="1" x14ac:dyDescent="0.25">
      <c r="A56" s="84"/>
      <c r="B56" s="64" t="s">
        <v>621</v>
      </c>
      <c r="C56" s="64" t="s">
        <v>622</v>
      </c>
      <c r="D56" s="64" t="s">
        <v>157</v>
      </c>
      <c r="E56" s="64"/>
      <c r="F56" s="82"/>
      <c r="G56" s="64"/>
      <c r="H56" s="64"/>
      <c r="I56" s="64"/>
      <c r="J56" s="84" t="e">
        <v>#N/A</v>
      </c>
      <c r="K56" s="84" t="e">
        <v>#N/A</v>
      </c>
      <c r="L56" s="92" t="e">
        <v>#N/A</v>
      </c>
      <c r="M56" s="84"/>
    </row>
    <row r="57" spans="1:13" ht="18" customHeight="1" x14ac:dyDescent="0.25">
      <c r="A57" s="84"/>
      <c r="B57" s="64" t="s">
        <v>629</v>
      </c>
      <c r="C57" s="64" t="s">
        <v>628</v>
      </c>
      <c r="D57" s="64" t="s">
        <v>157</v>
      </c>
      <c r="E57" s="64"/>
      <c r="F57" s="82"/>
      <c r="G57" s="64"/>
      <c r="H57" s="64"/>
      <c r="I57" s="64"/>
      <c r="J57" s="84" t="e">
        <v>#N/A</v>
      </c>
      <c r="K57" s="84" t="e">
        <v>#N/A</v>
      </c>
      <c r="L57" s="92" t="e">
        <v>#N/A</v>
      </c>
      <c r="M57" s="84"/>
    </row>
    <row r="58" spans="1:13" ht="18" customHeight="1" x14ac:dyDescent="0.25">
      <c r="A58" s="88">
        <v>97</v>
      </c>
      <c r="B58" s="64" t="s">
        <v>713</v>
      </c>
      <c r="C58" s="64" t="s">
        <v>615</v>
      </c>
      <c r="D58" s="64" t="s">
        <v>158</v>
      </c>
      <c r="E58" s="64" t="s">
        <v>7</v>
      </c>
      <c r="F58" s="82"/>
      <c r="G58" s="83"/>
      <c r="H58" s="64" t="s">
        <v>658</v>
      </c>
      <c r="I58" s="64"/>
      <c r="J58" s="84" t="s">
        <v>766</v>
      </c>
      <c r="K58" s="84" t="s">
        <v>739</v>
      </c>
      <c r="L58" s="92">
        <v>12019.56</v>
      </c>
      <c r="M58" s="84"/>
    </row>
    <row r="59" spans="1:13" ht="18" customHeight="1" x14ac:dyDescent="0.25">
      <c r="A59" s="88">
        <v>26</v>
      </c>
      <c r="B59" s="64" t="s">
        <v>77</v>
      </c>
      <c r="C59" s="64" t="s">
        <v>78</v>
      </c>
      <c r="D59" s="64" t="s">
        <v>158</v>
      </c>
      <c r="E59" s="64" t="s">
        <v>8</v>
      </c>
      <c r="F59" s="82">
        <v>46070</v>
      </c>
      <c r="G59" s="83"/>
      <c r="H59" s="64" t="s">
        <v>8</v>
      </c>
      <c r="I59" s="64"/>
      <c r="J59" s="84" t="s">
        <v>761</v>
      </c>
      <c r="K59" s="84" t="s">
        <v>739</v>
      </c>
      <c r="L59" s="92">
        <v>63600.15</v>
      </c>
      <c r="M59" s="84"/>
    </row>
    <row r="60" spans="1:13" ht="18" customHeight="1" x14ac:dyDescent="0.25">
      <c r="A60" s="88">
        <v>25</v>
      </c>
      <c r="B60" s="64" t="s">
        <v>75</v>
      </c>
      <c r="C60" s="64" t="s">
        <v>76</v>
      </c>
      <c r="D60" s="64" t="s">
        <v>158</v>
      </c>
      <c r="E60" s="64" t="s">
        <v>7</v>
      </c>
      <c r="F60" s="82">
        <v>46037</v>
      </c>
      <c r="G60" s="83"/>
      <c r="H60" s="64" t="s">
        <v>721</v>
      </c>
      <c r="I60" s="64" t="s">
        <v>611</v>
      </c>
      <c r="J60" s="84" t="s">
        <v>762</v>
      </c>
      <c r="K60" s="84" t="s">
        <v>739</v>
      </c>
      <c r="L60" s="92">
        <v>224200</v>
      </c>
      <c r="M60" s="84"/>
    </row>
    <row r="61" spans="1:13" ht="18" customHeight="1" x14ac:dyDescent="0.25">
      <c r="A61" s="88">
        <v>24</v>
      </c>
      <c r="B61" s="64" t="s">
        <v>73</v>
      </c>
      <c r="C61" s="64" t="s">
        <v>74</v>
      </c>
      <c r="D61" s="64" t="s">
        <v>158</v>
      </c>
      <c r="E61" s="64" t="s">
        <v>7</v>
      </c>
      <c r="F61" s="82">
        <v>46087</v>
      </c>
      <c r="G61" s="83"/>
      <c r="H61" s="65" t="s">
        <v>696</v>
      </c>
      <c r="I61" s="64"/>
      <c r="J61" s="84" t="s">
        <v>755</v>
      </c>
      <c r="K61" s="84" t="s">
        <v>739</v>
      </c>
      <c r="L61" s="92">
        <v>9933</v>
      </c>
      <c r="M61" s="84"/>
    </row>
    <row r="62" spans="1:13" ht="18" customHeight="1" x14ac:dyDescent="0.25">
      <c r="A62" s="88">
        <v>16</v>
      </c>
      <c r="B62" s="64" t="s">
        <v>102</v>
      </c>
      <c r="C62" s="64" t="s">
        <v>59</v>
      </c>
      <c r="D62" s="64" t="s">
        <v>158</v>
      </c>
      <c r="E62" s="64" t="s">
        <v>7</v>
      </c>
      <c r="F62" s="82">
        <v>46083</v>
      </c>
      <c r="G62" s="83"/>
      <c r="H62" s="65" t="s">
        <v>696</v>
      </c>
      <c r="I62" s="64"/>
      <c r="J62" s="84" t="s">
        <v>755</v>
      </c>
      <c r="K62" s="84" t="s">
        <v>739</v>
      </c>
      <c r="L62" s="92">
        <v>28136</v>
      </c>
      <c r="M62" s="84"/>
    </row>
    <row r="63" spans="1:13" ht="18" customHeight="1" x14ac:dyDescent="0.25">
      <c r="A63" s="88">
        <v>37</v>
      </c>
      <c r="B63" s="64" t="s">
        <v>98</v>
      </c>
      <c r="C63" s="64" t="s">
        <v>99</v>
      </c>
      <c r="D63" s="64" t="s">
        <v>158</v>
      </c>
      <c r="E63" s="64" t="s">
        <v>7</v>
      </c>
      <c r="F63" s="82">
        <v>46065</v>
      </c>
      <c r="G63" s="83"/>
      <c r="H63" s="64" t="s">
        <v>722</v>
      </c>
      <c r="I63" s="64"/>
      <c r="J63" s="84" t="s">
        <v>755</v>
      </c>
      <c r="K63" s="84" t="s">
        <v>739</v>
      </c>
      <c r="L63" s="92">
        <v>19300</v>
      </c>
      <c r="M63" s="84"/>
    </row>
    <row r="64" spans="1:13" ht="18" customHeight="1" x14ac:dyDescent="0.25">
      <c r="A64" s="88">
        <v>96</v>
      </c>
      <c r="B64" s="64" t="s">
        <v>485</v>
      </c>
      <c r="C64" s="64" t="s">
        <v>486</v>
      </c>
      <c r="D64" s="64" t="s">
        <v>158</v>
      </c>
      <c r="E64" s="64" t="s">
        <v>7</v>
      </c>
      <c r="F64" s="82">
        <v>46111</v>
      </c>
      <c r="G64" s="83"/>
      <c r="H64" s="64" t="s">
        <v>161</v>
      </c>
      <c r="I64" s="64"/>
      <c r="J64" s="84" t="s">
        <v>750</v>
      </c>
      <c r="K64" s="84" t="s">
        <v>739</v>
      </c>
      <c r="L64" s="92">
        <v>7060</v>
      </c>
      <c r="M64" s="84"/>
    </row>
    <row r="65" spans="1:13" ht="18" customHeight="1" x14ac:dyDescent="0.25">
      <c r="A65" s="88">
        <v>89</v>
      </c>
      <c r="B65" s="64" t="s">
        <v>487</v>
      </c>
      <c r="C65" s="64" t="s">
        <v>488</v>
      </c>
      <c r="D65" s="64" t="s">
        <v>158</v>
      </c>
      <c r="E65" s="64" t="s">
        <v>8</v>
      </c>
      <c r="F65" s="82">
        <v>46101</v>
      </c>
      <c r="G65" s="83"/>
      <c r="H65" s="64" t="s">
        <v>8</v>
      </c>
      <c r="I65" s="64"/>
      <c r="J65" s="84" t="s">
        <v>748</v>
      </c>
      <c r="K65" s="84" t="s">
        <v>739</v>
      </c>
      <c r="L65" s="92">
        <v>10858</v>
      </c>
      <c r="M65" s="84"/>
    </row>
    <row r="66" spans="1:13" ht="18" customHeight="1" x14ac:dyDescent="0.25">
      <c r="A66" s="88">
        <v>4</v>
      </c>
      <c r="B66" s="64" t="s">
        <v>36</v>
      </c>
      <c r="C66" s="64" t="s">
        <v>37</v>
      </c>
      <c r="D66" s="64" t="s">
        <v>158</v>
      </c>
      <c r="E66" s="64" t="s">
        <v>7</v>
      </c>
      <c r="F66" s="82">
        <v>46084</v>
      </c>
      <c r="G66" s="83"/>
      <c r="H66" s="64" t="s">
        <v>720</v>
      </c>
      <c r="I66" s="64"/>
      <c r="J66" s="84" t="s">
        <v>760</v>
      </c>
      <c r="K66" s="84" t="s">
        <v>757</v>
      </c>
      <c r="L66" s="92">
        <v>2431</v>
      </c>
      <c r="M66" s="84"/>
    </row>
    <row r="67" spans="1:13" ht="18" customHeight="1" x14ac:dyDescent="0.25">
      <c r="A67" s="88">
        <v>40</v>
      </c>
      <c r="B67" s="64" t="s">
        <v>489</v>
      </c>
      <c r="C67" s="64" t="s">
        <v>220</v>
      </c>
      <c r="D67" s="64" t="s">
        <v>158</v>
      </c>
      <c r="E67" s="64" t="s">
        <v>8</v>
      </c>
      <c r="F67" s="82">
        <v>46100</v>
      </c>
      <c r="G67" s="83"/>
      <c r="H67" s="64" t="s">
        <v>468</v>
      </c>
      <c r="I67" s="64" t="s">
        <v>8</v>
      </c>
      <c r="J67" s="84" t="s">
        <v>751</v>
      </c>
      <c r="K67" s="84" t="s">
        <v>739</v>
      </c>
      <c r="L67" s="92">
        <v>10325</v>
      </c>
      <c r="M67" s="84"/>
    </row>
    <row r="68" spans="1:13" ht="18" customHeight="1" x14ac:dyDescent="0.25">
      <c r="A68" s="88">
        <v>18</v>
      </c>
      <c r="B68" s="64" t="s">
        <v>62</v>
      </c>
      <c r="C68" s="64" t="s">
        <v>63</v>
      </c>
      <c r="D68" s="64" t="s">
        <v>158</v>
      </c>
      <c r="E68" s="64" t="s">
        <v>7</v>
      </c>
      <c r="F68" s="82">
        <v>46084</v>
      </c>
      <c r="G68" s="83"/>
      <c r="H68" s="64" t="s">
        <v>606</v>
      </c>
      <c r="I68" s="64" t="s">
        <v>609</v>
      </c>
      <c r="J68" s="84" t="s">
        <v>752</v>
      </c>
      <c r="K68" s="84" t="s">
        <v>739</v>
      </c>
      <c r="L68" s="92">
        <v>486174.37</v>
      </c>
      <c r="M68" s="84"/>
    </row>
    <row r="69" spans="1:13" ht="18" customHeight="1" x14ac:dyDescent="0.25">
      <c r="A69" s="88">
        <v>13</v>
      </c>
      <c r="B69" s="64" t="s">
        <v>53</v>
      </c>
      <c r="C69" s="64" t="s">
        <v>54</v>
      </c>
      <c r="D69" s="64" t="s">
        <v>158</v>
      </c>
      <c r="E69" s="64" t="s">
        <v>7</v>
      </c>
      <c r="F69" s="82">
        <v>46087</v>
      </c>
      <c r="G69" s="83"/>
      <c r="H69" s="64" t="s">
        <v>161</v>
      </c>
      <c r="I69" s="64"/>
      <c r="J69" s="84" t="s">
        <v>758</v>
      </c>
      <c r="K69" s="84" t="s">
        <v>739</v>
      </c>
      <c r="L69" s="92">
        <v>23967.9</v>
      </c>
      <c r="M69" s="84"/>
    </row>
    <row r="70" spans="1:13" ht="18" customHeight="1" x14ac:dyDescent="0.25">
      <c r="A70" s="88">
        <v>92</v>
      </c>
      <c r="B70" s="87" t="s">
        <v>792</v>
      </c>
      <c r="C70" s="64" t="s">
        <v>456</v>
      </c>
      <c r="D70" s="64" t="s">
        <v>158</v>
      </c>
      <c r="E70" s="64" t="s">
        <v>7</v>
      </c>
      <c r="F70" s="82"/>
      <c r="G70" s="83"/>
      <c r="H70" s="64" t="s">
        <v>161</v>
      </c>
      <c r="I70" s="64"/>
      <c r="J70" s="84" t="s">
        <v>793</v>
      </c>
      <c r="K70" s="84" t="s">
        <v>757</v>
      </c>
      <c r="L70" s="92">
        <v>215083.08</v>
      </c>
      <c r="M70" s="84"/>
    </row>
    <row r="71" spans="1:13" ht="18" customHeight="1" x14ac:dyDescent="0.25">
      <c r="A71" s="88">
        <v>119</v>
      </c>
      <c r="B71" s="64" t="s">
        <v>664</v>
      </c>
      <c r="C71" s="64" t="s">
        <v>423</v>
      </c>
      <c r="D71" s="64" t="s">
        <v>158</v>
      </c>
      <c r="E71" s="64" t="s">
        <v>7</v>
      </c>
      <c r="F71" s="82"/>
      <c r="G71" s="83"/>
      <c r="H71" s="64" t="s">
        <v>161</v>
      </c>
      <c r="I71" s="64"/>
      <c r="J71" s="84" t="s">
        <v>769</v>
      </c>
      <c r="K71" s="84" t="s">
        <v>770</v>
      </c>
      <c r="L71" s="92">
        <v>1794590</v>
      </c>
      <c r="M71" s="84"/>
    </row>
    <row r="72" spans="1:13" ht="18" customHeight="1" x14ac:dyDescent="0.25">
      <c r="A72" s="88">
        <v>66</v>
      </c>
      <c r="B72" s="64" t="s">
        <v>481</v>
      </c>
      <c r="C72" s="64" t="s">
        <v>444</v>
      </c>
      <c r="D72" s="64" t="s">
        <v>158</v>
      </c>
      <c r="E72" s="64" t="s">
        <v>7</v>
      </c>
      <c r="F72" s="82"/>
      <c r="G72" s="83"/>
      <c r="H72" s="64" t="s">
        <v>161</v>
      </c>
      <c r="I72" s="64" t="s">
        <v>597</v>
      </c>
      <c r="J72" s="84" t="s">
        <v>753</v>
      </c>
      <c r="K72" s="84" t="s">
        <v>739</v>
      </c>
      <c r="L72" s="92">
        <v>3887.28</v>
      </c>
      <c r="M72" s="84"/>
    </row>
    <row r="73" spans="1:13" ht="18" customHeight="1" x14ac:dyDescent="0.25">
      <c r="A73" s="88">
        <v>110</v>
      </c>
      <c r="B73" s="64" t="s">
        <v>665</v>
      </c>
      <c r="C73" s="64" t="s">
        <v>177</v>
      </c>
      <c r="D73" s="64" t="s">
        <v>158</v>
      </c>
      <c r="E73" s="64" t="s">
        <v>7</v>
      </c>
      <c r="F73" s="82"/>
      <c r="G73" s="83"/>
      <c r="H73" s="64" t="s">
        <v>666</v>
      </c>
      <c r="I73" s="64"/>
      <c r="J73" s="84" t="s">
        <v>767</v>
      </c>
      <c r="K73" s="84" t="s">
        <v>757</v>
      </c>
      <c r="L73" s="92">
        <v>2400.16</v>
      </c>
      <c r="M73" s="84"/>
    </row>
    <row r="74" spans="1:13" ht="18" customHeight="1" x14ac:dyDescent="0.25">
      <c r="A74" s="88">
        <v>41</v>
      </c>
      <c r="B74" s="64" t="s">
        <v>475</v>
      </c>
      <c r="C74" s="64" t="s">
        <v>400</v>
      </c>
      <c r="D74" s="64" t="s">
        <v>158</v>
      </c>
      <c r="E74" s="64" t="s">
        <v>8</v>
      </c>
      <c r="F74" s="82"/>
      <c r="G74" s="83"/>
      <c r="H74" s="64" t="s">
        <v>166</v>
      </c>
      <c r="I74" s="64"/>
      <c r="J74" s="84" t="s">
        <v>746</v>
      </c>
      <c r="K74" s="84" t="s">
        <v>739</v>
      </c>
      <c r="L74" s="92">
        <v>4350</v>
      </c>
      <c r="M74" s="84"/>
    </row>
    <row r="75" spans="1:13" ht="18" customHeight="1" x14ac:dyDescent="0.25">
      <c r="A75" s="88">
        <v>84</v>
      </c>
      <c r="B75" s="64" t="s">
        <v>684</v>
      </c>
      <c r="C75" s="64" t="s">
        <v>470</v>
      </c>
      <c r="D75" s="64" t="s">
        <v>158</v>
      </c>
      <c r="E75" s="64" t="s">
        <v>7</v>
      </c>
      <c r="F75" s="82"/>
      <c r="G75" s="83"/>
      <c r="H75" s="64" t="s">
        <v>685</v>
      </c>
      <c r="I75" s="64"/>
      <c r="J75" s="84" t="s">
        <v>746</v>
      </c>
      <c r="K75" s="84" t="s">
        <v>739</v>
      </c>
      <c r="L75" s="92">
        <v>32128</v>
      </c>
      <c r="M75" s="84"/>
    </row>
    <row r="76" spans="1:13" ht="18" customHeight="1" x14ac:dyDescent="0.25">
      <c r="A76" s="88"/>
      <c r="B76" s="64" t="s">
        <v>667</v>
      </c>
      <c r="C76" s="64" t="s">
        <v>448</v>
      </c>
      <c r="D76" s="64" t="s">
        <v>158</v>
      </c>
      <c r="E76" s="64" t="s">
        <v>7</v>
      </c>
      <c r="F76" s="82"/>
      <c r="G76" s="83"/>
      <c r="H76" s="64" t="s">
        <v>161</v>
      </c>
      <c r="I76" s="64"/>
      <c r="J76" s="84" t="s">
        <v>765</v>
      </c>
      <c r="K76" s="84" t="s">
        <v>739</v>
      </c>
      <c r="L76" s="92">
        <v>1630</v>
      </c>
      <c r="M76" s="84"/>
    </row>
    <row r="77" spans="1:13" ht="18" customHeight="1" x14ac:dyDescent="0.25">
      <c r="A77" s="88">
        <v>93</v>
      </c>
      <c r="B77" s="64" t="s">
        <v>727</v>
      </c>
      <c r="C77" s="64" t="s">
        <v>457</v>
      </c>
      <c r="D77" s="64" t="s">
        <v>158</v>
      </c>
      <c r="E77" s="64" t="s">
        <v>7</v>
      </c>
      <c r="F77" s="82"/>
      <c r="G77" s="83"/>
      <c r="H77" s="64" t="s">
        <v>728</v>
      </c>
      <c r="I77" s="64"/>
      <c r="J77" s="84" t="s">
        <v>756</v>
      </c>
      <c r="K77" s="84" t="s">
        <v>757</v>
      </c>
      <c r="L77" s="92">
        <v>113839.26</v>
      </c>
      <c r="M77" s="84"/>
    </row>
    <row r="78" spans="1:13" ht="18" customHeight="1" x14ac:dyDescent="0.25">
      <c r="A78" s="88">
        <v>19</v>
      </c>
      <c r="B78" s="87" t="s">
        <v>794</v>
      </c>
      <c r="C78" s="64" t="s">
        <v>64</v>
      </c>
      <c r="D78" s="64" t="s">
        <v>158</v>
      </c>
      <c r="E78" s="64" t="s">
        <v>7</v>
      </c>
      <c r="F78" s="82">
        <v>46083</v>
      </c>
      <c r="G78" s="83"/>
      <c r="H78" s="64" t="s">
        <v>694</v>
      </c>
      <c r="I78" s="64"/>
      <c r="J78" s="84" t="s">
        <v>795</v>
      </c>
      <c r="K78" s="84" t="s">
        <v>739</v>
      </c>
      <c r="L78" s="92">
        <v>39000.01</v>
      </c>
      <c r="M78" s="84"/>
    </row>
    <row r="79" spans="1:13" ht="18" customHeight="1" x14ac:dyDescent="0.25">
      <c r="A79" s="88">
        <v>83</v>
      </c>
      <c r="B79" s="87" t="s">
        <v>790</v>
      </c>
      <c r="C79" s="64" t="s">
        <v>117</v>
      </c>
      <c r="D79" s="64" t="s">
        <v>158</v>
      </c>
      <c r="E79" s="64" t="s">
        <v>7</v>
      </c>
      <c r="F79" s="82"/>
      <c r="G79" s="83"/>
      <c r="H79" s="64" t="s">
        <v>472</v>
      </c>
      <c r="I79" s="64"/>
      <c r="J79" s="84" t="s">
        <v>791</v>
      </c>
      <c r="K79" s="84" t="s">
        <v>739</v>
      </c>
      <c r="L79" s="92">
        <v>80788.25</v>
      </c>
      <c r="M79" s="84"/>
    </row>
    <row r="80" spans="1:13" ht="18" customHeight="1" x14ac:dyDescent="0.25">
      <c r="A80" s="88">
        <v>6</v>
      </c>
      <c r="B80" s="64" t="s">
        <v>40</v>
      </c>
      <c r="C80" s="64" t="s">
        <v>41</v>
      </c>
      <c r="D80" s="64" t="s">
        <v>158</v>
      </c>
      <c r="E80" s="64" t="s">
        <v>8</v>
      </c>
      <c r="F80" s="82"/>
      <c r="G80" s="83"/>
      <c r="H80" s="64" t="s">
        <v>437</v>
      </c>
      <c r="I80" s="64" t="s">
        <v>612</v>
      </c>
      <c r="J80" s="84" t="e">
        <v>#N/A</v>
      </c>
      <c r="K80" s="84" t="e">
        <v>#N/A</v>
      </c>
      <c r="L80" s="92" t="e">
        <v>#N/A</v>
      </c>
      <c r="M80" s="84"/>
    </row>
    <row r="81" spans="1:13" x14ac:dyDescent="0.25">
      <c r="A81" s="88">
        <v>73</v>
      </c>
      <c r="B81" s="64" t="s">
        <v>690</v>
      </c>
      <c r="C81" s="64" t="s">
        <v>449</v>
      </c>
      <c r="D81" s="64" t="s">
        <v>158</v>
      </c>
      <c r="E81" s="64" t="s">
        <v>7</v>
      </c>
      <c r="F81" s="82"/>
      <c r="G81" s="83"/>
      <c r="H81" s="64" t="s">
        <v>691</v>
      </c>
      <c r="I81" s="64"/>
      <c r="J81" s="84" t="e">
        <v>#N/A</v>
      </c>
      <c r="K81" s="84" t="e">
        <v>#N/A</v>
      </c>
      <c r="L81" s="92" t="e">
        <v>#N/A</v>
      </c>
      <c r="M81" s="84"/>
    </row>
    <row r="82" spans="1:13" ht="18" customHeight="1" x14ac:dyDescent="0.25">
      <c r="A82" s="88">
        <v>94</v>
      </c>
      <c r="B82" s="64"/>
      <c r="C82" s="64" t="s">
        <v>617</v>
      </c>
      <c r="D82" s="64" t="s">
        <v>158</v>
      </c>
      <c r="E82" s="64" t="s">
        <v>3</v>
      </c>
      <c r="F82" s="82"/>
      <c r="G82" s="83"/>
      <c r="H82" s="64" t="s">
        <v>703</v>
      </c>
      <c r="I82" s="64" t="s">
        <v>704</v>
      </c>
      <c r="J82" s="84" t="e">
        <v>#N/A</v>
      </c>
      <c r="K82" s="84" t="e">
        <v>#N/A</v>
      </c>
      <c r="L82" s="92" t="e">
        <v>#N/A</v>
      </c>
      <c r="M82" s="84"/>
    </row>
    <row r="83" spans="1:13" ht="18" customHeight="1" x14ac:dyDescent="0.25">
      <c r="A83" s="88">
        <v>95</v>
      </c>
      <c r="B83" s="64"/>
      <c r="C83" s="64" t="s">
        <v>616</v>
      </c>
      <c r="D83" s="64" t="s">
        <v>158</v>
      </c>
      <c r="E83" s="64" t="s">
        <v>3</v>
      </c>
      <c r="F83" s="82"/>
      <c r="G83" s="83"/>
      <c r="H83" s="64" t="s">
        <v>695</v>
      </c>
      <c r="I83" s="64"/>
      <c r="J83" s="84" t="e">
        <v>#N/A</v>
      </c>
      <c r="K83" s="84" t="e">
        <v>#N/A</v>
      </c>
      <c r="L83" s="92" t="e">
        <v>#N/A</v>
      </c>
      <c r="M83" s="84"/>
    </row>
    <row r="84" spans="1:13" ht="18" customHeight="1" x14ac:dyDescent="0.25">
      <c r="A84" s="88">
        <v>107</v>
      </c>
      <c r="B84" s="64"/>
      <c r="C84" s="64" t="s">
        <v>175</v>
      </c>
      <c r="D84" s="64" t="s">
        <v>158</v>
      </c>
      <c r="E84" s="64" t="s">
        <v>3</v>
      </c>
      <c r="F84" s="82"/>
      <c r="G84" s="83"/>
      <c r="H84" s="64" t="s">
        <v>181</v>
      </c>
      <c r="I84" s="64" t="s">
        <v>591</v>
      </c>
      <c r="J84" s="84" t="e">
        <v>#N/A</v>
      </c>
      <c r="K84" s="84" t="e">
        <v>#N/A</v>
      </c>
      <c r="L84" s="92" t="e">
        <v>#N/A</v>
      </c>
      <c r="M84" s="84"/>
    </row>
    <row r="85" spans="1:13" ht="18" customHeight="1" x14ac:dyDescent="0.25">
      <c r="A85" s="88">
        <v>110</v>
      </c>
      <c r="B85" s="64" t="s">
        <v>772</v>
      </c>
      <c r="C85" s="64" t="s">
        <v>773</v>
      </c>
      <c r="D85" s="64" t="s">
        <v>158</v>
      </c>
      <c r="E85" s="64" t="s">
        <v>5</v>
      </c>
      <c r="F85" s="82"/>
      <c r="G85" s="83"/>
      <c r="H85" s="64" t="s">
        <v>666</v>
      </c>
      <c r="I85" s="64"/>
      <c r="J85" s="84" t="e">
        <v>#N/A</v>
      </c>
      <c r="K85" s="84" t="e">
        <v>#N/A</v>
      </c>
      <c r="L85" s="92" t="e">
        <v>#N/A</v>
      </c>
      <c r="M85" s="84"/>
    </row>
    <row r="86" spans="1:13" ht="18" customHeight="1" x14ac:dyDescent="0.25">
      <c r="A86" s="88">
        <v>116</v>
      </c>
      <c r="B86" s="64"/>
      <c r="C86" s="64" t="s">
        <v>455</v>
      </c>
      <c r="D86" s="64" t="s">
        <v>158</v>
      </c>
      <c r="E86" s="64" t="s">
        <v>3</v>
      </c>
      <c r="F86" s="82"/>
      <c r="G86" s="83"/>
      <c r="H86" s="64" t="s">
        <v>643</v>
      </c>
      <c r="I86" s="64" t="s">
        <v>644</v>
      </c>
      <c r="J86" s="84" t="e">
        <v>#N/A</v>
      </c>
      <c r="K86" s="84" t="e">
        <v>#N/A</v>
      </c>
      <c r="L86" s="92" t="e">
        <v>#N/A</v>
      </c>
      <c r="M86" s="84"/>
    </row>
    <row r="87" spans="1:13" ht="18" customHeight="1" x14ac:dyDescent="0.25">
      <c r="A87" s="88">
        <v>120</v>
      </c>
      <c r="B87" s="64"/>
      <c r="C87" s="64" t="s">
        <v>426</v>
      </c>
      <c r="D87" s="64" t="s">
        <v>158</v>
      </c>
      <c r="E87" s="64" t="s">
        <v>3</v>
      </c>
      <c r="F87" s="82"/>
      <c r="G87" s="83"/>
      <c r="H87" s="64" t="s">
        <v>569</v>
      </c>
      <c r="I87" s="64" t="s">
        <v>593</v>
      </c>
      <c r="J87" s="84" t="e">
        <v>#N/A</v>
      </c>
      <c r="K87" s="84" t="e">
        <v>#N/A</v>
      </c>
      <c r="L87" s="92" t="e">
        <v>#N/A</v>
      </c>
      <c r="M87" s="84"/>
    </row>
    <row r="88" spans="1:13" ht="18" customHeight="1" x14ac:dyDescent="0.25">
      <c r="A88" s="88">
        <v>65</v>
      </c>
      <c r="B88" s="64"/>
      <c r="C88" s="64" t="s">
        <v>443</v>
      </c>
      <c r="D88" s="64" t="s">
        <v>158</v>
      </c>
      <c r="E88" s="64" t="s">
        <v>3</v>
      </c>
      <c r="F88" s="82"/>
      <c r="G88" s="83"/>
      <c r="H88" s="64" t="s">
        <v>588</v>
      </c>
      <c r="I88" s="64"/>
      <c r="J88" s="84" t="e">
        <v>#N/A</v>
      </c>
      <c r="K88" s="84" t="e">
        <v>#N/A</v>
      </c>
      <c r="L88" s="92" t="e">
        <v>#N/A</v>
      </c>
      <c r="M88" s="84"/>
    </row>
    <row r="89" spans="1:13" ht="18" customHeight="1" x14ac:dyDescent="0.25">
      <c r="A89" s="84"/>
      <c r="B89" s="64" t="s">
        <v>692</v>
      </c>
      <c r="C89" s="64" t="s">
        <v>659</v>
      </c>
      <c r="D89" s="64" t="s">
        <v>158</v>
      </c>
      <c r="E89" s="64" t="s">
        <v>5</v>
      </c>
      <c r="F89" s="82"/>
      <c r="G89" s="64"/>
      <c r="H89" s="64"/>
      <c r="I89" s="64" t="s">
        <v>693</v>
      </c>
      <c r="J89" s="84" t="e">
        <v>#N/A</v>
      </c>
      <c r="K89" s="84" t="e">
        <v>#N/A</v>
      </c>
      <c r="L89" s="92" t="e">
        <v>#N/A</v>
      </c>
      <c r="M89" s="84"/>
    </row>
    <row r="90" spans="1:13" ht="18" customHeight="1" x14ac:dyDescent="0.25">
      <c r="A90" s="88">
        <v>50</v>
      </c>
      <c r="B90" s="64" t="s">
        <v>711</v>
      </c>
      <c r="C90" s="64" t="s">
        <v>436</v>
      </c>
      <c r="D90" s="64" t="s">
        <v>410</v>
      </c>
      <c r="E90" s="64" t="s">
        <v>7</v>
      </c>
      <c r="F90" s="82"/>
      <c r="G90" s="83"/>
      <c r="H90" s="64" t="s">
        <v>719</v>
      </c>
      <c r="I90" s="64"/>
      <c r="J90" s="84" t="s">
        <v>749</v>
      </c>
      <c r="K90" s="84" t="s">
        <v>739</v>
      </c>
      <c r="L90" s="92">
        <v>6929.02</v>
      </c>
      <c r="M90" s="84"/>
    </row>
    <row r="91" spans="1:13" ht="18" customHeight="1" x14ac:dyDescent="0.25">
      <c r="A91" s="88">
        <v>70</v>
      </c>
      <c r="B91" s="64" t="s">
        <v>712</v>
      </c>
      <c r="C91" s="64" t="s">
        <v>662</v>
      </c>
      <c r="D91" s="64" t="s">
        <v>410</v>
      </c>
      <c r="E91" s="64" t="s">
        <v>7</v>
      </c>
      <c r="F91" s="82"/>
      <c r="G91" s="83"/>
      <c r="H91" s="64" t="s">
        <v>697</v>
      </c>
      <c r="I91" s="64"/>
      <c r="J91" s="84" t="s">
        <v>749</v>
      </c>
      <c r="K91" s="84" t="s">
        <v>739</v>
      </c>
      <c r="L91" s="92">
        <v>5860</v>
      </c>
      <c r="M91" s="84"/>
    </row>
    <row r="92" spans="1:13" ht="18" customHeight="1" x14ac:dyDescent="0.25">
      <c r="A92" s="88"/>
      <c r="B92" s="64" t="s">
        <v>712</v>
      </c>
      <c r="C92" s="64" t="s">
        <v>663</v>
      </c>
      <c r="D92" s="64" t="s">
        <v>410</v>
      </c>
      <c r="E92" s="64" t="s">
        <v>7</v>
      </c>
      <c r="F92" s="82"/>
      <c r="G92" s="83"/>
      <c r="H92" s="64" t="s">
        <v>697</v>
      </c>
      <c r="I92" s="64"/>
      <c r="J92" s="84" t="s">
        <v>749</v>
      </c>
      <c r="K92" s="84" t="s">
        <v>739</v>
      </c>
      <c r="L92" s="92">
        <v>5860</v>
      </c>
      <c r="M92" s="84"/>
    </row>
    <row r="93" spans="1:13" ht="18" customHeight="1" x14ac:dyDescent="0.25">
      <c r="A93" s="88">
        <v>56</v>
      </c>
      <c r="B93" s="87" t="s">
        <v>789</v>
      </c>
      <c r="C93" s="64" t="s">
        <v>452</v>
      </c>
      <c r="D93" s="64" t="s">
        <v>410</v>
      </c>
      <c r="E93" s="64" t="s">
        <v>7</v>
      </c>
      <c r="F93" s="82"/>
      <c r="G93" s="83"/>
      <c r="H93" s="64" t="s">
        <v>707</v>
      </c>
      <c r="I93" s="64"/>
      <c r="J93" s="84" t="s">
        <v>783</v>
      </c>
      <c r="K93" s="84" t="s">
        <v>739</v>
      </c>
      <c r="L93" s="92">
        <v>6223.59</v>
      </c>
      <c r="M93" s="84"/>
    </row>
    <row r="94" spans="1:13" ht="18" customHeight="1" x14ac:dyDescent="0.25">
      <c r="A94" s="88">
        <v>52</v>
      </c>
      <c r="B94" s="87" t="s">
        <v>788</v>
      </c>
      <c r="C94" s="64" t="s">
        <v>451</v>
      </c>
      <c r="D94" s="64" t="s">
        <v>410</v>
      </c>
      <c r="E94" s="64" t="s">
        <v>7</v>
      </c>
      <c r="F94" s="82"/>
      <c r="G94" s="83"/>
      <c r="H94" s="64" t="s">
        <v>707</v>
      </c>
      <c r="I94" s="64"/>
      <c r="J94" s="84" t="s">
        <v>783</v>
      </c>
      <c r="K94" s="84" t="s">
        <v>739</v>
      </c>
      <c r="L94" s="92">
        <v>1518.33</v>
      </c>
      <c r="M94" s="84"/>
    </row>
    <row r="95" spans="1:13" ht="18" customHeight="1" x14ac:dyDescent="0.25">
      <c r="A95" s="88">
        <v>53</v>
      </c>
      <c r="B95" s="64" t="s">
        <v>706</v>
      </c>
      <c r="C95" s="64" t="s">
        <v>452</v>
      </c>
      <c r="D95" s="64" t="s">
        <v>410</v>
      </c>
      <c r="E95" s="64" t="s">
        <v>7</v>
      </c>
      <c r="F95" s="82"/>
      <c r="G95" s="83"/>
      <c r="H95" s="64" t="s">
        <v>707</v>
      </c>
      <c r="I95" s="64"/>
      <c r="J95" s="84" t="s">
        <v>783</v>
      </c>
      <c r="K95" s="84" t="s">
        <v>739</v>
      </c>
      <c r="L95" s="92">
        <v>6363.01</v>
      </c>
      <c r="M95" s="84"/>
    </row>
    <row r="96" spans="1:13" ht="18" customHeight="1" x14ac:dyDescent="0.25">
      <c r="A96" s="88">
        <v>51</v>
      </c>
      <c r="B96" s="64" t="s">
        <v>732</v>
      </c>
      <c r="C96" s="64" t="s">
        <v>450</v>
      </c>
      <c r="D96" s="64" t="s">
        <v>410</v>
      </c>
      <c r="E96" s="64" t="s">
        <v>7</v>
      </c>
      <c r="F96" s="82"/>
      <c r="G96" s="83"/>
      <c r="H96" s="64" t="s">
        <v>707</v>
      </c>
      <c r="I96" s="64"/>
      <c r="J96" s="84" t="s">
        <v>783</v>
      </c>
      <c r="K96" s="84" t="s">
        <v>739</v>
      </c>
      <c r="L96" s="92">
        <v>4987.42</v>
      </c>
      <c r="M96" s="84"/>
    </row>
    <row r="97" spans="1:13" ht="18" customHeight="1" x14ac:dyDescent="0.25">
      <c r="A97" s="88">
        <v>45</v>
      </c>
      <c r="B97" s="64" t="s">
        <v>729</v>
      </c>
      <c r="C97" s="64" t="s">
        <v>431</v>
      </c>
      <c r="D97" s="64" t="s">
        <v>410</v>
      </c>
      <c r="E97" s="64" t="s">
        <v>7</v>
      </c>
      <c r="F97" s="82"/>
      <c r="G97" s="83"/>
      <c r="H97" s="64" t="s">
        <v>707</v>
      </c>
      <c r="I97" s="64"/>
      <c r="J97" s="84" t="s">
        <v>783</v>
      </c>
      <c r="K97" s="84" t="s">
        <v>739</v>
      </c>
      <c r="L97" s="92">
        <v>1145.26</v>
      </c>
      <c r="M97" s="84"/>
    </row>
    <row r="98" spans="1:13" ht="18" customHeight="1" x14ac:dyDescent="0.25">
      <c r="A98" s="88">
        <v>49</v>
      </c>
      <c r="B98" s="64" t="s">
        <v>730</v>
      </c>
      <c r="C98" s="64" t="s">
        <v>435</v>
      </c>
      <c r="D98" s="64" t="s">
        <v>410</v>
      </c>
      <c r="E98" s="64" t="s">
        <v>7</v>
      </c>
      <c r="F98" s="82"/>
      <c r="G98" s="83"/>
      <c r="H98" s="64" t="s">
        <v>731</v>
      </c>
      <c r="I98" s="64"/>
      <c r="J98" s="84" t="s">
        <v>784</v>
      </c>
      <c r="K98" s="84" t="s">
        <v>739</v>
      </c>
      <c r="L98" s="92">
        <v>385.72</v>
      </c>
      <c r="M98" s="84"/>
    </row>
    <row r="99" spans="1:13" ht="18" customHeight="1" x14ac:dyDescent="0.25">
      <c r="A99" s="88">
        <v>64</v>
      </c>
      <c r="B99" s="87" t="s">
        <v>796</v>
      </c>
      <c r="C99" s="64" t="s">
        <v>442</v>
      </c>
      <c r="D99" s="64" t="s">
        <v>410</v>
      </c>
      <c r="E99" s="64" t="s">
        <v>7</v>
      </c>
      <c r="F99" s="82"/>
      <c r="G99" s="83"/>
      <c r="H99" s="64" t="s">
        <v>698</v>
      </c>
      <c r="I99" s="64" t="s">
        <v>696</v>
      </c>
      <c r="J99" s="84" t="s">
        <v>784</v>
      </c>
      <c r="K99" s="84" t="s">
        <v>739</v>
      </c>
      <c r="L99" s="92">
        <v>1889.1</v>
      </c>
      <c r="M99" s="84"/>
    </row>
    <row r="100" spans="1:13" ht="18" customHeight="1" x14ac:dyDescent="0.25">
      <c r="A100" s="88">
        <v>62</v>
      </c>
      <c r="B100" s="64" t="s">
        <v>724</v>
      </c>
      <c r="C100" s="64" t="s">
        <v>440</v>
      </c>
      <c r="D100" s="64" t="s">
        <v>410</v>
      </c>
      <c r="E100" s="64" t="s">
        <v>7</v>
      </c>
      <c r="F100" s="82"/>
      <c r="G100" s="83"/>
      <c r="H100" s="64" t="s">
        <v>698</v>
      </c>
      <c r="I100" s="64" t="s">
        <v>161</v>
      </c>
      <c r="J100" s="84" t="s">
        <v>785</v>
      </c>
      <c r="K100" s="84" t="s">
        <v>739</v>
      </c>
      <c r="L100" s="92">
        <v>386.2</v>
      </c>
      <c r="M100" s="84"/>
    </row>
    <row r="101" spans="1:13" ht="18" customHeight="1" x14ac:dyDescent="0.25">
      <c r="A101" s="88">
        <v>42</v>
      </c>
      <c r="B101" s="87" t="s">
        <v>786</v>
      </c>
      <c r="C101" s="64" t="s">
        <v>428</v>
      </c>
      <c r="D101" s="64" t="s">
        <v>410</v>
      </c>
      <c r="E101" s="64" t="s">
        <v>7</v>
      </c>
      <c r="F101" s="82"/>
      <c r="G101" s="83"/>
      <c r="H101" s="64" t="s">
        <v>707</v>
      </c>
      <c r="I101" s="64"/>
      <c r="J101" s="84" t="s">
        <v>798</v>
      </c>
      <c r="K101" s="84" t="s">
        <v>739</v>
      </c>
      <c r="L101" s="92">
        <v>2697.63</v>
      </c>
      <c r="M101" s="84"/>
    </row>
    <row r="102" spans="1:13" ht="18" customHeight="1" x14ac:dyDescent="0.25">
      <c r="A102" s="88">
        <v>109</v>
      </c>
      <c r="B102" s="87" t="s">
        <v>797</v>
      </c>
      <c r="C102" s="64" t="s">
        <v>139</v>
      </c>
      <c r="D102" s="64" t="s">
        <v>410</v>
      </c>
      <c r="E102" s="64" t="s">
        <v>7</v>
      </c>
      <c r="F102" s="82"/>
      <c r="G102" s="83"/>
      <c r="H102" s="64" t="s">
        <v>698</v>
      </c>
      <c r="I102" s="85"/>
      <c r="J102" s="84" t="s">
        <v>798</v>
      </c>
      <c r="K102" s="84" t="s">
        <v>739</v>
      </c>
      <c r="L102" s="92">
        <v>2260</v>
      </c>
      <c r="M102" s="84"/>
    </row>
    <row r="103" spans="1:13" ht="18" customHeight="1" x14ac:dyDescent="0.25">
      <c r="A103" s="88">
        <v>69</v>
      </c>
      <c r="B103" s="64" t="s">
        <v>482</v>
      </c>
      <c r="C103" s="64" t="s">
        <v>447</v>
      </c>
      <c r="D103" s="64" t="s">
        <v>410</v>
      </c>
      <c r="E103" s="64" t="s">
        <v>7</v>
      </c>
      <c r="F103" s="82"/>
      <c r="G103" s="83"/>
      <c r="H103" s="64" t="s">
        <v>696</v>
      </c>
      <c r="I103" s="64"/>
      <c r="J103" s="84" t="s">
        <v>754</v>
      </c>
      <c r="K103" s="84" t="s">
        <v>739</v>
      </c>
      <c r="L103" s="92">
        <v>5272</v>
      </c>
      <c r="M103" s="84"/>
    </row>
    <row r="104" spans="1:13" ht="18" customHeight="1" x14ac:dyDescent="0.25">
      <c r="A104" s="88">
        <v>63</v>
      </c>
      <c r="B104" s="64" t="s">
        <v>717</v>
      </c>
      <c r="C104" s="64" t="s">
        <v>441</v>
      </c>
      <c r="D104" s="64" t="s">
        <v>410</v>
      </c>
      <c r="E104" s="64" t="s">
        <v>7</v>
      </c>
      <c r="F104" s="82"/>
      <c r="G104" s="83"/>
      <c r="H104" s="64" t="s">
        <v>698</v>
      </c>
      <c r="I104" s="64" t="s">
        <v>161</v>
      </c>
      <c r="J104" s="84" t="s">
        <v>763</v>
      </c>
      <c r="K104" s="84" t="s">
        <v>764</v>
      </c>
      <c r="L104" s="92">
        <v>83000</v>
      </c>
      <c r="M104" s="84"/>
    </row>
    <row r="105" spans="1:13" ht="18" customHeight="1" x14ac:dyDescent="0.25">
      <c r="A105" s="88">
        <v>48</v>
      </c>
      <c r="B105" s="87" t="s">
        <v>787</v>
      </c>
      <c r="C105" s="64" t="s">
        <v>434</v>
      </c>
      <c r="D105" s="64" t="s">
        <v>410</v>
      </c>
      <c r="E105" s="64" t="s">
        <v>7</v>
      </c>
      <c r="F105" s="82"/>
      <c r="G105" s="83"/>
      <c r="H105" s="64" t="s">
        <v>646</v>
      </c>
      <c r="I105" s="64"/>
      <c r="J105" s="84" t="s">
        <v>746</v>
      </c>
      <c r="K105" s="84" t="s">
        <v>739</v>
      </c>
      <c r="L105" s="92">
        <v>377.75</v>
      </c>
      <c r="M105" s="84"/>
    </row>
    <row r="106" spans="1:13" ht="18" customHeight="1" x14ac:dyDescent="0.25">
      <c r="A106" s="88">
        <v>67</v>
      </c>
      <c r="B106" s="64" t="s">
        <v>458</v>
      </c>
      <c r="C106" s="64" t="s">
        <v>445</v>
      </c>
      <c r="D106" s="64" t="s">
        <v>410</v>
      </c>
      <c r="E106" s="64" t="s">
        <v>7</v>
      </c>
      <c r="F106" s="82"/>
      <c r="G106" s="83"/>
      <c r="H106" s="64" t="s">
        <v>459</v>
      </c>
      <c r="I106" s="64"/>
      <c r="J106" s="84" t="s">
        <v>746</v>
      </c>
      <c r="K106" s="84" t="s">
        <v>739</v>
      </c>
      <c r="L106" s="92">
        <v>1590</v>
      </c>
      <c r="M106" s="84"/>
    </row>
    <row r="107" spans="1:13" ht="18" customHeight="1" x14ac:dyDescent="0.25">
      <c r="A107" s="88">
        <v>59</v>
      </c>
      <c r="B107" s="64" t="s">
        <v>623</v>
      </c>
      <c r="C107" s="64" t="s">
        <v>104</v>
      </c>
      <c r="D107" s="64" t="s">
        <v>410</v>
      </c>
      <c r="E107" s="64" t="s">
        <v>7</v>
      </c>
      <c r="F107" s="82"/>
      <c r="G107" s="83"/>
      <c r="H107" s="64" t="s">
        <v>614</v>
      </c>
      <c r="I107" s="64"/>
      <c r="J107" s="84" t="s">
        <v>746</v>
      </c>
      <c r="K107" s="84" t="s">
        <v>739</v>
      </c>
      <c r="L107" s="92">
        <v>1890</v>
      </c>
      <c r="M107" s="84"/>
    </row>
    <row r="108" spans="1:13" ht="18" customHeight="1" x14ac:dyDescent="0.25">
      <c r="A108" s="88">
        <v>60</v>
      </c>
      <c r="B108" s="64" t="s">
        <v>634</v>
      </c>
      <c r="C108" s="64" t="s">
        <v>635</v>
      </c>
      <c r="D108" s="64" t="s">
        <v>410</v>
      </c>
      <c r="E108" s="64" t="s">
        <v>7</v>
      </c>
      <c r="F108" s="82"/>
      <c r="G108" s="83"/>
      <c r="H108" s="64" t="s">
        <v>614</v>
      </c>
      <c r="I108" s="64"/>
      <c r="J108" s="84" t="s">
        <v>746</v>
      </c>
      <c r="K108" s="84" t="s">
        <v>739</v>
      </c>
      <c r="L108" s="92">
        <v>3400</v>
      </c>
      <c r="M108" s="84"/>
    </row>
    <row r="109" spans="1:13" ht="18" customHeight="1" x14ac:dyDescent="0.25">
      <c r="A109" s="88">
        <v>61</v>
      </c>
      <c r="B109" s="64" t="s">
        <v>625</v>
      </c>
      <c r="C109" s="64" t="s">
        <v>106</v>
      </c>
      <c r="D109" s="64" t="s">
        <v>410</v>
      </c>
      <c r="E109" s="64" t="s">
        <v>7</v>
      </c>
      <c r="F109" s="82"/>
      <c r="G109" s="83"/>
      <c r="H109" s="64" t="s">
        <v>614</v>
      </c>
      <c r="I109" s="64"/>
      <c r="J109" s="84" t="s">
        <v>746</v>
      </c>
      <c r="K109" s="84" t="s">
        <v>739</v>
      </c>
      <c r="L109" s="92">
        <v>1700</v>
      </c>
      <c r="M109" s="84"/>
    </row>
    <row r="110" spans="1:13" ht="18" customHeight="1" x14ac:dyDescent="0.25">
      <c r="A110" s="88">
        <v>87</v>
      </c>
      <c r="B110" s="64" t="s">
        <v>715</v>
      </c>
      <c r="C110" s="64" t="s">
        <v>135</v>
      </c>
      <c r="D110" s="64" t="s">
        <v>410</v>
      </c>
      <c r="E110" s="64" t="s">
        <v>7</v>
      </c>
      <c r="F110" s="82"/>
      <c r="G110" s="83"/>
      <c r="H110" s="64" t="s">
        <v>461</v>
      </c>
      <c r="I110" s="64"/>
      <c r="J110" s="84" t="s">
        <v>746</v>
      </c>
      <c r="K110" s="84" t="s">
        <v>739</v>
      </c>
      <c r="L110" s="92">
        <v>20589.04</v>
      </c>
      <c r="M110" s="84"/>
    </row>
    <row r="111" spans="1:13" ht="18" customHeight="1" x14ac:dyDescent="0.25">
      <c r="A111" s="88">
        <v>86</v>
      </c>
      <c r="B111" s="64" t="s">
        <v>710</v>
      </c>
      <c r="C111" s="64" t="s">
        <v>134</v>
      </c>
      <c r="D111" s="64" t="s">
        <v>410</v>
      </c>
      <c r="E111" s="64" t="s">
        <v>7</v>
      </c>
      <c r="F111" s="82"/>
      <c r="G111" s="83"/>
      <c r="H111" s="64" t="s">
        <v>702</v>
      </c>
      <c r="I111" s="64"/>
      <c r="J111" s="84" t="s">
        <v>746</v>
      </c>
      <c r="K111" s="84" t="s">
        <v>739</v>
      </c>
      <c r="L111" s="92">
        <v>330</v>
      </c>
      <c r="M111" s="84"/>
    </row>
    <row r="112" spans="1:13" ht="18" customHeight="1" x14ac:dyDescent="0.25">
      <c r="A112" s="84"/>
      <c r="B112" s="64" t="s">
        <v>686</v>
      </c>
      <c r="C112" s="64" t="s">
        <v>598</v>
      </c>
      <c r="D112" s="64" t="s">
        <v>410</v>
      </c>
      <c r="E112" s="64" t="s">
        <v>7</v>
      </c>
      <c r="F112" s="82"/>
      <c r="G112" s="64"/>
      <c r="H112" s="64" t="s">
        <v>685</v>
      </c>
      <c r="I112" s="64"/>
      <c r="J112" s="84" t="s">
        <v>746</v>
      </c>
      <c r="K112" s="84" t="s">
        <v>739</v>
      </c>
      <c r="L112" s="92">
        <v>4757.91</v>
      </c>
      <c r="M112" s="84"/>
    </row>
    <row r="113" spans="1:13" ht="18" customHeight="1" x14ac:dyDescent="0.25">
      <c r="A113" s="88">
        <v>115</v>
      </c>
      <c r="B113" s="64" t="s">
        <v>657</v>
      </c>
      <c r="C113" s="64" t="s">
        <v>414</v>
      </c>
      <c r="D113" s="64" t="s">
        <v>410</v>
      </c>
      <c r="E113" s="64" t="s">
        <v>7</v>
      </c>
      <c r="F113" s="82"/>
      <c r="G113" s="83"/>
      <c r="H113" s="64" t="s">
        <v>658</v>
      </c>
      <c r="I113" s="64"/>
      <c r="J113" s="84" t="s">
        <v>768</v>
      </c>
      <c r="K113" s="84" t="s">
        <v>739</v>
      </c>
      <c r="L113" s="92">
        <v>9104.99</v>
      </c>
      <c r="M113" s="84"/>
    </row>
    <row r="114" spans="1:13" ht="18" customHeight="1" x14ac:dyDescent="0.25">
      <c r="A114" s="88">
        <v>54</v>
      </c>
      <c r="B114" s="87" t="s">
        <v>805</v>
      </c>
      <c r="C114" s="64" t="s">
        <v>479</v>
      </c>
      <c r="D114" s="64" t="s">
        <v>410</v>
      </c>
      <c r="E114" s="64" t="s">
        <v>7</v>
      </c>
      <c r="F114" s="82"/>
      <c r="G114" s="83"/>
      <c r="H114" s="64" t="s">
        <v>804</v>
      </c>
      <c r="I114" s="64"/>
      <c r="J114" s="84" t="e">
        <v>#N/A</v>
      </c>
      <c r="K114" s="84" t="e">
        <v>#N/A</v>
      </c>
      <c r="L114" s="92" t="e">
        <v>#N/A</v>
      </c>
      <c r="M114" s="84"/>
    </row>
    <row r="115" spans="1:13" ht="18" customHeight="1" x14ac:dyDescent="0.25">
      <c r="A115" s="88">
        <v>46</v>
      </c>
      <c r="B115" s="64" t="s">
        <v>477</v>
      </c>
      <c r="C115" s="64" t="s">
        <v>432</v>
      </c>
      <c r="D115" s="64" t="s">
        <v>410</v>
      </c>
      <c r="E115" s="64" t="s">
        <v>5</v>
      </c>
      <c r="F115" s="82"/>
      <c r="G115" s="83"/>
      <c r="H115" s="64" t="s">
        <v>596</v>
      </c>
      <c r="I115" s="64" t="s">
        <v>595</v>
      </c>
      <c r="J115" s="84" t="e">
        <v>#N/A</v>
      </c>
      <c r="K115" s="84" t="e">
        <v>#N/A</v>
      </c>
      <c r="L115" s="92" t="e">
        <v>#N/A</v>
      </c>
      <c r="M115" s="84"/>
    </row>
    <row r="116" spans="1:13" ht="18" customHeight="1" x14ac:dyDescent="0.25">
      <c r="A116" s="88">
        <v>44</v>
      </c>
      <c r="B116" s="64" t="s">
        <v>476</v>
      </c>
      <c r="C116" s="64" t="s">
        <v>430</v>
      </c>
      <c r="D116" s="64" t="s">
        <v>410</v>
      </c>
      <c r="E116" s="64" t="s">
        <v>5</v>
      </c>
      <c r="F116" s="82"/>
      <c r="G116" s="83"/>
      <c r="H116" s="64" t="s">
        <v>596</v>
      </c>
      <c r="I116" s="64" t="s">
        <v>595</v>
      </c>
      <c r="J116" s="84" t="e">
        <v>#N/A</v>
      </c>
      <c r="K116" s="84" t="e">
        <v>#N/A</v>
      </c>
      <c r="L116" s="92" t="e">
        <v>#N/A</v>
      </c>
      <c r="M116" s="84"/>
    </row>
    <row r="117" spans="1:13" ht="18" customHeight="1" x14ac:dyDescent="0.25">
      <c r="A117" s="88">
        <v>57</v>
      </c>
      <c r="B117" s="64" t="s">
        <v>480</v>
      </c>
      <c r="C117" s="64" t="s">
        <v>453</v>
      </c>
      <c r="D117" s="64" t="s">
        <v>410</v>
      </c>
      <c r="E117" s="64" t="s">
        <v>5</v>
      </c>
      <c r="F117" s="82"/>
      <c r="G117" s="83"/>
      <c r="H117" s="64" t="s">
        <v>596</v>
      </c>
      <c r="I117" s="64" t="s">
        <v>595</v>
      </c>
      <c r="J117" s="84" t="e">
        <v>#N/A</v>
      </c>
      <c r="K117" s="84" t="e">
        <v>#N/A</v>
      </c>
      <c r="L117" s="92" t="e">
        <v>#N/A</v>
      </c>
      <c r="M117" s="84"/>
    </row>
    <row r="118" spans="1:13" ht="18" customHeight="1" x14ac:dyDescent="0.25">
      <c r="A118" s="88">
        <v>55</v>
      </c>
      <c r="B118" s="87" t="s">
        <v>806</v>
      </c>
      <c r="C118" s="64" t="s">
        <v>452</v>
      </c>
      <c r="D118" s="64" t="s">
        <v>410</v>
      </c>
      <c r="E118" s="64" t="s">
        <v>7</v>
      </c>
      <c r="F118" s="82"/>
      <c r="G118" s="83"/>
      <c r="H118" s="64" t="s">
        <v>804</v>
      </c>
      <c r="I118" s="64"/>
      <c r="J118" s="84" t="e">
        <v>#N/A</v>
      </c>
      <c r="K118" s="84" t="e">
        <v>#N/A</v>
      </c>
      <c r="L118" s="92" t="e">
        <v>#N/A</v>
      </c>
      <c r="M118" s="84"/>
    </row>
    <row r="119" spans="1:13" ht="18" customHeight="1" x14ac:dyDescent="0.25">
      <c r="A119" s="88">
        <v>47</v>
      </c>
      <c r="B119" s="87" t="s">
        <v>803</v>
      </c>
      <c r="C119" s="64" t="s">
        <v>433</v>
      </c>
      <c r="D119" s="64" t="s">
        <v>410</v>
      </c>
      <c r="E119" s="64" t="s">
        <v>7</v>
      </c>
      <c r="F119" s="82"/>
      <c r="G119" s="83"/>
      <c r="H119" s="64" t="s">
        <v>804</v>
      </c>
      <c r="I119" s="64"/>
      <c r="J119" s="84" t="e">
        <v>#N/A</v>
      </c>
      <c r="K119" s="84" t="e">
        <v>#N/A</v>
      </c>
      <c r="L119" s="92" t="e">
        <v>#N/A</v>
      </c>
      <c r="M119" s="84"/>
    </row>
    <row r="120" spans="1:13" ht="18" customHeight="1" x14ac:dyDescent="0.25">
      <c r="A120" s="88">
        <v>43</v>
      </c>
      <c r="B120" s="87" t="s">
        <v>812</v>
      </c>
      <c r="C120" s="64" t="s">
        <v>429</v>
      </c>
      <c r="D120" s="64" t="s">
        <v>410</v>
      </c>
      <c r="E120" s="64" t="s">
        <v>5</v>
      </c>
      <c r="F120" s="82"/>
      <c r="G120" s="83"/>
      <c r="H120" s="64" t="s">
        <v>596</v>
      </c>
      <c r="I120" s="64" t="s">
        <v>595</v>
      </c>
      <c r="J120" s="84" t="e">
        <v>#N/A</v>
      </c>
      <c r="K120" s="84" t="e">
        <v>#N/A</v>
      </c>
      <c r="L120" s="92" t="e">
        <v>#N/A</v>
      </c>
      <c r="M120" s="84"/>
    </row>
    <row r="121" spans="1:13" ht="18" customHeight="1" x14ac:dyDescent="0.25">
      <c r="A121" s="88">
        <v>58</v>
      </c>
      <c r="B121" s="64"/>
      <c r="C121" s="64" t="s">
        <v>454</v>
      </c>
      <c r="D121" s="64" t="s">
        <v>410</v>
      </c>
      <c r="E121" s="64" t="s">
        <v>3</v>
      </c>
      <c r="F121" s="82"/>
      <c r="G121" s="83"/>
      <c r="H121" s="64" t="s">
        <v>478</v>
      </c>
      <c r="I121" s="64" t="s">
        <v>610</v>
      </c>
      <c r="J121" s="84" t="e">
        <v>#N/A</v>
      </c>
      <c r="K121" s="84" t="e">
        <v>#N/A</v>
      </c>
      <c r="L121" s="92" t="e">
        <v>#N/A</v>
      </c>
      <c r="M121" s="84"/>
    </row>
    <row r="122" spans="1:13" ht="18" customHeight="1" x14ac:dyDescent="0.25">
      <c r="A122" s="88">
        <v>68</v>
      </c>
      <c r="B122" s="87" t="s">
        <v>811</v>
      </c>
      <c r="C122" s="64" t="s">
        <v>446</v>
      </c>
      <c r="D122" s="64" t="s">
        <v>410</v>
      </c>
      <c r="E122" s="64" t="s">
        <v>5</v>
      </c>
      <c r="F122" s="82"/>
      <c r="G122" s="83"/>
      <c r="H122" s="64" t="s">
        <v>698</v>
      </c>
      <c r="I122" s="64" t="s">
        <v>693</v>
      </c>
      <c r="J122" s="84" t="e">
        <v>#N/A</v>
      </c>
      <c r="K122" s="84" t="e">
        <v>#N/A</v>
      </c>
      <c r="L122" s="92" t="e">
        <v>#N/A</v>
      </c>
      <c r="M122" s="84"/>
    </row>
    <row r="123" spans="1:13" x14ac:dyDescent="0.25">
      <c r="A123" s="88">
        <v>102</v>
      </c>
      <c r="B123" s="64"/>
      <c r="C123" s="64" t="s">
        <v>170</v>
      </c>
      <c r="D123" s="64" t="s">
        <v>410</v>
      </c>
      <c r="E123" s="64" t="s">
        <v>3</v>
      </c>
      <c r="F123" s="82"/>
      <c r="G123" s="83"/>
      <c r="H123" s="64" t="s">
        <v>699</v>
      </c>
      <c r="I123" s="64" t="s">
        <v>781</v>
      </c>
      <c r="J123" s="84" t="e">
        <v>#N/A</v>
      </c>
      <c r="K123" s="84" t="e">
        <v>#N/A</v>
      </c>
      <c r="L123" s="92" t="e">
        <v>#N/A</v>
      </c>
      <c r="M123" s="84"/>
    </row>
    <row r="124" spans="1:13" x14ac:dyDescent="0.25">
      <c r="A124" s="88">
        <v>104</v>
      </c>
      <c r="B124" s="64"/>
      <c r="C124" s="64" t="s">
        <v>439</v>
      </c>
      <c r="D124" s="64" t="s">
        <v>410</v>
      </c>
      <c r="E124" s="64" t="s">
        <v>3</v>
      </c>
      <c r="F124" s="82"/>
      <c r="G124" s="83"/>
      <c r="H124" s="64"/>
      <c r="I124" s="64" t="s">
        <v>590</v>
      </c>
      <c r="J124" s="84" t="e">
        <v>#N/A</v>
      </c>
      <c r="K124" s="84" t="e">
        <v>#N/A</v>
      </c>
      <c r="L124" s="92" t="e">
        <v>#N/A</v>
      </c>
      <c r="M124" s="84"/>
    </row>
    <row r="125" spans="1:13" x14ac:dyDescent="0.25">
      <c r="A125" s="88">
        <v>105</v>
      </c>
      <c r="B125" s="64"/>
      <c r="C125" s="64" t="s">
        <v>438</v>
      </c>
      <c r="D125" s="64" t="s">
        <v>410</v>
      </c>
      <c r="E125" s="64" t="s">
        <v>3</v>
      </c>
      <c r="F125" s="82"/>
      <c r="G125" s="83"/>
      <c r="H125" s="64" t="s">
        <v>180</v>
      </c>
      <c r="I125" s="64" t="s">
        <v>296</v>
      </c>
      <c r="J125" s="84" t="e">
        <v>#N/A</v>
      </c>
      <c r="K125" s="84" t="e">
        <v>#N/A</v>
      </c>
      <c r="L125" s="92" t="e">
        <v>#N/A</v>
      </c>
      <c r="M125" s="84"/>
    </row>
    <row r="126" spans="1:13" x14ac:dyDescent="0.25">
      <c r="A126" s="88">
        <v>108</v>
      </c>
      <c r="B126" s="64"/>
      <c r="C126" s="64" t="s">
        <v>176</v>
      </c>
      <c r="D126" s="64" t="s">
        <v>410</v>
      </c>
      <c r="E126" s="64" t="s">
        <v>3</v>
      </c>
      <c r="F126" s="82"/>
      <c r="G126" s="83"/>
      <c r="H126" s="64" t="s">
        <v>182</v>
      </c>
      <c r="I126" s="64" t="s">
        <v>591</v>
      </c>
      <c r="J126" s="84" t="e">
        <v>#N/A</v>
      </c>
      <c r="K126" s="84" t="e">
        <v>#N/A</v>
      </c>
      <c r="L126" s="92" t="e">
        <v>#N/A</v>
      </c>
      <c r="M126" s="84"/>
    </row>
    <row r="127" spans="1:13" x14ac:dyDescent="0.25">
      <c r="A127" s="88">
        <v>111</v>
      </c>
      <c r="B127" s="64"/>
      <c r="C127" s="64" t="s">
        <v>178</v>
      </c>
      <c r="D127" s="64" t="s">
        <v>410</v>
      </c>
      <c r="E127" s="64" t="s">
        <v>3</v>
      </c>
      <c r="F127" s="82"/>
      <c r="G127" s="83"/>
      <c r="H127" s="64" t="s">
        <v>705</v>
      </c>
      <c r="I127" s="64"/>
      <c r="J127" s="84" t="e">
        <v>#N/A</v>
      </c>
      <c r="K127" s="84" t="e">
        <v>#N/A</v>
      </c>
      <c r="L127" s="92" t="e">
        <v>#N/A</v>
      </c>
      <c r="M127" s="84"/>
    </row>
    <row r="128" spans="1:13" x14ac:dyDescent="0.25">
      <c r="A128" s="88">
        <v>112</v>
      </c>
      <c r="B128" s="87" t="s">
        <v>802</v>
      </c>
      <c r="C128" s="64" t="s">
        <v>774</v>
      </c>
      <c r="D128" s="64" t="s">
        <v>410</v>
      </c>
      <c r="E128" s="64" t="s">
        <v>7</v>
      </c>
      <c r="F128" s="82"/>
      <c r="G128" s="83"/>
      <c r="H128" s="64" t="s">
        <v>777</v>
      </c>
      <c r="I128" s="64"/>
      <c r="J128" s="84" t="e">
        <v>#N/A</v>
      </c>
      <c r="K128" s="84" t="e">
        <v>#N/A</v>
      </c>
      <c r="L128" s="92" t="e">
        <v>#N/A</v>
      </c>
      <c r="M128" s="84"/>
    </row>
    <row r="129" spans="1:13" x14ac:dyDescent="0.25">
      <c r="A129" s="88">
        <v>112</v>
      </c>
      <c r="B129" s="64" t="s">
        <v>776</v>
      </c>
      <c r="C129" s="64" t="s">
        <v>775</v>
      </c>
      <c r="D129" s="64" t="s">
        <v>410</v>
      </c>
      <c r="E129" s="64" t="s">
        <v>5</v>
      </c>
      <c r="F129" s="82"/>
      <c r="G129" s="83"/>
      <c r="H129" s="64" t="s">
        <v>777</v>
      </c>
      <c r="I129" s="64" t="s">
        <v>693</v>
      </c>
      <c r="J129" s="84" t="e">
        <v>#N/A</v>
      </c>
      <c r="K129" s="84" t="e">
        <v>#N/A</v>
      </c>
      <c r="L129" s="92" t="e">
        <v>#N/A</v>
      </c>
      <c r="M129" s="84"/>
    </row>
    <row r="130" spans="1:13" x14ac:dyDescent="0.25">
      <c r="A130" s="88">
        <v>117</v>
      </c>
      <c r="B130" s="64"/>
      <c r="C130" s="64" t="s">
        <v>421</v>
      </c>
      <c r="D130" s="64" t="s">
        <v>410</v>
      </c>
      <c r="E130" s="64" t="s">
        <v>3</v>
      </c>
      <c r="F130" s="82"/>
      <c r="G130" s="83"/>
      <c r="H130" s="64" t="s">
        <v>699</v>
      </c>
      <c r="I130" s="64" t="s">
        <v>781</v>
      </c>
      <c r="J130" s="84" t="e">
        <v>#N/A</v>
      </c>
      <c r="K130" s="84" t="e">
        <v>#N/A</v>
      </c>
      <c r="L130" s="92" t="e">
        <v>#N/A</v>
      </c>
      <c r="M130" s="84"/>
    </row>
    <row r="131" spans="1:13" x14ac:dyDescent="0.25">
      <c r="A131" s="88">
        <v>118</v>
      </c>
      <c r="B131" s="64"/>
      <c r="C131" s="64" t="s">
        <v>422</v>
      </c>
      <c r="D131" s="64" t="s">
        <v>410</v>
      </c>
      <c r="E131" s="64" t="s">
        <v>3</v>
      </c>
      <c r="F131" s="82"/>
      <c r="G131" s="83"/>
      <c r="H131" s="64" t="s">
        <v>699</v>
      </c>
      <c r="I131" s="64" t="s">
        <v>781</v>
      </c>
      <c r="J131" s="84" t="e">
        <v>#N/A</v>
      </c>
      <c r="K131" s="84" t="e">
        <v>#N/A</v>
      </c>
      <c r="L131" s="92" t="e">
        <v>#N/A</v>
      </c>
      <c r="M131" s="84"/>
    </row>
    <row r="132" spans="1:13" x14ac:dyDescent="0.25">
      <c r="A132" s="88">
        <v>91</v>
      </c>
      <c r="B132" s="64"/>
      <c r="C132" s="64" t="s">
        <v>138</v>
      </c>
      <c r="D132" s="64" t="s">
        <v>410</v>
      </c>
      <c r="E132" s="64" t="s">
        <v>3</v>
      </c>
      <c r="F132" s="82"/>
      <c r="G132" s="83"/>
      <c r="H132" s="64" t="s">
        <v>645</v>
      </c>
      <c r="I132" s="64" t="s">
        <v>592</v>
      </c>
      <c r="J132" s="84" t="e">
        <v>#N/A</v>
      </c>
      <c r="K132" s="84" t="e">
        <v>#N/A</v>
      </c>
      <c r="L132" s="92" t="e">
        <v>#N/A</v>
      </c>
      <c r="M132" s="84"/>
    </row>
    <row r="133" spans="1:13" x14ac:dyDescent="0.25">
      <c r="A133" s="84"/>
      <c r="B133" s="64"/>
      <c r="C133" s="64" t="s">
        <v>469</v>
      </c>
      <c r="D133" s="64" t="s">
        <v>410</v>
      </c>
      <c r="E133" s="64"/>
      <c r="F133" s="82"/>
      <c r="G133" s="64"/>
      <c r="H133" s="64" t="s">
        <v>700</v>
      </c>
      <c r="I133" s="64" t="s">
        <v>592</v>
      </c>
      <c r="J133" s="84" t="e">
        <v>#N/A</v>
      </c>
      <c r="K133" s="84" t="e">
        <v>#N/A</v>
      </c>
      <c r="L133" s="92" t="e">
        <v>#N/A</v>
      </c>
      <c r="M133" s="84"/>
    </row>
    <row r="134" spans="1:13" x14ac:dyDescent="0.25">
      <c r="A134" s="84"/>
      <c r="B134" s="64"/>
      <c r="C134" s="64" t="s">
        <v>599</v>
      </c>
      <c r="D134" s="64" t="s">
        <v>410</v>
      </c>
      <c r="E134" s="64"/>
      <c r="F134" s="82"/>
      <c r="G134" s="64"/>
      <c r="H134" s="64" t="s">
        <v>778</v>
      </c>
      <c r="I134" s="64"/>
      <c r="J134" s="84" t="e">
        <v>#N/A</v>
      </c>
      <c r="K134" s="84" t="e">
        <v>#N/A</v>
      </c>
      <c r="L134" s="92" t="e">
        <v>#N/A</v>
      </c>
      <c r="M134" s="84"/>
    </row>
    <row r="135" spans="1:13" x14ac:dyDescent="0.25">
      <c r="A135" s="84"/>
      <c r="B135" s="64" t="s">
        <v>735</v>
      </c>
      <c r="C135" s="64" t="s">
        <v>600</v>
      </c>
      <c r="D135" s="64" t="s">
        <v>410</v>
      </c>
      <c r="E135" s="64"/>
      <c r="F135" s="82"/>
      <c r="G135" s="64"/>
      <c r="H135" s="64" t="s">
        <v>701</v>
      </c>
      <c r="I135" s="64" t="s">
        <v>734</v>
      </c>
      <c r="J135" s="84" t="e">
        <v>#N/A</v>
      </c>
      <c r="K135" s="84" t="e">
        <v>#N/A</v>
      </c>
      <c r="L135" s="92" t="e">
        <v>#N/A</v>
      </c>
      <c r="M135" s="84"/>
    </row>
    <row r="136" spans="1:13" x14ac:dyDescent="0.25">
      <c r="A136" s="84"/>
      <c r="B136" s="64" t="s">
        <v>735</v>
      </c>
      <c r="C136" s="64" t="s">
        <v>733</v>
      </c>
      <c r="D136" s="64" t="s">
        <v>410</v>
      </c>
      <c r="E136" s="64"/>
      <c r="F136" s="82"/>
      <c r="G136" s="64"/>
      <c r="H136" s="64" t="s">
        <v>701</v>
      </c>
      <c r="I136" s="64" t="s">
        <v>734</v>
      </c>
      <c r="J136" s="84" t="e">
        <v>#N/A</v>
      </c>
      <c r="K136" s="84" t="e">
        <v>#N/A</v>
      </c>
      <c r="L136" s="92" t="e">
        <v>#N/A</v>
      </c>
      <c r="M136" s="84"/>
    </row>
    <row r="137" spans="1:13" x14ac:dyDescent="0.25">
      <c r="A137" s="84"/>
      <c r="B137" s="64"/>
      <c r="C137" s="64" t="s">
        <v>607</v>
      </c>
      <c r="D137" s="64" t="s">
        <v>410</v>
      </c>
      <c r="E137" s="64"/>
      <c r="F137" s="82"/>
      <c r="G137" s="64"/>
      <c r="H137" s="64"/>
      <c r="I137" s="64" t="s">
        <v>608</v>
      </c>
      <c r="J137" s="84" t="e">
        <v>#N/A</v>
      </c>
      <c r="K137" s="84" t="e">
        <v>#N/A</v>
      </c>
      <c r="L137" s="92" t="e">
        <v>#N/A</v>
      </c>
      <c r="M137" s="84"/>
    </row>
    <row r="138" spans="1:13" x14ac:dyDescent="0.25">
      <c r="A138" s="84"/>
      <c r="B138" s="64"/>
      <c r="C138" s="64" t="s">
        <v>641</v>
      </c>
      <c r="D138" s="64" t="s">
        <v>410</v>
      </c>
      <c r="E138" s="64"/>
      <c r="F138" s="82"/>
      <c r="G138" s="64"/>
      <c r="H138" s="64" t="s">
        <v>779</v>
      </c>
      <c r="I138" s="64" t="s">
        <v>737</v>
      </c>
      <c r="J138" s="84" t="e">
        <v>#N/A</v>
      </c>
      <c r="K138" s="84" t="e">
        <v>#N/A</v>
      </c>
      <c r="L138" s="92" t="e">
        <v>#N/A</v>
      </c>
      <c r="M138" s="84"/>
    </row>
    <row r="139" spans="1:13" x14ac:dyDescent="0.25">
      <c r="A139" s="84"/>
      <c r="B139" s="87" t="s">
        <v>813</v>
      </c>
      <c r="C139" s="84" t="s">
        <v>725</v>
      </c>
      <c r="D139" s="84" t="s">
        <v>410</v>
      </c>
      <c r="E139" s="64" t="s">
        <v>5</v>
      </c>
      <c r="F139" s="86"/>
      <c r="G139" s="84"/>
      <c r="H139" s="84" t="s">
        <v>736</v>
      </c>
      <c r="I139" s="84" t="s">
        <v>693</v>
      </c>
      <c r="J139" s="84" t="e">
        <v>#N/A</v>
      </c>
      <c r="K139" s="84" t="e">
        <v>#N/A</v>
      </c>
      <c r="L139" s="92" t="e">
        <v>#N/A</v>
      </c>
      <c r="M139" s="84"/>
    </row>
    <row r="140" spans="1:13" x14ac:dyDescent="0.25">
      <c r="A140" s="84"/>
      <c r="B140" s="87" t="s">
        <v>807</v>
      </c>
      <c r="C140" s="84" t="s">
        <v>726</v>
      </c>
      <c r="D140" s="84" t="s">
        <v>410</v>
      </c>
      <c r="E140" s="64" t="s">
        <v>7</v>
      </c>
      <c r="F140" s="86"/>
      <c r="G140" s="84"/>
      <c r="H140" s="84" t="s">
        <v>808</v>
      </c>
      <c r="I140" s="84"/>
      <c r="J140" s="84" t="e">
        <v>#N/A</v>
      </c>
      <c r="K140" s="84" t="e">
        <v>#N/A</v>
      </c>
      <c r="L140" s="92" t="e">
        <v>#N/A</v>
      </c>
      <c r="M140" s="84"/>
    </row>
    <row r="141" spans="1:13" x14ac:dyDescent="0.25">
      <c r="A141" s="84"/>
      <c r="B141" s="87" t="s">
        <v>799</v>
      </c>
      <c r="C141" s="84"/>
      <c r="D141" s="84"/>
      <c r="E141" s="84"/>
      <c r="F141" s="86"/>
      <c r="G141" s="84"/>
      <c r="H141" s="84"/>
      <c r="I141" s="84"/>
      <c r="J141" s="84" t="s">
        <v>784</v>
      </c>
      <c r="K141" s="84" t="s">
        <v>739</v>
      </c>
      <c r="L141" s="92">
        <v>120</v>
      </c>
      <c r="M141" s="84"/>
    </row>
    <row r="142" spans="1:13" x14ac:dyDescent="0.25">
      <c r="A142" s="84"/>
      <c r="B142" s="87" t="s">
        <v>800</v>
      </c>
      <c r="C142" s="84"/>
      <c r="D142" s="84"/>
      <c r="E142" s="84"/>
      <c r="F142" s="86"/>
      <c r="G142" s="84"/>
      <c r="H142" s="84"/>
      <c r="I142" s="84"/>
      <c r="J142" s="84" t="s">
        <v>741</v>
      </c>
      <c r="K142" s="84" t="s">
        <v>742</v>
      </c>
      <c r="L142" s="92">
        <v>1460</v>
      </c>
      <c r="M142" s="84"/>
    </row>
    <row r="143" spans="1:13" x14ac:dyDescent="0.25">
      <c r="A143" s="84"/>
      <c r="B143" s="87" t="s">
        <v>801</v>
      </c>
      <c r="C143" s="84"/>
      <c r="D143" s="84"/>
      <c r="E143" s="84"/>
      <c r="F143" s="86"/>
      <c r="G143" s="84"/>
      <c r="H143" s="84"/>
      <c r="I143" s="84"/>
      <c r="J143" s="84" t="s">
        <v>738</v>
      </c>
      <c r="K143" s="84" t="s">
        <v>739</v>
      </c>
      <c r="L143" s="92">
        <v>250</v>
      </c>
      <c r="M143" s="84"/>
    </row>
    <row r="144" spans="1:13" x14ac:dyDescent="0.25">
      <c r="A144" s="88">
        <v>85</v>
      </c>
      <c r="B144" s="64"/>
      <c r="C144" s="64" t="s">
        <v>133</v>
      </c>
      <c r="D144" s="64"/>
      <c r="E144" s="64" t="s">
        <v>3</v>
      </c>
      <c r="F144" s="82"/>
      <c r="G144" s="83"/>
      <c r="H144" s="64" t="s">
        <v>399</v>
      </c>
      <c r="I144" s="64" t="s">
        <v>594</v>
      </c>
      <c r="J144" s="84" t="e">
        <v>#N/A</v>
      </c>
      <c r="K144" s="84" t="e">
        <v>#N/A</v>
      </c>
      <c r="L144" s="92" t="e">
        <v>#N/A</v>
      </c>
      <c r="M144" s="84"/>
    </row>
    <row r="145" spans="1:13" x14ac:dyDescent="0.25">
      <c r="A145" s="84"/>
      <c r="B145" s="89" t="s">
        <v>780</v>
      </c>
      <c r="C145" s="64" t="s">
        <v>647</v>
      </c>
      <c r="D145" s="64"/>
      <c r="E145" s="64"/>
      <c r="F145" s="82"/>
      <c r="G145" s="64"/>
      <c r="H145" s="64"/>
      <c r="I145" s="64" t="s">
        <v>648</v>
      </c>
      <c r="J145" s="84" t="e">
        <v>#N/A</v>
      </c>
      <c r="K145" s="84" t="e">
        <v>#N/A</v>
      </c>
      <c r="L145" s="92" t="e">
        <v>#N/A</v>
      </c>
      <c r="M145" s="84"/>
    </row>
    <row r="146" spans="1:13" x14ac:dyDescent="0.25">
      <c r="A146" s="84"/>
      <c r="B146" s="64"/>
      <c r="C146" s="64" t="s">
        <v>650</v>
      </c>
      <c r="D146" s="64"/>
      <c r="E146" s="64"/>
      <c r="F146" s="82"/>
      <c r="G146" s="64"/>
      <c r="H146" s="64"/>
      <c r="I146" s="64" t="s">
        <v>694</v>
      </c>
      <c r="J146" s="84" t="e">
        <v>#N/A</v>
      </c>
      <c r="K146" s="84" t="e">
        <v>#N/A</v>
      </c>
      <c r="L146" s="92" t="e">
        <v>#N/A</v>
      </c>
      <c r="M146" s="84"/>
    </row>
    <row r="147" spans="1:13" x14ac:dyDescent="0.25">
      <c r="A147" s="84"/>
      <c r="B147" s="64"/>
      <c r="C147" s="64" t="s">
        <v>675</v>
      </c>
      <c r="D147" s="64"/>
      <c r="E147" s="64"/>
      <c r="F147" s="82"/>
      <c r="G147" s="64"/>
      <c r="H147" s="64" t="s">
        <v>677</v>
      </c>
      <c r="I147" s="64" t="s">
        <v>676</v>
      </c>
      <c r="J147" s="84" t="e">
        <v>#N/A</v>
      </c>
      <c r="K147" s="84" t="e">
        <v>#N/A</v>
      </c>
      <c r="L147" s="92" t="e">
        <v>#N/A</v>
      </c>
      <c r="M147" s="84"/>
    </row>
    <row r="148" spans="1:13" x14ac:dyDescent="0.25">
      <c r="A148" s="84"/>
      <c r="B148" s="64"/>
      <c r="C148" s="64" t="s">
        <v>678</v>
      </c>
      <c r="D148" s="64"/>
      <c r="E148" s="64"/>
      <c r="F148" s="82"/>
      <c r="G148" s="64"/>
      <c r="H148" s="64" t="s">
        <v>677</v>
      </c>
      <c r="I148" s="64" t="s">
        <v>676</v>
      </c>
      <c r="J148" s="84" t="e">
        <v>#N/A</v>
      </c>
      <c r="K148" s="84" t="e">
        <v>#N/A</v>
      </c>
      <c r="L148" s="92" t="e">
        <v>#N/A</v>
      </c>
      <c r="M148" s="84"/>
    </row>
    <row r="149" spans="1:13" x14ac:dyDescent="0.25">
      <c r="A149" s="84"/>
      <c r="B149" s="64"/>
      <c r="C149" s="64" t="s">
        <v>679</v>
      </c>
      <c r="D149" s="64"/>
      <c r="E149" s="64"/>
      <c r="F149" s="82"/>
      <c r="G149" s="64"/>
      <c r="H149" s="64" t="s">
        <v>680</v>
      </c>
      <c r="I149" s="64" t="s">
        <v>682</v>
      </c>
      <c r="J149" s="84" t="e">
        <v>#N/A</v>
      </c>
      <c r="K149" s="84" t="e">
        <v>#N/A</v>
      </c>
      <c r="L149" s="92" t="e">
        <v>#N/A</v>
      </c>
      <c r="M149" s="84"/>
    </row>
    <row r="150" spans="1:13" x14ac:dyDescent="0.25">
      <c r="A150" s="84"/>
      <c r="B150" s="64"/>
      <c r="C150" s="64" t="s">
        <v>681</v>
      </c>
      <c r="D150" s="64"/>
      <c r="E150" s="64"/>
      <c r="F150" s="82"/>
      <c r="G150" s="64"/>
      <c r="H150" s="64"/>
      <c r="I150" s="64" t="s">
        <v>683</v>
      </c>
      <c r="J150" s="84" t="e">
        <v>#N/A</v>
      </c>
      <c r="K150" s="84" t="e">
        <v>#N/A</v>
      </c>
      <c r="L150" s="92" t="e">
        <v>#N/A</v>
      </c>
      <c r="M150" s="84"/>
    </row>
    <row r="154" spans="1:13" ht="18" customHeight="1" x14ac:dyDescent="0.25">
      <c r="A154" s="88">
        <v>101</v>
      </c>
      <c r="B154" s="64"/>
      <c r="C154" s="64" t="s">
        <v>169</v>
      </c>
      <c r="D154" s="64" t="s">
        <v>157</v>
      </c>
      <c r="E154" s="64" t="s">
        <v>3</v>
      </c>
      <c r="F154" s="82"/>
      <c r="G154" s="83"/>
      <c r="H154" s="64" t="s">
        <v>179</v>
      </c>
      <c r="I154" s="64" t="s">
        <v>589</v>
      </c>
      <c r="J154" s="84" t="e">
        <v>#N/A</v>
      </c>
      <c r="K154" s="84" t="e">
        <v>#N/A</v>
      </c>
      <c r="L154" s="92" t="e">
        <v>#N/A</v>
      </c>
      <c r="M154" s="84"/>
    </row>
  </sheetData>
  <autoFilter ref="A10:Q150" xr:uid="{00000000-0001-0000-0100-000000000000}">
    <sortState xmlns:xlrd2="http://schemas.microsoft.com/office/spreadsheetml/2017/richdata2" ref="A11:Q150">
      <sortCondition ref="D10:D150"/>
    </sortState>
  </autoFilter>
  <mergeCells count="10">
    <mergeCell ref="A4:B4"/>
    <mergeCell ref="D4:L4"/>
    <mergeCell ref="A9:I9"/>
    <mergeCell ref="A1:L1"/>
    <mergeCell ref="A2:B2"/>
    <mergeCell ref="C2:E2"/>
    <mergeCell ref="F2:L2"/>
    <mergeCell ref="A3:B3"/>
    <mergeCell ref="C3:E3"/>
    <mergeCell ref="F3:L3"/>
  </mergeCells>
  <dataValidations count="4">
    <dataValidation type="list" allowBlank="1" sqref="D27:D28 D154 D30:D55 D56:D122" xr:uid="{00000000-0002-0000-0100-000000000000}">
      <formula1>"Spares,Stores,Lube Oil,Chemicals,Lashing Gear,Others"</formula1>
      <formula2>0</formula2>
    </dataValidation>
    <dataValidation type="list" allowBlank="1" sqref="E82:E122 E154 E11:E55 E56:E80" xr:uid="{7D8C52EB-3878-4569-B15D-8CCE8CA68731}">
      <formula1>"Not Created,To Be Created,Pending Approval,Approved &amp; Issued,Pending Delivery,Delivered"</formula1>
    </dataValidation>
    <dataValidation type="list" allowBlank="1" showInputMessage="1" showErrorMessage="1" promptTitle="Check if agreement in place" prompt="To check with relevant category managers on status of the supplier contracts _x000a_" sqref="M11" xr:uid="{24FE89EB-3C24-44E7-9573-5439699C1DC8}">
      <formula1>$S$10:$S$13</formula1>
    </dataValidation>
    <dataValidation type="list" allowBlank="1" showInputMessage="1" showErrorMessage="1" promptTitle="Testing" prompt="Testing 1_x000a_" sqref="M154 M12:M150" xr:uid="{88299579-59D7-4A6D-9758-26CF9D95C49F}">
      <formula1>$M$11:$M$150</formula1>
    </dataValidation>
  </dataValidations>
  <pageMargins left="0.75" right="0.75" top="1" bottom="1" header="0.511811023622047" footer="0.511811023622047"/>
  <pageSetup paperSize="9"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13"/>
  <sheetViews>
    <sheetView showGridLines="0" zoomScale="135" zoomScaleNormal="70" workbookViewId="0">
      <pane ySplit="10" topLeftCell="A11" activePane="bottomLeft" state="frozen"/>
      <selection pane="bottomLeft" activeCell="C109" sqref="C109"/>
    </sheetView>
  </sheetViews>
  <sheetFormatPr defaultColWidth="8.5703125" defaultRowHeight="15" x14ac:dyDescent="0.25"/>
  <cols>
    <col min="1" max="1" width="6.85546875" bestFit="1" customWidth="1"/>
    <col min="2" max="2" width="16.42578125" bestFit="1" customWidth="1"/>
    <col min="3" max="3" width="73.140625" bestFit="1" customWidth="1"/>
    <col min="4" max="4" width="8.28515625" bestFit="1" customWidth="1"/>
    <col min="5" max="5" width="14.85546875" bestFit="1" customWidth="1"/>
    <col min="6" max="6" width="11.28515625" bestFit="1" customWidth="1"/>
    <col min="7" max="7" width="12.5703125" bestFit="1" customWidth="1"/>
    <col min="8" max="8" width="57.42578125" bestFit="1" customWidth="1"/>
    <col min="9" max="9" width="11.140625" bestFit="1" customWidth="1"/>
    <col min="10" max="11" width="4" customWidth="1"/>
  </cols>
  <sheetData>
    <row r="1" spans="1:11" ht="36" customHeight="1" x14ac:dyDescent="0.25">
      <c r="A1" s="125" t="s">
        <v>13</v>
      </c>
      <c r="B1" s="125"/>
      <c r="C1" s="125"/>
      <c r="D1" s="125"/>
      <c r="E1" s="125"/>
      <c r="F1" s="125"/>
      <c r="G1" s="125"/>
      <c r="H1" s="125"/>
      <c r="I1" s="125"/>
      <c r="J1" s="125"/>
      <c r="K1" s="125"/>
    </row>
    <row r="2" spans="1:11" ht="24" customHeight="1" x14ac:dyDescent="0.25">
      <c r="A2" s="122" t="s">
        <v>14</v>
      </c>
      <c r="B2" s="122"/>
      <c r="C2" s="126" t="s">
        <v>186</v>
      </c>
      <c r="D2" s="126"/>
      <c r="E2" s="126"/>
      <c r="F2" s="123" t="s">
        <v>15</v>
      </c>
      <c r="G2" s="123"/>
      <c r="H2" s="123"/>
      <c r="I2" s="123"/>
      <c r="J2" s="123"/>
      <c r="K2" s="123"/>
    </row>
    <row r="3" spans="1:11" ht="24" customHeight="1" x14ac:dyDescent="0.25">
      <c r="A3" s="122" t="s">
        <v>16</v>
      </c>
      <c r="B3" s="122"/>
      <c r="C3" s="126" t="s">
        <v>185</v>
      </c>
      <c r="D3" s="126"/>
      <c r="E3" s="126"/>
      <c r="F3" s="123" t="s">
        <v>17</v>
      </c>
      <c r="G3" s="123"/>
      <c r="H3" s="123"/>
      <c r="I3" s="123"/>
      <c r="J3" s="123"/>
      <c r="K3" s="123"/>
    </row>
    <row r="4" spans="1:11" ht="24" customHeight="1" x14ac:dyDescent="0.25">
      <c r="A4" s="122" t="s">
        <v>18</v>
      </c>
      <c r="B4" s="122"/>
      <c r="C4" s="22"/>
      <c r="D4" s="123" t="s">
        <v>19</v>
      </c>
      <c r="E4" s="123"/>
      <c r="F4" s="123"/>
      <c r="G4" s="123"/>
      <c r="H4" s="123"/>
      <c r="I4" s="123"/>
      <c r="J4" s="123"/>
      <c r="K4" s="123"/>
    </row>
    <row r="5" spans="1:11" ht="7.5" customHeight="1" x14ac:dyDescent="0.25"/>
    <row r="6" spans="1:11" ht="21.75" customHeight="1" x14ac:dyDescent="0.25">
      <c r="A6" s="23" t="s">
        <v>3</v>
      </c>
      <c r="B6" s="24" t="s">
        <v>4</v>
      </c>
      <c r="C6" s="25" t="s">
        <v>5</v>
      </c>
      <c r="D6" s="26" t="s">
        <v>6</v>
      </c>
      <c r="E6" s="27" t="s">
        <v>7</v>
      </c>
      <c r="F6" s="28" t="s">
        <v>8</v>
      </c>
      <c r="G6" s="1" t="s">
        <v>9</v>
      </c>
      <c r="H6" s="8" t="s">
        <v>10</v>
      </c>
      <c r="I6" s="7" t="s">
        <v>11</v>
      </c>
    </row>
    <row r="7" spans="1:11" ht="21.75" customHeight="1" x14ac:dyDescent="0.25">
      <c r="A7" s="29">
        <f>COUNTIF(E11:E113,"Not Created")</f>
        <v>1</v>
      </c>
      <c r="B7" s="29">
        <f>COUNTIF(E11:E113,"To Be Created")</f>
        <v>0</v>
      </c>
      <c r="C7" s="29">
        <f>COUNTIF(E11:E113,"Pending Approval")</f>
        <v>9</v>
      </c>
      <c r="D7" s="29">
        <f>COUNTIF(E11:E113,"Approved &amp; Issued")</f>
        <v>0</v>
      </c>
      <c r="E7" s="29">
        <f>COUNTIF(E11:E113,"Pending Delivery")</f>
        <v>23</v>
      </c>
      <c r="F7" s="29">
        <f>COUNTIF(E11:E113,"Delivered")</f>
        <v>0</v>
      </c>
      <c r="G7" s="29">
        <f>COUNTA(B11:B113)</f>
        <v>39</v>
      </c>
      <c r="H7" s="30">
        <f>IF(G7&gt;0,(D7+E7)/G7,0)</f>
        <v>0.58974358974358976</v>
      </c>
      <c r="I7" s="30">
        <f>IF(G7&gt;0,F7/G7,0)</f>
        <v>0</v>
      </c>
    </row>
    <row r="8" spans="1:11" ht="7.5" customHeight="1" x14ac:dyDescent="0.25"/>
    <row r="9" spans="1:11" ht="18" customHeight="1" x14ac:dyDescent="0.25">
      <c r="A9" s="124" t="s">
        <v>20</v>
      </c>
      <c r="B9" s="124"/>
      <c r="C9" s="124"/>
      <c r="D9" s="124"/>
      <c r="E9" s="124"/>
      <c r="F9" s="124"/>
      <c r="G9" s="124"/>
      <c r="H9" s="124"/>
      <c r="I9" s="124"/>
    </row>
    <row r="10" spans="1:11" ht="30" customHeight="1" x14ac:dyDescent="0.25">
      <c r="A10" s="1" t="s">
        <v>21</v>
      </c>
      <c r="B10" s="1" t="s">
        <v>22</v>
      </c>
      <c r="C10" s="1" t="s">
        <v>23</v>
      </c>
      <c r="D10" s="1" t="s">
        <v>24</v>
      </c>
      <c r="E10" s="1" t="s">
        <v>25</v>
      </c>
      <c r="F10" s="1" t="s">
        <v>26</v>
      </c>
      <c r="G10" s="1" t="s">
        <v>27</v>
      </c>
      <c r="H10" s="1" t="s">
        <v>28</v>
      </c>
    </row>
    <row r="11" spans="1:11" ht="18" customHeight="1" x14ac:dyDescent="0.25">
      <c r="A11" s="46">
        <v>1</v>
      </c>
      <c r="B11" s="47" t="s">
        <v>187</v>
      </c>
      <c r="C11" s="47" t="s">
        <v>86</v>
      </c>
      <c r="D11" s="48" t="s">
        <v>157</v>
      </c>
      <c r="E11" s="48" t="s">
        <v>7</v>
      </c>
      <c r="F11" s="49" t="s">
        <v>153</v>
      </c>
      <c r="G11" s="49">
        <v>46079</v>
      </c>
      <c r="H11" s="47" t="s">
        <v>160</v>
      </c>
    </row>
    <row r="12" spans="1:11" ht="18" customHeight="1" x14ac:dyDescent="0.25">
      <c r="A12" s="46">
        <v>2</v>
      </c>
      <c r="B12" s="50" t="s">
        <v>188</v>
      </c>
      <c r="C12" s="50" t="s">
        <v>209</v>
      </c>
      <c r="D12" s="51" t="s">
        <v>158</v>
      </c>
      <c r="E12" s="51" t="s">
        <v>5</v>
      </c>
      <c r="F12" s="52" t="s">
        <v>151</v>
      </c>
      <c r="G12" s="52"/>
      <c r="H12" s="50" t="s">
        <v>230</v>
      </c>
    </row>
    <row r="13" spans="1:11" ht="18" customHeight="1" x14ac:dyDescent="0.25">
      <c r="A13" s="46">
        <v>3</v>
      </c>
      <c r="B13" s="47" t="s">
        <v>189</v>
      </c>
      <c r="C13" s="47" t="s">
        <v>210</v>
      </c>
      <c r="D13" s="48" t="s">
        <v>157</v>
      </c>
      <c r="E13" s="48" t="s">
        <v>7</v>
      </c>
      <c r="F13" s="49" t="s">
        <v>140</v>
      </c>
      <c r="G13" s="49">
        <v>46079</v>
      </c>
      <c r="H13" s="47" t="s">
        <v>160</v>
      </c>
    </row>
    <row r="14" spans="1:11" ht="18" customHeight="1" x14ac:dyDescent="0.25">
      <c r="A14" s="46">
        <v>4</v>
      </c>
      <c r="B14" s="50" t="s">
        <v>190</v>
      </c>
      <c r="C14" s="50" t="s">
        <v>39</v>
      </c>
      <c r="D14" s="51" t="s">
        <v>157</v>
      </c>
      <c r="E14" s="51" t="s">
        <v>7</v>
      </c>
      <c r="F14" s="52" t="s">
        <v>141</v>
      </c>
      <c r="G14" s="52">
        <v>46079</v>
      </c>
      <c r="H14" s="50" t="s">
        <v>160</v>
      </c>
    </row>
    <row r="15" spans="1:11" ht="18" customHeight="1" x14ac:dyDescent="0.25">
      <c r="A15" s="46">
        <v>5</v>
      </c>
      <c r="B15" s="47" t="s">
        <v>191</v>
      </c>
      <c r="C15" s="47" t="s">
        <v>211</v>
      </c>
      <c r="D15" s="48" t="s">
        <v>157</v>
      </c>
      <c r="E15" s="48" t="s">
        <v>7</v>
      </c>
      <c r="F15" s="49" t="s">
        <v>145</v>
      </c>
      <c r="G15" s="49">
        <v>46079</v>
      </c>
      <c r="H15" s="47" t="s">
        <v>160</v>
      </c>
    </row>
    <row r="16" spans="1:11" ht="18" customHeight="1" x14ac:dyDescent="0.25">
      <c r="A16" s="46">
        <v>6</v>
      </c>
      <c r="B16" s="50" t="s">
        <v>192</v>
      </c>
      <c r="C16" s="50" t="s">
        <v>212</v>
      </c>
      <c r="D16" s="51" t="s">
        <v>157</v>
      </c>
      <c r="E16" s="51" t="s">
        <v>7</v>
      </c>
      <c r="F16" s="52" t="s">
        <v>141</v>
      </c>
      <c r="G16" s="52">
        <v>46079</v>
      </c>
      <c r="H16" s="50" t="s">
        <v>160</v>
      </c>
    </row>
    <row r="17" spans="1:8" ht="18" customHeight="1" x14ac:dyDescent="0.25">
      <c r="A17" s="46">
        <v>7</v>
      </c>
      <c r="B17" s="47" t="s">
        <v>193</v>
      </c>
      <c r="C17" s="47" t="s">
        <v>213</v>
      </c>
      <c r="D17" s="48" t="s">
        <v>158</v>
      </c>
      <c r="E17" s="48" t="s">
        <v>7</v>
      </c>
      <c r="F17" s="49" t="s">
        <v>154</v>
      </c>
      <c r="G17" s="49"/>
      <c r="H17" s="47" t="s">
        <v>223</v>
      </c>
    </row>
    <row r="18" spans="1:8" ht="18" customHeight="1" x14ac:dyDescent="0.25">
      <c r="A18" s="46">
        <v>8</v>
      </c>
      <c r="B18" s="50" t="s">
        <v>194</v>
      </c>
      <c r="C18" s="50" t="s">
        <v>214</v>
      </c>
      <c r="D18" s="51" t="s">
        <v>157</v>
      </c>
      <c r="E18" s="51" t="s">
        <v>7</v>
      </c>
      <c r="F18" s="52" t="s">
        <v>140</v>
      </c>
      <c r="G18" s="52">
        <v>46079</v>
      </c>
      <c r="H18" s="50" t="s">
        <v>160</v>
      </c>
    </row>
    <row r="19" spans="1:8" ht="18" customHeight="1" x14ac:dyDescent="0.25">
      <c r="A19" s="46">
        <v>9</v>
      </c>
      <c r="B19" s="47" t="s">
        <v>195</v>
      </c>
      <c r="C19" s="47" t="s">
        <v>101</v>
      </c>
      <c r="D19" s="48" t="s">
        <v>157</v>
      </c>
      <c r="E19" s="48" t="s">
        <v>7</v>
      </c>
      <c r="F19" s="49" t="s">
        <v>155</v>
      </c>
      <c r="G19" s="49">
        <v>46079</v>
      </c>
      <c r="H19" s="47" t="s">
        <v>160</v>
      </c>
    </row>
    <row r="20" spans="1:8" ht="18" customHeight="1" x14ac:dyDescent="0.25">
      <c r="A20" s="46">
        <v>10</v>
      </c>
      <c r="B20" s="50" t="s">
        <v>196</v>
      </c>
      <c r="C20" s="50" t="s">
        <v>54</v>
      </c>
      <c r="D20" s="51"/>
      <c r="E20" s="51" t="s">
        <v>3</v>
      </c>
      <c r="F20" s="52" t="s">
        <v>151</v>
      </c>
      <c r="G20" s="52"/>
      <c r="H20" s="50" t="s">
        <v>224</v>
      </c>
    </row>
    <row r="21" spans="1:8" ht="18" customHeight="1" x14ac:dyDescent="0.25">
      <c r="A21" s="46">
        <v>11</v>
      </c>
      <c r="B21" s="47" t="s">
        <v>197</v>
      </c>
      <c r="C21" s="47" t="s">
        <v>49</v>
      </c>
      <c r="D21" s="48" t="s">
        <v>157</v>
      </c>
      <c r="E21" s="48" t="s">
        <v>7</v>
      </c>
      <c r="F21" s="49" t="s">
        <v>143</v>
      </c>
      <c r="G21" s="49">
        <v>46079</v>
      </c>
      <c r="H21" s="47" t="s">
        <v>160</v>
      </c>
    </row>
    <row r="22" spans="1:8" ht="18" customHeight="1" x14ac:dyDescent="0.25">
      <c r="A22" s="46">
        <v>12</v>
      </c>
      <c r="B22" s="50" t="s">
        <v>198</v>
      </c>
      <c r="C22" s="50" t="s">
        <v>215</v>
      </c>
      <c r="D22" s="51" t="s">
        <v>157</v>
      </c>
      <c r="E22" s="51" t="s">
        <v>7</v>
      </c>
      <c r="F22" s="52" t="s">
        <v>140</v>
      </c>
      <c r="G22" s="52">
        <v>46079</v>
      </c>
      <c r="H22" s="50" t="s">
        <v>160</v>
      </c>
    </row>
    <row r="23" spans="1:8" ht="18" customHeight="1" x14ac:dyDescent="0.25">
      <c r="A23" s="46">
        <v>13</v>
      </c>
      <c r="B23" s="47" t="s">
        <v>199</v>
      </c>
      <c r="C23" s="47" t="s">
        <v>59</v>
      </c>
      <c r="D23" s="48" t="s">
        <v>158</v>
      </c>
      <c r="E23" s="48" t="s">
        <v>7</v>
      </c>
      <c r="F23" s="49" t="s">
        <v>222</v>
      </c>
      <c r="G23" s="49"/>
      <c r="H23" s="47" t="s">
        <v>225</v>
      </c>
    </row>
    <row r="24" spans="1:8" ht="18" customHeight="1" x14ac:dyDescent="0.25">
      <c r="A24" s="46">
        <v>14</v>
      </c>
      <c r="B24" s="50" t="s">
        <v>200</v>
      </c>
      <c r="C24" s="50" t="s">
        <v>45</v>
      </c>
      <c r="D24" s="51" t="s">
        <v>157</v>
      </c>
      <c r="E24" s="51" t="s">
        <v>7</v>
      </c>
      <c r="F24" s="52">
        <v>46043</v>
      </c>
      <c r="G24" s="52">
        <v>46079</v>
      </c>
      <c r="H24" s="50" t="s">
        <v>160</v>
      </c>
    </row>
    <row r="25" spans="1:8" ht="18" customHeight="1" x14ac:dyDescent="0.25">
      <c r="A25" s="46">
        <v>15</v>
      </c>
      <c r="B25" s="47" t="s">
        <v>201</v>
      </c>
      <c r="C25" s="47" t="s">
        <v>216</v>
      </c>
      <c r="D25" s="48" t="s">
        <v>158</v>
      </c>
      <c r="E25" s="48" t="s">
        <v>7</v>
      </c>
      <c r="F25" s="49" t="s">
        <v>150</v>
      </c>
      <c r="G25" s="49"/>
      <c r="H25" s="47" t="s">
        <v>226</v>
      </c>
    </row>
    <row r="26" spans="1:8" ht="18" customHeight="1" x14ac:dyDescent="0.25">
      <c r="A26" s="46">
        <v>16</v>
      </c>
      <c r="B26" s="50" t="s">
        <v>202</v>
      </c>
      <c r="C26" s="50" t="s">
        <v>217</v>
      </c>
      <c r="D26" s="51" t="s">
        <v>157</v>
      </c>
      <c r="E26" s="51" t="s">
        <v>7</v>
      </c>
      <c r="F26" s="52" t="s">
        <v>145</v>
      </c>
      <c r="G26" s="52">
        <v>46079</v>
      </c>
      <c r="H26" s="50" t="s">
        <v>160</v>
      </c>
    </row>
    <row r="27" spans="1:8" ht="18" customHeight="1" x14ac:dyDescent="0.25">
      <c r="A27" s="46">
        <v>17</v>
      </c>
      <c r="B27" s="47" t="s">
        <v>203</v>
      </c>
      <c r="C27" s="47" t="s">
        <v>218</v>
      </c>
      <c r="D27" s="48" t="s">
        <v>157</v>
      </c>
      <c r="E27" s="48" t="s">
        <v>7</v>
      </c>
      <c r="F27" s="49" t="s">
        <v>143</v>
      </c>
      <c r="G27" s="49">
        <v>46079</v>
      </c>
      <c r="H27" s="47" t="s">
        <v>160</v>
      </c>
    </row>
    <row r="28" spans="1:8" ht="18" customHeight="1" x14ac:dyDescent="0.25">
      <c r="A28" s="46">
        <v>18</v>
      </c>
      <c r="B28" s="50" t="s">
        <v>204</v>
      </c>
      <c r="C28" s="50" t="s">
        <v>219</v>
      </c>
      <c r="D28" s="51" t="s">
        <v>163</v>
      </c>
      <c r="E28" s="51" t="s">
        <v>7</v>
      </c>
      <c r="F28" s="52" t="s">
        <v>155</v>
      </c>
      <c r="G28" s="52">
        <v>46127</v>
      </c>
      <c r="H28" s="50" t="s">
        <v>227</v>
      </c>
    </row>
    <row r="29" spans="1:8" ht="18" customHeight="1" x14ac:dyDescent="0.25">
      <c r="A29" s="46">
        <v>19</v>
      </c>
      <c r="B29" s="47" t="s">
        <v>205</v>
      </c>
      <c r="C29" s="47" t="s">
        <v>74</v>
      </c>
      <c r="D29" s="48" t="s">
        <v>158</v>
      </c>
      <c r="E29" s="48" t="s">
        <v>7</v>
      </c>
      <c r="F29" s="49" t="s">
        <v>222</v>
      </c>
      <c r="G29" s="49"/>
      <c r="H29" s="47" t="s">
        <v>225</v>
      </c>
    </row>
    <row r="30" spans="1:8" ht="18" customHeight="1" x14ac:dyDescent="0.25">
      <c r="A30" s="46">
        <v>20</v>
      </c>
      <c r="B30" s="50" t="s">
        <v>206</v>
      </c>
      <c r="C30" s="50" t="s">
        <v>82</v>
      </c>
      <c r="D30" s="51" t="s">
        <v>157</v>
      </c>
      <c r="E30" s="51" t="s">
        <v>7</v>
      </c>
      <c r="F30" s="52" t="s">
        <v>151</v>
      </c>
      <c r="G30" s="52">
        <v>46079</v>
      </c>
      <c r="H30" s="50" t="s">
        <v>160</v>
      </c>
    </row>
    <row r="31" spans="1:8" ht="18" customHeight="1" x14ac:dyDescent="0.25">
      <c r="A31" s="46">
        <v>21</v>
      </c>
      <c r="B31" s="47" t="s">
        <v>494</v>
      </c>
      <c r="C31" s="47" t="s">
        <v>103</v>
      </c>
      <c r="D31" s="48" t="s">
        <v>157</v>
      </c>
      <c r="E31" s="48" t="s">
        <v>7</v>
      </c>
      <c r="F31" s="49">
        <v>46086</v>
      </c>
      <c r="G31" s="49">
        <v>46079</v>
      </c>
      <c r="H31" s="47" t="s">
        <v>160</v>
      </c>
    </row>
    <row r="32" spans="1:8" ht="18" customHeight="1" x14ac:dyDescent="0.25">
      <c r="A32" s="46">
        <v>22</v>
      </c>
      <c r="B32" s="50" t="s">
        <v>495</v>
      </c>
      <c r="C32" s="50" t="s">
        <v>220</v>
      </c>
      <c r="D32" s="51" t="s">
        <v>158</v>
      </c>
      <c r="E32" s="51" t="s">
        <v>5</v>
      </c>
      <c r="F32" s="52">
        <v>46091</v>
      </c>
      <c r="G32" s="52"/>
      <c r="H32" s="50" t="s">
        <v>228</v>
      </c>
    </row>
    <row r="33" spans="1:8" ht="18" customHeight="1" x14ac:dyDescent="0.25">
      <c r="A33" s="46">
        <v>23</v>
      </c>
      <c r="B33" s="47" t="s">
        <v>207</v>
      </c>
      <c r="C33" s="47" t="s">
        <v>70</v>
      </c>
      <c r="D33" s="48" t="s">
        <v>157</v>
      </c>
      <c r="E33" s="48" t="s">
        <v>7</v>
      </c>
      <c r="F33" s="49" t="s">
        <v>148</v>
      </c>
      <c r="G33" s="49">
        <v>46079</v>
      </c>
      <c r="H33" s="47" t="s">
        <v>160</v>
      </c>
    </row>
    <row r="34" spans="1:8" ht="18" customHeight="1" x14ac:dyDescent="0.25">
      <c r="A34" s="46">
        <v>24</v>
      </c>
      <c r="B34" s="50" t="s">
        <v>208</v>
      </c>
      <c r="C34" s="50" t="s">
        <v>221</v>
      </c>
      <c r="D34" s="51" t="s">
        <v>158</v>
      </c>
      <c r="E34" s="51" t="s">
        <v>7</v>
      </c>
      <c r="F34" s="52"/>
      <c r="G34" s="52"/>
      <c r="H34" s="50" t="s">
        <v>229</v>
      </c>
    </row>
    <row r="35" spans="1:8" ht="18" customHeight="1" x14ac:dyDescent="0.25">
      <c r="A35" s="46">
        <v>25</v>
      </c>
      <c r="B35" s="47" t="s">
        <v>496</v>
      </c>
      <c r="C35" s="47" t="s">
        <v>37</v>
      </c>
      <c r="D35" s="48" t="s">
        <v>158</v>
      </c>
      <c r="E35" s="48" t="s">
        <v>5</v>
      </c>
      <c r="F35" s="49">
        <v>46112</v>
      </c>
      <c r="G35" s="49"/>
      <c r="H35" s="47" t="s">
        <v>230</v>
      </c>
    </row>
    <row r="36" spans="1:8" ht="18" customHeight="1" x14ac:dyDescent="0.25">
      <c r="A36" s="46">
        <v>26</v>
      </c>
      <c r="B36" t="s">
        <v>562</v>
      </c>
      <c r="C36" t="s">
        <v>563</v>
      </c>
      <c r="D36" s="48"/>
      <c r="E36" s="48"/>
      <c r="F36" s="49"/>
      <c r="G36" s="49"/>
      <c r="H36" s="47"/>
    </row>
    <row r="37" spans="1:8" ht="18" customHeight="1" x14ac:dyDescent="0.25">
      <c r="A37" s="46">
        <v>27</v>
      </c>
      <c r="B37" s="50"/>
      <c r="C37" s="50" t="s">
        <v>41</v>
      </c>
      <c r="D37" s="51"/>
      <c r="E37" s="51"/>
      <c r="F37" s="52"/>
      <c r="G37" s="52"/>
      <c r="H37" s="50" t="s">
        <v>231</v>
      </c>
    </row>
    <row r="38" spans="1:8" ht="18" customHeight="1" x14ac:dyDescent="0.25">
      <c r="A38" s="46">
        <v>28</v>
      </c>
      <c r="B38" s="47"/>
      <c r="C38" s="47" t="s">
        <v>232</v>
      </c>
      <c r="D38" s="48"/>
      <c r="E38" s="48"/>
      <c r="F38" s="49"/>
      <c r="G38" s="49"/>
      <c r="H38" s="47" t="s">
        <v>233</v>
      </c>
    </row>
    <row r="39" spans="1:8" ht="18" customHeight="1" x14ac:dyDescent="0.25">
      <c r="A39" s="46">
        <v>29</v>
      </c>
      <c r="B39" s="50"/>
      <c r="C39" s="50" t="s">
        <v>64</v>
      </c>
      <c r="D39" s="51"/>
      <c r="E39" s="51"/>
      <c r="F39" s="52"/>
      <c r="G39" s="52"/>
      <c r="H39" s="50" t="s">
        <v>234</v>
      </c>
    </row>
    <row r="40" spans="1:8" ht="18" customHeight="1" x14ac:dyDescent="0.25">
      <c r="A40" s="46">
        <v>30</v>
      </c>
      <c r="B40" s="47" t="s">
        <v>265</v>
      </c>
      <c r="C40" s="47" t="s">
        <v>76</v>
      </c>
      <c r="D40" s="48"/>
      <c r="E40" s="48"/>
      <c r="F40" s="49"/>
      <c r="G40" s="49"/>
      <c r="H40" s="47" t="s">
        <v>235</v>
      </c>
    </row>
    <row r="41" spans="1:8" ht="18" customHeight="1" x14ac:dyDescent="0.25">
      <c r="A41" s="46">
        <v>31</v>
      </c>
      <c r="B41" s="50" t="s">
        <v>495</v>
      </c>
      <c r="C41" s="50" t="s">
        <v>220</v>
      </c>
      <c r="D41" s="51" t="s">
        <v>158</v>
      </c>
      <c r="E41" s="61" t="s">
        <v>497</v>
      </c>
      <c r="F41" s="52">
        <v>46091</v>
      </c>
      <c r="G41" s="52"/>
      <c r="H41" s="50" t="s">
        <v>295</v>
      </c>
    </row>
    <row r="42" spans="1:8" ht="18" customHeight="1" x14ac:dyDescent="0.25">
      <c r="A42" s="46">
        <v>32</v>
      </c>
      <c r="B42" s="47" t="s">
        <v>498</v>
      </c>
      <c r="C42" s="47" t="s">
        <v>368</v>
      </c>
      <c r="D42" s="48"/>
      <c r="E42" s="48" t="s">
        <v>7</v>
      </c>
      <c r="F42" s="49">
        <v>46094</v>
      </c>
      <c r="G42" s="49"/>
      <c r="H42" s="47" t="s">
        <v>401</v>
      </c>
    </row>
    <row r="43" spans="1:8" ht="18" customHeight="1" x14ac:dyDescent="0.25">
      <c r="A43" s="46">
        <v>33</v>
      </c>
      <c r="B43" s="50"/>
      <c r="C43" s="50" t="s">
        <v>118</v>
      </c>
      <c r="D43" s="51"/>
      <c r="E43" s="51"/>
      <c r="F43" s="52"/>
      <c r="G43" s="52"/>
      <c r="H43" s="50"/>
    </row>
    <row r="44" spans="1:8" ht="18" customHeight="1" x14ac:dyDescent="0.25">
      <c r="A44" s="46">
        <v>34</v>
      </c>
      <c r="B44" s="47"/>
      <c r="C44" s="47" t="s">
        <v>119</v>
      </c>
      <c r="D44" s="48"/>
      <c r="E44" s="48"/>
      <c r="F44" s="49"/>
      <c r="G44" s="49"/>
      <c r="H44" s="47"/>
    </row>
    <row r="45" spans="1:8" ht="18" customHeight="1" x14ac:dyDescent="0.25">
      <c r="A45" s="46">
        <v>35</v>
      </c>
      <c r="B45" s="50"/>
      <c r="C45" s="50" t="s">
        <v>120</v>
      </c>
      <c r="D45" s="51"/>
      <c r="E45" s="51"/>
      <c r="F45" s="52"/>
      <c r="G45" s="52"/>
      <c r="H45" s="50"/>
    </row>
    <row r="46" spans="1:8" ht="18" customHeight="1" x14ac:dyDescent="0.25">
      <c r="A46" s="46">
        <v>36</v>
      </c>
      <c r="B46" s="47"/>
      <c r="C46" s="47" t="s">
        <v>121</v>
      </c>
      <c r="D46" s="48"/>
      <c r="E46" s="48"/>
      <c r="F46" s="49"/>
      <c r="G46" s="49"/>
      <c r="H46" s="47"/>
    </row>
    <row r="47" spans="1:8" ht="18" customHeight="1" x14ac:dyDescent="0.25">
      <c r="A47" s="46">
        <v>37</v>
      </c>
      <c r="B47" s="50"/>
      <c r="C47" s="50" t="s">
        <v>122</v>
      </c>
      <c r="D47" s="51"/>
      <c r="E47" s="51"/>
      <c r="F47" s="52"/>
      <c r="G47" s="52"/>
      <c r="H47" s="50"/>
    </row>
    <row r="48" spans="1:8" ht="18" customHeight="1" x14ac:dyDescent="0.25">
      <c r="A48" s="46">
        <v>38</v>
      </c>
      <c r="B48" s="47"/>
      <c r="C48" s="47" t="s">
        <v>123</v>
      </c>
      <c r="D48" s="48"/>
      <c r="E48" s="48"/>
      <c r="F48" s="49"/>
      <c r="G48" s="49"/>
      <c r="H48" s="47"/>
    </row>
    <row r="49" spans="1:8" ht="18" customHeight="1" x14ac:dyDescent="0.25">
      <c r="A49" s="46">
        <v>39</v>
      </c>
      <c r="B49" s="50"/>
      <c r="C49" s="50" t="s">
        <v>124</v>
      </c>
      <c r="D49" s="51"/>
      <c r="E49" s="51"/>
      <c r="F49" s="52"/>
      <c r="G49" s="52"/>
      <c r="H49" s="50"/>
    </row>
    <row r="50" spans="1:8" ht="18" customHeight="1" x14ac:dyDescent="0.25">
      <c r="A50" s="46">
        <v>40</v>
      </c>
      <c r="B50" s="47"/>
      <c r="C50" s="47" t="s">
        <v>125</v>
      </c>
      <c r="D50" s="48"/>
      <c r="E50" s="48"/>
      <c r="F50" s="49"/>
      <c r="G50" s="49"/>
      <c r="H50" s="47"/>
    </row>
    <row r="51" spans="1:8" ht="18" customHeight="1" x14ac:dyDescent="0.25">
      <c r="A51" s="46">
        <v>41</v>
      </c>
      <c r="B51" s="50"/>
      <c r="C51" s="50" t="s">
        <v>126</v>
      </c>
      <c r="D51" s="51"/>
      <c r="E51" s="51"/>
      <c r="F51" s="52"/>
      <c r="G51" s="52"/>
      <c r="H51" s="50"/>
    </row>
    <row r="52" spans="1:8" ht="18" customHeight="1" x14ac:dyDescent="0.25">
      <c r="A52" s="46">
        <v>42</v>
      </c>
      <c r="B52" s="47"/>
      <c r="C52" s="47" t="s">
        <v>127</v>
      </c>
      <c r="D52" s="48"/>
      <c r="E52" s="48"/>
      <c r="F52" s="49"/>
      <c r="G52" s="49"/>
      <c r="H52" s="47"/>
    </row>
    <row r="53" spans="1:8" ht="18" customHeight="1" x14ac:dyDescent="0.25">
      <c r="A53" s="46">
        <v>43</v>
      </c>
      <c r="B53" s="50"/>
      <c r="C53" s="50" t="s">
        <v>128</v>
      </c>
      <c r="D53" s="51"/>
      <c r="E53" s="51"/>
      <c r="F53" s="52"/>
      <c r="G53" s="52"/>
      <c r="H53" s="50"/>
    </row>
    <row r="54" spans="1:8" ht="18" customHeight="1" x14ac:dyDescent="0.25">
      <c r="A54" s="46">
        <v>44</v>
      </c>
      <c r="B54" s="47"/>
      <c r="C54" s="47" t="s">
        <v>129</v>
      </c>
      <c r="D54" s="48"/>
      <c r="E54" s="48"/>
      <c r="F54" s="49"/>
      <c r="G54" s="49"/>
      <c r="H54" s="47"/>
    </row>
    <row r="55" spans="1:8" ht="18" customHeight="1" x14ac:dyDescent="0.25">
      <c r="A55" s="46">
        <v>45</v>
      </c>
      <c r="B55" s="50"/>
      <c r="C55" s="50" t="s">
        <v>129</v>
      </c>
      <c r="D55" s="51"/>
      <c r="E55" s="51"/>
      <c r="F55" s="52"/>
      <c r="G55" s="52"/>
      <c r="H55" s="50"/>
    </row>
    <row r="56" spans="1:8" ht="18" customHeight="1" x14ac:dyDescent="0.25">
      <c r="A56" s="46">
        <v>46</v>
      </c>
      <c r="B56" s="47"/>
      <c r="C56" s="47" t="s">
        <v>129</v>
      </c>
      <c r="D56" s="48"/>
      <c r="E56" s="48"/>
      <c r="F56" s="49"/>
      <c r="G56" s="49"/>
      <c r="H56" s="47"/>
    </row>
    <row r="57" spans="1:8" ht="18" customHeight="1" x14ac:dyDescent="0.25">
      <c r="A57" s="46">
        <v>47</v>
      </c>
      <c r="B57" s="50"/>
      <c r="C57" s="50" t="s">
        <v>129</v>
      </c>
      <c r="D57" s="51"/>
      <c r="E57" s="51"/>
      <c r="F57" s="52"/>
      <c r="G57" s="52"/>
      <c r="H57" s="50"/>
    </row>
    <row r="58" spans="1:8" ht="18" customHeight="1" x14ac:dyDescent="0.25">
      <c r="A58" s="46">
        <v>48</v>
      </c>
      <c r="B58" s="47"/>
      <c r="C58" s="47" t="s">
        <v>130</v>
      </c>
      <c r="D58" s="48"/>
      <c r="E58" s="48"/>
      <c r="F58" s="49"/>
      <c r="G58" s="49"/>
      <c r="H58" s="47"/>
    </row>
    <row r="59" spans="1:8" ht="18" customHeight="1" x14ac:dyDescent="0.25">
      <c r="A59" s="46">
        <v>49</v>
      </c>
      <c r="B59" s="50"/>
      <c r="C59" s="50" t="s">
        <v>131</v>
      </c>
      <c r="D59" s="51"/>
      <c r="E59" s="51"/>
      <c r="F59" s="52"/>
      <c r="G59" s="52"/>
      <c r="H59" s="50"/>
    </row>
    <row r="60" spans="1:8" ht="18" customHeight="1" x14ac:dyDescent="0.25">
      <c r="A60" s="46">
        <v>50</v>
      </c>
      <c r="B60" s="47" t="s">
        <v>570</v>
      </c>
      <c r="C60" s="47" t="s">
        <v>104</v>
      </c>
      <c r="D60" s="48" t="s">
        <v>410</v>
      </c>
      <c r="E60" s="48" t="s">
        <v>5</v>
      </c>
      <c r="F60" s="49"/>
      <c r="G60" s="49"/>
      <c r="H60" s="47" t="s">
        <v>411</v>
      </c>
    </row>
    <row r="61" spans="1:8" ht="18" customHeight="1" x14ac:dyDescent="0.25">
      <c r="A61" s="46">
        <v>51</v>
      </c>
      <c r="B61" s="50" t="s">
        <v>575</v>
      </c>
      <c r="C61" s="50" t="s">
        <v>105</v>
      </c>
      <c r="D61" s="51" t="s">
        <v>410</v>
      </c>
      <c r="E61" s="51" t="s">
        <v>5</v>
      </c>
      <c r="F61" s="52"/>
      <c r="G61" s="52"/>
      <c r="H61" s="50" t="s">
        <v>411</v>
      </c>
    </row>
    <row r="62" spans="1:8" ht="18" customHeight="1" x14ac:dyDescent="0.25">
      <c r="A62" s="46">
        <v>52</v>
      </c>
      <c r="B62" s="47" t="s">
        <v>579</v>
      </c>
      <c r="C62" s="47" t="s">
        <v>106</v>
      </c>
      <c r="D62" s="48"/>
      <c r="E62" s="48"/>
      <c r="F62" s="49"/>
      <c r="G62" s="49"/>
      <c r="H62" s="47"/>
    </row>
    <row r="63" spans="1:8" ht="18" customHeight="1" x14ac:dyDescent="0.25">
      <c r="A63" s="46">
        <v>53</v>
      </c>
      <c r="B63" s="50"/>
      <c r="C63" s="50" t="s">
        <v>107</v>
      </c>
      <c r="D63" s="51"/>
      <c r="E63" s="51"/>
      <c r="F63" s="52"/>
      <c r="G63" s="52"/>
      <c r="H63" s="50"/>
    </row>
    <row r="64" spans="1:8" ht="18" customHeight="1" x14ac:dyDescent="0.25">
      <c r="A64" s="46">
        <v>54</v>
      </c>
      <c r="B64" s="47" t="s">
        <v>583</v>
      </c>
      <c r="C64" s="47" t="s">
        <v>108</v>
      </c>
      <c r="D64" s="48" t="s">
        <v>410</v>
      </c>
      <c r="E64" s="48" t="s">
        <v>5</v>
      </c>
      <c r="F64" s="49"/>
      <c r="G64" s="49"/>
      <c r="H64" s="47" t="s">
        <v>411</v>
      </c>
    </row>
    <row r="65" spans="1:8" ht="18" customHeight="1" x14ac:dyDescent="0.25">
      <c r="A65" s="46">
        <v>55</v>
      </c>
      <c r="B65" s="50"/>
      <c r="C65" s="50" t="s">
        <v>109</v>
      </c>
      <c r="D65" s="51"/>
      <c r="E65" s="51"/>
      <c r="F65" s="52"/>
      <c r="G65" s="52"/>
      <c r="H65" s="50"/>
    </row>
    <row r="66" spans="1:8" ht="18" customHeight="1" x14ac:dyDescent="0.25">
      <c r="A66" s="46">
        <v>56</v>
      </c>
      <c r="B66" s="47"/>
      <c r="C66" s="47" t="s">
        <v>110</v>
      </c>
      <c r="D66" s="48"/>
      <c r="E66" s="48"/>
      <c r="F66" s="49"/>
      <c r="G66" s="49"/>
      <c r="H66" s="47" t="s">
        <v>588</v>
      </c>
    </row>
    <row r="67" spans="1:8" ht="18" customHeight="1" x14ac:dyDescent="0.25">
      <c r="A67" s="46">
        <v>57</v>
      </c>
      <c r="B67" t="s">
        <v>564</v>
      </c>
      <c r="C67" t="s">
        <v>543</v>
      </c>
      <c r="D67" s="51"/>
      <c r="E67" s="51"/>
      <c r="F67" s="62">
        <v>46098</v>
      </c>
      <c r="G67" s="52"/>
      <c r="H67" s="50"/>
    </row>
    <row r="68" spans="1:8" ht="18" customHeight="1" x14ac:dyDescent="0.25">
      <c r="A68" s="46">
        <v>58</v>
      </c>
      <c r="B68" s="47" t="s">
        <v>460</v>
      </c>
      <c r="C68" s="47" t="s">
        <v>445</v>
      </c>
      <c r="D68" s="48" t="s">
        <v>410</v>
      </c>
      <c r="E68" s="48" t="s">
        <v>7</v>
      </c>
      <c r="F68" s="49"/>
      <c r="G68" s="49"/>
      <c r="H68" s="47" t="s">
        <v>461</v>
      </c>
    </row>
    <row r="69" spans="1:8" ht="18" customHeight="1" x14ac:dyDescent="0.25">
      <c r="A69" s="46">
        <v>59</v>
      </c>
      <c r="B69" s="50"/>
      <c r="C69" s="50" t="s">
        <v>111</v>
      </c>
      <c r="D69" s="51"/>
      <c r="E69" s="51"/>
      <c r="F69" s="52"/>
      <c r="G69" s="52"/>
      <c r="H69" s="50"/>
    </row>
    <row r="70" spans="1:8" ht="18" customHeight="1" x14ac:dyDescent="0.25">
      <c r="A70" s="46">
        <v>60</v>
      </c>
      <c r="B70" s="47" t="s">
        <v>499</v>
      </c>
      <c r="C70" s="47" t="s">
        <v>492</v>
      </c>
      <c r="D70" s="48" t="s">
        <v>410</v>
      </c>
      <c r="E70" s="48" t="s">
        <v>497</v>
      </c>
      <c r="F70" s="49">
        <v>46101</v>
      </c>
      <c r="G70" s="49"/>
      <c r="H70" s="47" t="s">
        <v>230</v>
      </c>
    </row>
    <row r="71" spans="1:8" ht="18" customHeight="1" x14ac:dyDescent="0.25">
      <c r="A71" s="46">
        <v>61</v>
      </c>
      <c r="B71" s="50"/>
      <c r="C71" s="50" t="s">
        <v>112</v>
      </c>
      <c r="D71" s="51"/>
      <c r="E71" s="51"/>
      <c r="F71" s="52"/>
      <c r="G71" s="52"/>
      <c r="H71" s="50"/>
    </row>
    <row r="72" spans="1:8" ht="18" customHeight="1" x14ac:dyDescent="0.25">
      <c r="A72" s="46">
        <v>62</v>
      </c>
      <c r="B72" s="47"/>
      <c r="C72" s="47" t="s">
        <v>113</v>
      </c>
      <c r="D72" s="48"/>
      <c r="E72" s="48"/>
      <c r="F72" s="49"/>
      <c r="G72" s="49"/>
      <c r="H72" s="47"/>
    </row>
    <row r="73" spans="1:8" ht="18" customHeight="1" x14ac:dyDescent="0.25">
      <c r="A73" s="46">
        <v>63</v>
      </c>
      <c r="B73" s="50"/>
      <c r="C73" s="50" t="s">
        <v>114</v>
      </c>
      <c r="D73" s="51"/>
      <c r="E73" s="51"/>
      <c r="F73" s="52"/>
      <c r="G73" s="52"/>
      <c r="H73" s="50"/>
    </row>
    <row r="74" spans="1:8" ht="18" customHeight="1" x14ac:dyDescent="0.25">
      <c r="A74" s="46">
        <v>64</v>
      </c>
      <c r="B74" s="47"/>
      <c r="C74" s="47" t="s">
        <v>115</v>
      </c>
      <c r="D74" s="48"/>
      <c r="E74" s="48"/>
      <c r="F74" s="49"/>
      <c r="G74" s="49"/>
      <c r="H74" s="47"/>
    </row>
    <row r="75" spans="1:8" ht="18" customHeight="1" x14ac:dyDescent="0.25">
      <c r="A75" s="46">
        <v>65</v>
      </c>
      <c r="B75" s="50"/>
      <c r="C75" s="50" t="s">
        <v>116</v>
      </c>
      <c r="D75" s="51"/>
      <c r="E75" s="51"/>
      <c r="F75" s="52"/>
      <c r="G75" s="52"/>
      <c r="H75" s="50"/>
    </row>
    <row r="76" spans="1:8" ht="18" customHeight="1" x14ac:dyDescent="0.25">
      <c r="A76" s="46">
        <v>66</v>
      </c>
      <c r="B76" s="47"/>
      <c r="C76" s="47" t="s">
        <v>117</v>
      </c>
      <c r="D76" s="48"/>
      <c r="E76" s="48"/>
      <c r="F76" s="49"/>
      <c r="G76" s="49"/>
      <c r="H76" s="47"/>
    </row>
    <row r="77" spans="1:8" ht="18" customHeight="1" x14ac:dyDescent="0.25">
      <c r="A77" s="46">
        <v>67</v>
      </c>
      <c r="B77" s="50"/>
      <c r="C77" s="50" t="s">
        <v>132</v>
      </c>
      <c r="D77" s="51"/>
      <c r="E77" s="51"/>
      <c r="F77" s="52"/>
      <c r="G77" s="52"/>
      <c r="H77" s="50"/>
    </row>
    <row r="78" spans="1:8" ht="18" customHeight="1" x14ac:dyDescent="0.25">
      <c r="A78" s="46">
        <v>68</v>
      </c>
      <c r="B78" s="47"/>
      <c r="C78" s="47" t="s">
        <v>133</v>
      </c>
      <c r="D78" s="48"/>
      <c r="E78" s="48"/>
      <c r="F78" s="49"/>
      <c r="G78" s="49"/>
      <c r="H78" s="47"/>
    </row>
    <row r="79" spans="1:8" ht="18" customHeight="1" x14ac:dyDescent="0.25">
      <c r="A79" s="46">
        <v>69</v>
      </c>
      <c r="B79" s="50"/>
      <c r="C79" s="50" t="s">
        <v>134</v>
      </c>
      <c r="D79" s="51"/>
      <c r="E79" s="51"/>
      <c r="F79" s="52"/>
      <c r="G79" s="52"/>
      <c r="H79" s="50"/>
    </row>
    <row r="80" spans="1:8" ht="18" customHeight="1" x14ac:dyDescent="0.25">
      <c r="A80" s="46">
        <v>70</v>
      </c>
      <c r="B80" s="47"/>
      <c r="C80" s="47" t="s">
        <v>135</v>
      </c>
      <c r="D80" s="48"/>
      <c r="E80" s="48"/>
      <c r="F80" s="49"/>
      <c r="G80" s="49"/>
      <c r="H80" s="47"/>
    </row>
    <row r="81" spans="1:8" ht="18" customHeight="1" x14ac:dyDescent="0.25">
      <c r="A81" s="46">
        <v>71</v>
      </c>
      <c r="B81" s="50"/>
      <c r="C81" s="50" t="s">
        <v>136</v>
      </c>
      <c r="D81" s="51"/>
      <c r="E81" s="51"/>
      <c r="F81" s="52"/>
      <c r="G81" s="52"/>
      <c r="H81" s="50"/>
    </row>
    <row r="82" spans="1:8" ht="18" customHeight="1" x14ac:dyDescent="0.25">
      <c r="A82" s="46">
        <v>72</v>
      </c>
      <c r="B82" s="47" t="s">
        <v>500</v>
      </c>
      <c r="C82" s="47" t="s">
        <v>488</v>
      </c>
      <c r="D82" s="48" t="s">
        <v>158</v>
      </c>
      <c r="E82" s="48" t="s">
        <v>5</v>
      </c>
      <c r="F82" s="49">
        <v>46101</v>
      </c>
      <c r="G82" s="49"/>
      <c r="H82" s="47" t="s">
        <v>413</v>
      </c>
    </row>
    <row r="83" spans="1:8" ht="18" customHeight="1" x14ac:dyDescent="0.25">
      <c r="A83" s="46">
        <v>73</v>
      </c>
      <c r="B83" s="50"/>
      <c r="C83" s="50" t="s">
        <v>137</v>
      </c>
      <c r="D83" s="51"/>
      <c r="E83" s="51"/>
      <c r="F83" s="52"/>
      <c r="G83" s="52"/>
      <c r="H83" s="50"/>
    </row>
    <row r="84" spans="1:8" ht="18" customHeight="1" x14ac:dyDescent="0.25">
      <c r="A84" s="46">
        <v>74</v>
      </c>
      <c r="B84" s="47"/>
      <c r="C84" s="47" t="s">
        <v>138</v>
      </c>
      <c r="D84" s="48"/>
      <c r="E84" s="48"/>
      <c r="F84" s="49"/>
      <c r="G84" s="49"/>
      <c r="H84" s="47"/>
    </row>
    <row r="85" spans="1:8" ht="18" customHeight="1" x14ac:dyDescent="0.25">
      <c r="A85" s="46">
        <v>75</v>
      </c>
      <c r="B85" s="50"/>
      <c r="C85" s="50" t="s">
        <v>289</v>
      </c>
      <c r="D85" s="51"/>
      <c r="E85" s="51"/>
      <c r="F85" s="52"/>
      <c r="G85" s="52"/>
      <c r="H85" s="50"/>
    </row>
    <row r="86" spans="1:8" ht="18" customHeight="1" x14ac:dyDescent="0.25">
      <c r="A86" s="46">
        <v>76</v>
      </c>
      <c r="B86" s="47"/>
      <c r="C86" s="47" t="s">
        <v>290</v>
      </c>
      <c r="D86" s="48"/>
      <c r="E86" s="48"/>
      <c r="F86" s="49"/>
      <c r="G86" s="49"/>
      <c r="H86" s="47"/>
    </row>
    <row r="87" spans="1:8" ht="18" customHeight="1" x14ac:dyDescent="0.25">
      <c r="A87" s="46">
        <v>77</v>
      </c>
      <c r="B87" s="50"/>
      <c r="C87" s="50" t="s">
        <v>291</v>
      </c>
      <c r="D87" s="51"/>
      <c r="E87" s="51"/>
      <c r="F87" s="52"/>
      <c r="G87" s="52"/>
      <c r="H87" s="50"/>
    </row>
    <row r="88" spans="1:8" ht="18" customHeight="1" x14ac:dyDescent="0.25">
      <c r="A88" s="46">
        <v>78</v>
      </c>
      <c r="B88" s="47"/>
      <c r="C88" s="47" t="s">
        <v>292</v>
      </c>
      <c r="D88" s="48"/>
      <c r="E88" s="48"/>
      <c r="F88" s="49"/>
      <c r="G88" s="49"/>
      <c r="H88" s="47"/>
    </row>
    <row r="89" spans="1:8" ht="18" customHeight="1" x14ac:dyDescent="0.25">
      <c r="A89" s="46">
        <v>79</v>
      </c>
      <c r="B89" s="50" t="s">
        <v>501</v>
      </c>
      <c r="C89" s="50" t="s">
        <v>486</v>
      </c>
      <c r="D89" s="51" t="s">
        <v>158</v>
      </c>
      <c r="E89" s="51" t="s">
        <v>5</v>
      </c>
      <c r="F89" s="52">
        <v>46111</v>
      </c>
      <c r="G89" s="52"/>
      <c r="H89" s="50" t="s">
        <v>230</v>
      </c>
    </row>
    <row r="90" spans="1:8" ht="18" customHeight="1" x14ac:dyDescent="0.25">
      <c r="A90" s="46">
        <v>80</v>
      </c>
      <c r="B90" s="47"/>
      <c r="C90" s="47" t="s">
        <v>293</v>
      </c>
      <c r="D90" s="48"/>
      <c r="E90" s="48"/>
      <c r="F90" s="49"/>
      <c r="G90" s="49"/>
      <c r="H90" s="47"/>
    </row>
    <row r="91" spans="1:8" ht="18" customHeight="1" x14ac:dyDescent="0.25">
      <c r="A91" s="46">
        <v>81</v>
      </c>
      <c r="B91" s="50"/>
      <c r="C91" s="50"/>
      <c r="D91" s="51"/>
      <c r="E91" s="51"/>
      <c r="F91" s="52"/>
      <c r="G91" s="52"/>
      <c r="H91" s="50"/>
    </row>
    <row r="92" spans="1:8" ht="18" customHeight="1" x14ac:dyDescent="0.25">
      <c r="A92" s="46">
        <v>82</v>
      </c>
      <c r="B92" s="47"/>
      <c r="C92" s="47" t="s">
        <v>167</v>
      </c>
      <c r="D92" s="48"/>
      <c r="E92" s="48"/>
      <c r="F92" s="49"/>
      <c r="G92" s="49"/>
      <c r="H92" s="47"/>
    </row>
    <row r="93" spans="1:8" ht="18" customHeight="1" x14ac:dyDescent="0.25">
      <c r="A93" s="46">
        <v>83</v>
      </c>
      <c r="B93" s="50"/>
      <c r="C93" s="50" t="s">
        <v>168</v>
      </c>
      <c r="D93" s="51"/>
      <c r="E93" s="51"/>
      <c r="F93" s="52"/>
      <c r="G93" s="52"/>
      <c r="H93" s="50"/>
    </row>
    <row r="94" spans="1:8" ht="18" customHeight="1" x14ac:dyDescent="0.25">
      <c r="A94" s="46">
        <v>84</v>
      </c>
      <c r="B94" s="47"/>
      <c r="C94" s="47" t="s">
        <v>169</v>
      </c>
      <c r="D94" s="48"/>
      <c r="E94" s="48"/>
      <c r="F94" s="49"/>
      <c r="G94" s="49"/>
      <c r="H94" s="47"/>
    </row>
    <row r="95" spans="1:8" ht="18" customHeight="1" x14ac:dyDescent="0.25">
      <c r="A95" s="46">
        <v>85</v>
      </c>
      <c r="B95" s="50"/>
      <c r="C95" s="50" t="s">
        <v>170</v>
      </c>
      <c r="D95" s="51"/>
      <c r="E95" s="51"/>
      <c r="F95" s="52"/>
      <c r="G95" s="52"/>
      <c r="H95" s="50"/>
    </row>
    <row r="96" spans="1:8" ht="18" customHeight="1" x14ac:dyDescent="0.25">
      <c r="A96" s="46">
        <v>86</v>
      </c>
      <c r="B96" s="47"/>
      <c r="C96" s="47" t="s">
        <v>171</v>
      </c>
      <c r="D96" s="48"/>
      <c r="E96" s="48"/>
      <c r="F96" s="49"/>
      <c r="G96" s="49"/>
      <c r="H96" s="47"/>
    </row>
    <row r="97" spans="1:8" ht="18" customHeight="1" x14ac:dyDescent="0.25">
      <c r="A97" s="46">
        <v>87</v>
      </c>
      <c r="B97" s="50"/>
      <c r="C97" s="50" t="s">
        <v>172</v>
      </c>
      <c r="D97" s="51"/>
      <c r="E97" s="51"/>
      <c r="F97" s="52"/>
      <c r="G97" s="52"/>
      <c r="H97" s="50"/>
    </row>
    <row r="98" spans="1:8" ht="18" customHeight="1" x14ac:dyDescent="0.25">
      <c r="A98" s="46">
        <v>88</v>
      </c>
      <c r="B98" s="47"/>
      <c r="C98" s="47" t="s">
        <v>173</v>
      </c>
      <c r="D98" s="48"/>
      <c r="E98" s="48"/>
      <c r="F98" s="49"/>
      <c r="G98" s="49"/>
      <c r="H98" s="47"/>
    </row>
    <row r="99" spans="1:8" ht="18" customHeight="1" x14ac:dyDescent="0.25">
      <c r="A99" s="46">
        <v>89</v>
      </c>
      <c r="B99" s="50"/>
      <c r="C99" s="50" t="s">
        <v>174</v>
      </c>
      <c r="D99" s="51"/>
      <c r="E99" s="51"/>
      <c r="F99" s="52"/>
      <c r="G99" s="52"/>
      <c r="H99" s="50"/>
    </row>
    <row r="100" spans="1:8" ht="18" customHeight="1" x14ac:dyDescent="0.25">
      <c r="A100" s="46">
        <v>90</v>
      </c>
      <c r="B100" s="47"/>
      <c r="C100" s="47" t="s">
        <v>175</v>
      </c>
      <c r="D100" s="48"/>
      <c r="E100" s="48"/>
      <c r="F100" s="49"/>
      <c r="G100" s="49"/>
      <c r="H100" s="47"/>
    </row>
    <row r="101" spans="1:8" ht="18" customHeight="1" x14ac:dyDescent="0.25">
      <c r="A101" s="46">
        <v>91</v>
      </c>
      <c r="B101" s="50"/>
      <c r="C101" s="50" t="s">
        <v>176</v>
      </c>
      <c r="D101" s="51"/>
      <c r="E101" s="51"/>
      <c r="F101" s="52"/>
      <c r="G101" s="52"/>
      <c r="H101" s="50"/>
    </row>
    <row r="102" spans="1:8" ht="18" customHeight="1" x14ac:dyDescent="0.25">
      <c r="A102" s="46">
        <v>92</v>
      </c>
      <c r="B102" s="47"/>
      <c r="C102" s="47" t="s">
        <v>139</v>
      </c>
      <c r="D102" s="48"/>
      <c r="E102" s="48"/>
      <c r="F102" s="49"/>
      <c r="G102" s="49"/>
      <c r="H102" s="47"/>
    </row>
    <row r="103" spans="1:8" ht="18" customHeight="1" x14ac:dyDescent="0.25">
      <c r="A103" s="46">
        <v>93</v>
      </c>
      <c r="B103" s="50" t="s">
        <v>651</v>
      </c>
      <c r="C103" s="50" t="s">
        <v>177</v>
      </c>
      <c r="D103" s="51" t="s">
        <v>158</v>
      </c>
      <c r="E103" s="51" t="s">
        <v>5</v>
      </c>
      <c r="F103" s="52"/>
      <c r="G103" s="52"/>
      <c r="H103" s="50" t="s">
        <v>230</v>
      </c>
    </row>
    <row r="104" spans="1:8" ht="18" customHeight="1" x14ac:dyDescent="0.25">
      <c r="A104" s="46">
        <v>94</v>
      </c>
      <c r="B104" s="47"/>
      <c r="C104" s="47" t="s">
        <v>178</v>
      </c>
      <c r="D104" s="48"/>
      <c r="E104" s="48"/>
      <c r="F104" s="49"/>
      <c r="G104" s="49"/>
      <c r="H104" s="47"/>
    </row>
    <row r="105" spans="1:8" ht="18" customHeight="1" x14ac:dyDescent="0.25">
      <c r="A105" s="46">
        <v>95</v>
      </c>
      <c r="B105" s="50"/>
      <c r="C105" s="50" t="s">
        <v>409</v>
      </c>
      <c r="D105" s="51"/>
      <c r="E105" s="51"/>
      <c r="F105" s="52"/>
      <c r="G105" s="52"/>
      <c r="H105" s="50"/>
    </row>
    <row r="106" spans="1:8" ht="18" customHeight="1" x14ac:dyDescent="0.25">
      <c r="A106" s="46">
        <v>96</v>
      </c>
      <c r="B106" s="47"/>
      <c r="C106" s="47" t="s">
        <v>135</v>
      </c>
      <c r="D106" s="48"/>
      <c r="E106" s="48"/>
      <c r="F106" s="49"/>
      <c r="G106" s="49"/>
      <c r="H106" s="47"/>
    </row>
    <row r="107" spans="1:8" ht="18" customHeight="1" x14ac:dyDescent="0.25">
      <c r="A107" s="46">
        <v>97</v>
      </c>
      <c r="B107" s="50"/>
      <c r="C107" s="50" t="s">
        <v>412</v>
      </c>
      <c r="D107" s="51"/>
      <c r="E107" s="51"/>
      <c r="F107" s="52"/>
      <c r="G107" s="52"/>
      <c r="H107" s="50"/>
    </row>
    <row r="108" spans="1:8" ht="18" customHeight="1" x14ac:dyDescent="0.25">
      <c r="A108" s="46">
        <v>98</v>
      </c>
      <c r="B108" s="47"/>
      <c r="C108" s="47" t="s">
        <v>414</v>
      </c>
      <c r="D108" s="48"/>
      <c r="E108" s="48"/>
      <c r="F108" s="49"/>
      <c r="G108" s="49"/>
      <c r="H108" s="47"/>
    </row>
    <row r="109" spans="1:8" ht="18" customHeight="1" x14ac:dyDescent="0.25">
      <c r="A109" s="46">
        <v>99</v>
      </c>
      <c r="B109" s="50"/>
      <c r="C109" s="50" t="s">
        <v>455</v>
      </c>
      <c r="D109" s="51"/>
      <c r="E109" s="51"/>
      <c r="F109" s="52"/>
      <c r="G109" s="52"/>
      <c r="H109" s="50"/>
    </row>
    <row r="110" spans="1:8" ht="18" customHeight="1" x14ac:dyDescent="0.25">
      <c r="A110" s="46">
        <v>100</v>
      </c>
      <c r="B110" s="47"/>
      <c r="C110" s="47" t="s">
        <v>421</v>
      </c>
      <c r="D110" s="48"/>
      <c r="E110" s="48"/>
      <c r="F110" s="49"/>
      <c r="G110" s="49"/>
      <c r="H110" s="47"/>
    </row>
    <row r="111" spans="1:8" ht="18" customHeight="1" x14ac:dyDescent="0.25">
      <c r="A111" s="46">
        <v>101</v>
      </c>
      <c r="B111" s="50"/>
      <c r="C111" s="50" t="s">
        <v>422</v>
      </c>
      <c r="D111" s="51"/>
      <c r="E111" s="51"/>
      <c r="F111" s="52"/>
      <c r="G111" s="52"/>
      <c r="H111" s="50"/>
    </row>
    <row r="112" spans="1:8" ht="18" customHeight="1" x14ac:dyDescent="0.25">
      <c r="A112" s="46">
        <v>102</v>
      </c>
      <c r="B112" s="47"/>
      <c r="C112" s="47" t="s">
        <v>423</v>
      </c>
      <c r="D112" s="48"/>
      <c r="E112" s="48"/>
      <c r="F112" s="49"/>
      <c r="G112" s="49"/>
      <c r="H112" s="47"/>
    </row>
    <row r="113" spans="1:8" ht="18" customHeight="1" x14ac:dyDescent="0.25">
      <c r="A113" s="46">
        <v>103</v>
      </c>
      <c r="B113" s="50"/>
      <c r="C113" s="50" t="s">
        <v>426</v>
      </c>
      <c r="D113" s="51"/>
      <c r="E113" s="51"/>
      <c r="F113" s="52"/>
      <c r="G113" s="52"/>
      <c r="H113" s="50"/>
    </row>
  </sheetData>
  <autoFilter ref="A10:K113" xr:uid="{00000000-0001-0000-0200-000000000000}"/>
  <mergeCells count="10">
    <mergeCell ref="A4:B4"/>
    <mergeCell ref="D4:K4"/>
    <mergeCell ref="A9:I9"/>
    <mergeCell ref="A1:K1"/>
    <mergeCell ref="A2:B2"/>
    <mergeCell ref="C2:E2"/>
    <mergeCell ref="F2:K2"/>
    <mergeCell ref="A3:B3"/>
    <mergeCell ref="C3:E3"/>
    <mergeCell ref="F3:K3"/>
  </mergeCells>
  <dataValidations count="2">
    <dataValidation type="list" allowBlank="1" sqref="D11:D113" xr:uid="{00000000-0002-0000-0200-000000000000}">
      <formula1>"Spares,Stores,Lube Oil,Chemicals,Lashing Gear,Others"</formula1>
      <formula2>0</formula2>
    </dataValidation>
    <dataValidation type="list" allowBlank="1" sqref="E11:E113" xr:uid="{00000000-0002-0000-0200-000001000000}">
      <formula1>"Not Created,To Be Created,Pending Approval,Approved &amp; Issued,Pending Delivery,Delivered"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13"/>
  <sheetViews>
    <sheetView showGridLines="0" topLeftCell="B1" zoomScale="70" zoomScaleNormal="70" workbookViewId="0">
      <pane ySplit="10" topLeftCell="A81" activePane="bottomLeft" state="frozen"/>
      <selection pane="bottomLeft" activeCell="C95" sqref="C95"/>
    </sheetView>
  </sheetViews>
  <sheetFormatPr defaultColWidth="8.5703125" defaultRowHeight="15" x14ac:dyDescent="0.25"/>
  <cols>
    <col min="1" max="1" width="3.85546875" bestFit="1" customWidth="1"/>
    <col min="2" max="2" width="17.5703125" bestFit="1" customWidth="1"/>
    <col min="3" max="3" width="71.5703125" bestFit="1" customWidth="1"/>
    <col min="4" max="4" width="8.7109375" bestFit="1" customWidth="1"/>
    <col min="5" max="5" width="14.85546875" bestFit="1" customWidth="1"/>
    <col min="6" max="6" width="13.140625" bestFit="1" customWidth="1"/>
    <col min="7" max="7" width="12.5703125" bestFit="1" customWidth="1"/>
    <col min="8" max="8" width="57.42578125" bestFit="1" customWidth="1"/>
    <col min="9" max="9" width="42" customWidth="1"/>
    <col min="10" max="11" width="4" customWidth="1"/>
  </cols>
  <sheetData>
    <row r="1" spans="1:11" ht="36" customHeight="1" x14ac:dyDescent="0.25">
      <c r="A1" s="125" t="s">
        <v>13</v>
      </c>
      <c r="B1" s="125"/>
      <c r="C1" s="125"/>
      <c r="D1" s="125"/>
      <c r="E1" s="125"/>
      <c r="F1" s="125"/>
      <c r="G1" s="125"/>
      <c r="H1" s="125"/>
      <c r="I1" s="125"/>
      <c r="J1" s="125"/>
      <c r="K1" s="125"/>
    </row>
    <row r="2" spans="1:11" ht="24" customHeight="1" x14ac:dyDescent="0.25">
      <c r="A2" s="122" t="s">
        <v>14</v>
      </c>
      <c r="B2" s="122"/>
      <c r="C2" s="126" t="s">
        <v>236</v>
      </c>
      <c r="D2" s="126"/>
      <c r="E2" s="126"/>
      <c r="F2" s="123" t="s">
        <v>15</v>
      </c>
      <c r="G2" s="123"/>
      <c r="H2" s="123"/>
      <c r="I2" s="123"/>
      <c r="J2" s="123"/>
      <c r="K2" s="123"/>
    </row>
    <row r="3" spans="1:11" ht="24" customHeight="1" x14ac:dyDescent="0.25">
      <c r="A3" s="122" t="s">
        <v>16</v>
      </c>
      <c r="B3" s="122"/>
      <c r="C3" s="126" t="s">
        <v>185</v>
      </c>
      <c r="D3" s="126"/>
      <c r="E3" s="126"/>
      <c r="F3" s="123" t="s">
        <v>17</v>
      </c>
      <c r="G3" s="123"/>
      <c r="H3" s="123"/>
      <c r="I3" s="123"/>
      <c r="J3" s="123"/>
      <c r="K3" s="123"/>
    </row>
    <row r="4" spans="1:11" ht="24" customHeight="1" x14ac:dyDescent="0.25">
      <c r="A4" s="122" t="s">
        <v>18</v>
      </c>
      <c r="B4" s="122"/>
      <c r="C4" s="22"/>
      <c r="D4" s="123" t="s">
        <v>19</v>
      </c>
      <c r="E4" s="123"/>
      <c r="F4" s="123"/>
      <c r="G4" s="123"/>
      <c r="H4" s="123"/>
      <c r="I4" s="123"/>
      <c r="J4" s="123"/>
      <c r="K4" s="123"/>
    </row>
    <row r="5" spans="1:11" ht="7.5" customHeight="1" x14ac:dyDescent="0.25"/>
    <row r="6" spans="1:11" ht="21.75" customHeight="1" x14ac:dyDescent="0.25">
      <c r="A6" s="23" t="s">
        <v>3</v>
      </c>
      <c r="B6" s="24" t="s">
        <v>4</v>
      </c>
      <c r="C6" s="25" t="s">
        <v>5</v>
      </c>
      <c r="D6" s="26" t="s">
        <v>6</v>
      </c>
      <c r="E6" s="27" t="s">
        <v>7</v>
      </c>
      <c r="F6" s="28" t="s">
        <v>8</v>
      </c>
      <c r="G6" s="1" t="s">
        <v>9</v>
      </c>
      <c r="H6" s="8" t="s">
        <v>10</v>
      </c>
      <c r="I6" s="7" t="s">
        <v>11</v>
      </c>
    </row>
    <row r="7" spans="1:11" ht="21.75" customHeight="1" x14ac:dyDescent="0.25">
      <c r="A7" s="29">
        <f>COUNTIF(E11:E113,"Not Created")</f>
        <v>0</v>
      </c>
      <c r="B7" s="29">
        <f>COUNTIF(E11:E113,"To Be Created")</f>
        <v>0</v>
      </c>
      <c r="C7" s="29">
        <f>COUNTIF(E11:E113,"Pending Approval")</f>
        <v>6</v>
      </c>
      <c r="D7" s="29">
        <f>COUNTIF(E11:E113,"Approved &amp; Issued")</f>
        <v>0</v>
      </c>
      <c r="E7" s="29">
        <f>COUNTIF(E11:E113,"Pending Delivery")</f>
        <v>19</v>
      </c>
      <c r="F7" s="29">
        <f>COUNTIF(E11:E113,"Delivered")</f>
        <v>0</v>
      </c>
      <c r="G7" s="29">
        <f>COUNTA(B11:B113)</f>
        <v>31</v>
      </c>
      <c r="H7" s="30">
        <f>IF(G7&gt;0,(D7+E7)/G7,0)</f>
        <v>0.61290322580645162</v>
      </c>
      <c r="I7" s="30">
        <f>IF(G7&gt;0,F7/G7,0)</f>
        <v>0</v>
      </c>
    </row>
    <row r="8" spans="1:11" ht="7.5" customHeight="1" x14ac:dyDescent="0.25"/>
    <row r="9" spans="1:11" ht="18" customHeight="1" x14ac:dyDescent="0.25">
      <c r="A9" s="124" t="s">
        <v>20</v>
      </c>
      <c r="B9" s="124"/>
      <c r="C9" s="124"/>
      <c r="D9" s="124"/>
      <c r="E9" s="124"/>
      <c r="F9" s="124"/>
      <c r="G9" s="124"/>
      <c r="H9" s="124"/>
      <c r="I9" s="124"/>
    </row>
    <row r="10" spans="1:11" ht="30" customHeight="1" x14ac:dyDescent="0.25">
      <c r="A10" s="1" t="s">
        <v>21</v>
      </c>
      <c r="B10" s="1" t="s">
        <v>22</v>
      </c>
      <c r="C10" s="1" t="s">
        <v>23</v>
      </c>
      <c r="D10" s="1" t="s">
        <v>24</v>
      </c>
      <c r="E10" s="1" t="s">
        <v>25</v>
      </c>
      <c r="F10" s="1" t="s">
        <v>26</v>
      </c>
      <c r="G10" s="1" t="s">
        <v>27</v>
      </c>
      <c r="H10" s="1" t="s">
        <v>28</v>
      </c>
    </row>
    <row r="11" spans="1:11" ht="18" customHeight="1" x14ac:dyDescent="0.25">
      <c r="A11" s="46">
        <v>17</v>
      </c>
      <c r="B11" s="47" t="s">
        <v>252</v>
      </c>
      <c r="C11" s="47" t="s">
        <v>76</v>
      </c>
      <c r="D11" s="48" t="s">
        <v>158</v>
      </c>
      <c r="E11" s="48" t="s">
        <v>7</v>
      </c>
      <c r="F11" s="49" t="s">
        <v>149</v>
      </c>
      <c r="G11" s="49"/>
      <c r="H11" s="47" t="s">
        <v>161</v>
      </c>
    </row>
    <row r="12" spans="1:11" ht="18" customHeight="1" x14ac:dyDescent="0.25">
      <c r="A12" s="46">
        <v>13</v>
      </c>
      <c r="B12" s="47" t="s">
        <v>248</v>
      </c>
      <c r="C12" s="47" t="s">
        <v>260</v>
      </c>
      <c r="D12" s="48" t="s">
        <v>157</v>
      </c>
      <c r="E12" s="48" t="s">
        <v>7</v>
      </c>
      <c r="F12" s="49" t="s">
        <v>145</v>
      </c>
      <c r="G12" s="49"/>
      <c r="H12" s="47" t="s">
        <v>160</v>
      </c>
    </row>
    <row r="13" spans="1:11" ht="18" customHeight="1" x14ac:dyDescent="0.25">
      <c r="A13" s="46">
        <v>12</v>
      </c>
      <c r="B13" s="50" t="s">
        <v>247</v>
      </c>
      <c r="C13" s="50" t="s">
        <v>259</v>
      </c>
      <c r="D13" s="51" t="s">
        <v>157</v>
      </c>
      <c r="E13" s="51" t="s">
        <v>7</v>
      </c>
      <c r="F13" s="52" t="s">
        <v>145</v>
      </c>
      <c r="G13" s="52"/>
      <c r="H13" s="50" t="s">
        <v>160</v>
      </c>
    </row>
    <row r="14" spans="1:11" ht="18" customHeight="1" x14ac:dyDescent="0.25">
      <c r="A14" s="46">
        <v>4</v>
      </c>
      <c r="B14" s="50" t="s">
        <v>239</v>
      </c>
      <c r="C14" s="50" t="s">
        <v>256</v>
      </c>
      <c r="D14" s="51" t="s">
        <v>157</v>
      </c>
      <c r="E14" s="51" t="s">
        <v>7</v>
      </c>
      <c r="F14" s="52" t="s">
        <v>261</v>
      </c>
      <c r="G14" s="52">
        <v>46079</v>
      </c>
      <c r="H14" s="50" t="s">
        <v>160</v>
      </c>
    </row>
    <row r="15" spans="1:11" ht="18" customHeight="1" x14ac:dyDescent="0.25">
      <c r="A15" s="46">
        <v>11</v>
      </c>
      <c r="B15" s="47" t="s">
        <v>246</v>
      </c>
      <c r="C15" s="47" t="s">
        <v>258</v>
      </c>
      <c r="D15" s="48" t="s">
        <v>157</v>
      </c>
      <c r="E15" s="48" t="s">
        <v>7</v>
      </c>
      <c r="F15" s="49" t="s">
        <v>261</v>
      </c>
      <c r="G15" s="49"/>
      <c r="H15" s="47" t="s">
        <v>160</v>
      </c>
    </row>
    <row r="16" spans="1:11" ht="18" customHeight="1" x14ac:dyDescent="0.25">
      <c r="A16" s="46">
        <v>9</v>
      </c>
      <c r="B16" s="47" t="s">
        <v>244</v>
      </c>
      <c r="C16" s="47" t="s">
        <v>257</v>
      </c>
      <c r="D16" s="48" t="s">
        <v>158</v>
      </c>
      <c r="E16" s="48" t="s">
        <v>7</v>
      </c>
      <c r="F16" s="49" t="s">
        <v>154</v>
      </c>
      <c r="G16" s="49"/>
      <c r="H16" s="47" t="s">
        <v>161</v>
      </c>
    </row>
    <row r="17" spans="1:8" ht="18" customHeight="1" x14ac:dyDescent="0.25">
      <c r="A17" s="46">
        <v>3</v>
      </c>
      <c r="B17" s="47" t="s">
        <v>238</v>
      </c>
      <c r="C17" s="47" t="s">
        <v>255</v>
      </c>
      <c r="D17" s="48" t="s">
        <v>157</v>
      </c>
      <c r="E17" s="48" t="s">
        <v>7</v>
      </c>
      <c r="F17" s="49" t="s">
        <v>153</v>
      </c>
      <c r="G17" s="49">
        <v>46079</v>
      </c>
      <c r="H17" s="47" t="s">
        <v>160</v>
      </c>
    </row>
    <row r="18" spans="1:8" ht="18" customHeight="1" x14ac:dyDescent="0.25">
      <c r="A18" s="46">
        <v>8</v>
      </c>
      <c r="B18" s="50" t="s">
        <v>243</v>
      </c>
      <c r="C18" s="50" t="s">
        <v>37</v>
      </c>
      <c r="D18" s="51" t="s">
        <v>158</v>
      </c>
      <c r="E18" s="51" t="s">
        <v>7</v>
      </c>
      <c r="F18" s="52" t="s">
        <v>142</v>
      </c>
      <c r="G18" s="52"/>
      <c r="H18" s="50" t="s">
        <v>161</v>
      </c>
    </row>
    <row r="19" spans="1:8" ht="18" customHeight="1" x14ac:dyDescent="0.25">
      <c r="A19" s="46">
        <v>1</v>
      </c>
      <c r="B19" s="47" t="s">
        <v>237</v>
      </c>
      <c r="C19" s="47" t="s">
        <v>254</v>
      </c>
      <c r="D19" s="48" t="s">
        <v>158</v>
      </c>
      <c r="E19" s="48" t="s">
        <v>7</v>
      </c>
      <c r="F19" s="49" t="s">
        <v>150</v>
      </c>
      <c r="G19" s="49"/>
      <c r="H19" s="47" t="s">
        <v>226</v>
      </c>
    </row>
    <row r="20" spans="1:8" ht="18" customHeight="1" x14ac:dyDescent="0.25">
      <c r="A20" s="46">
        <v>5</v>
      </c>
      <c r="B20" s="47" t="s">
        <v>240</v>
      </c>
      <c r="C20" s="47" t="s">
        <v>86</v>
      </c>
      <c r="D20" s="48" t="s">
        <v>157</v>
      </c>
      <c r="E20" s="48" t="s">
        <v>7</v>
      </c>
      <c r="F20" s="49" t="s">
        <v>153</v>
      </c>
      <c r="G20" s="49">
        <v>46079</v>
      </c>
      <c r="H20" s="47" t="s">
        <v>160</v>
      </c>
    </row>
    <row r="21" spans="1:8" ht="18" customHeight="1" x14ac:dyDescent="0.25">
      <c r="A21" s="46">
        <v>14</v>
      </c>
      <c r="B21" s="50" t="s">
        <v>249</v>
      </c>
      <c r="C21" s="50" t="s">
        <v>39</v>
      </c>
      <c r="D21" s="51" t="s">
        <v>157</v>
      </c>
      <c r="E21" s="51" t="s">
        <v>7</v>
      </c>
      <c r="F21" s="52" t="s">
        <v>262</v>
      </c>
      <c r="G21" s="52"/>
      <c r="H21" s="50" t="s">
        <v>160</v>
      </c>
    </row>
    <row r="22" spans="1:8" ht="18" customHeight="1" x14ac:dyDescent="0.25">
      <c r="A22" s="46">
        <v>15</v>
      </c>
      <c r="B22" s="47" t="s">
        <v>250</v>
      </c>
      <c r="C22" s="47" t="s">
        <v>101</v>
      </c>
      <c r="D22" s="48" t="s">
        <v>157</v>
      </c>
      <c r="E22" s="48" t="s">
        <v>7</v>
      </c>
      <c r="F22" s="49" t="s">
        <v>155</v>
      </c>
      <c r="G22" s="49"/>
      <c r="H22" s="47" t="s">
        <v>160</v>
      </c>
    </row>
    <row r="23" spans="1:8" ht="18" customHeight="1" x14ac:dyDescent="0.25">
      <c r="A23" s="46">
        <v>10</v>
      </c>
      <c r="B23" s="50" t="s">
        <v>245</v>
      </c>
      <c r="C23" s="50" t="s">
        <v>70</v>
      </c>
      <c r="D23" s="51" t="s">
        <v>157</v>
      </c>
      <c r="E23" s="51" t="s">
        <v>7</v>
      </c>
      <c r="F23" s="52" t="s">
        <v>148</v>
      </c>
      <c r="G23" s="52"/>
      <c r="H23" s="50" t="s">
        <v>160</v>
      </c>
    </row>
    <row r="24" spans="1:8" ht="18" customHeight="1" x14ac:dyDescent="0.25">
      <c r="A24" s="46">
        <v>18</v>
      </c>
      <c r="B24" s="50" t="s">
        <v>253</v>
      </c>
      <c r="C24" s="50" t="s">
        <v>54</v>
      </c>
      <c r="D24" s="51" t="s">
        <v>158</v>
      </c>
      <c r="E24" s="51" t="s">
        <v>5</v>
      </c>
      <c r="F24" s="52" t="s">
        <v>151</v>
      </c>
      <c r="G24" s="52"/>
      <c r="H24" s="50" t="s">
        <v>230</v>
      </c>
    </row>
    <row r="25" spans="1:8" ht="18" customHeight="1" x14ac:dyDescent="0.25">
      <c r="A25" s="46">
        <v>6</v>
      </c>
      <c r="B25" s="50" t="s">
        <v>241</v>
      </c>
      <c r="C25" s="50" t="s">
        <v>221</v>
      </c>
      <c r="D25" s="51" t="s">
        <v>158</v>
      </c>
      <c r="E25" s="51" t="s">
        <v>7</v>
      </c>
      <c r="F25" s="52"/>
      <c r="G25" s="52"/>
      <c r="H25" s="50" t="s">
        <v>263</v>
      </c>
    </row>
    <row r="26" spans="1:8" ht="18" customHeight="1" x14ac:dyDescent="0.25">
      <c r="A26" s="46">
        <v>16</v>
      </c>
      <c r="B26" s="50" t="s">
        <v>251</v>
      </c>
      <c r="C26" s="50" t="s">
        <v>59</v>
      </c>
      <c r="D26" s="51" t="s">
        <v>158</v>
      </c>
      <c r="E26" s="51" t="s">
        <v>7</v>
      </c>
      <c r="F26" s="52" t="s">
        <v>222</v>
      </c>
      <c r="G26" s="52"/>
      <c r="H26" s="50" t="s">
        <v>225</v>
      </c>
    </row>
    <row r="27" spans="1:8" ht="18" customHeight="1" x14ac:dyDescent="0.25">
      <c r="A27" s="46">
        <v>7</v>
      </c>
      <c r="B27" s="47" t="s">
        <v>242</v>
      </c>
      <c r="C27" s="47" t="s">
        <v>74</v>
      </c>
      <c r="D27" s="48" t="s">
        <v>158</v>
      </c>
      <c r="E27" s="48" t="s">
        <v>7</v>
      </c>
      <c r="F27" s="49" t="s">
        <v>222</v>
      </c>
      <c r="G27" s="49"/>
      <c r="H27" s="47" t="s">
        <v>264</v>
      </c>
    </row>
    <row r="28" spans="1:8" ht="18" customHeight="1" x14ac:dyDescent="0.25">
      <c r="A28" s="46">
        <v>2</v>
      </c>
      <c r="B28" s="50" t="s">
        <v>502</v>
      </c>
      <c r="C28" s="50" t="s">
        <v>220</v>
      </c>
      <c r="D28" s="51" t="s">
        <v>158</v>
      </c>
      <c r="E28" s="51" t="s">
        <v>7</v>
      </c>
      <c r="F28" s="52">
        <v>46091</v>
      </c>
      <c r="G28" s="52"/>
      <c r="H28" s="50" t="s">
        <v>228</v>
      </c>
    </row>
    <row r="29" spans="1:8" ht="18" customHeight="1" x14ac:dyDescent="0.25">
      <c r="A29" s="46"/>
      <c r="B29" s="47" t="s">
        <v>502</v>
      </c>
      <c r="C29" s="47" t="s">
        <v>220</v>
      </c>
      <c r="D29" s="48" t="s">
        <v>158</v>
      </c>
      <c r="E29" s="61" t="s">
        <v>497</v>
      </c>
      <c r="F29" s="49">
        <v>46091</v>
      </c>
      <c r="G29" s="49"/>
      <c r="H29" s="47" t="s">
        <v>294</v>
      </c>
    </row>
    <row r="30" spans="1:8" ht="18" customHeight="1" x14ac:dyDescent="0.25">
      <c r="A30" s="46"/>
      <c r="B30" s="47" t="s">
        <v>503</v>
      </c>
      <c r="C30" s="47" t="s">
        <v>368</v>
      </c>
      <c r="D30" s="48" t="s">
        <v>158</v>
      </c>
      <c r="E30" s="48" t="s">
        <v>7</v>
      </c>
      <c r="F30" s="49">
        <v>46094</v>
      </c>
      <c r="G30" s="49"/>
      <c r="H30" s="47" t="s">
        <v>401</v>
      </c>
    </row>
    <row r="31" spans="1:8" ht="18" customHeight="1" x14ac:dyDescent="0.25">
      <c r="A31" s="46">
        <v>49</v>
      </c>
      <c r="B31" s="47" t="s">
        <v>504</v>
      </c>
      <c r="C31" s="47" t="s">
        <v>492</v>
      </c>
      <c r="D31" s="48" t="s">
        <v>410</v>
      </c>
      <c r="E31" s="61" t="s">
        <v>497</v>
      </c>
      <c r="F31" s="49">
        <v>46101</v>
      </c>
      <c r="G31" s="49"/>
      <c r="H31" s="47" t="s">
        <v>230</v>
      </c>
    </row>
    <row r="32" spans="1:8" ht="18" customHeight="1" x14ac:dyDescent="0.25">
      <c r="A32" s="46">
        <v>61</v>
      </c>
      <c r="B32" s="47" t="s">
        <v>505</v>
      </c>
      <c r="C32" s="47" t="s">
        <v>488</v>
      </c>
      <c r="D32" s="48" t="s">
        <v>158</v>
      </c>
      <c r="E32" s="48" t="s">
        <v>5</v>
      </c>
      <c r="F32" s="49">
        <v>46101</v>
      </c>
      <c r="G32" s="49"/>
      <c r="H32" s="47" t="s">
        <v>415</v>
      </c>
    </row>
    <row r="33" spans="1:8" ht="18" customHeight="1" x14ac:dyDescent="0.25">
      <c r="A33" s="46">
        <v>68</v>
      </c>
      <c r="B33" s="50" t="s">
        <v>506</v>
      </c>
      <c r="C33" s="50" t="s">
        <v>486</v>
      </c>
      <c r="D33" s="51" t="s">
        <v>158</v>
      </c>
      <c r="E33" s="61" t="s">
        <v>497</v>
      </c>
      <c r="F33" s="52">
        <v>46111</v>
      </c>
      <c r="G33" s="52"/>
      <c r="H33" s="50" t="s">
        <v>411</v>
      </c>
    </row>
    <row r="34" spans="1:8" ht="18" customHeight="1" x14ac:dyDescent="0.25">
      <c r="A34" s="46">
        <v>47</v>
      </c>
      <c r="B34" s="47" t="s">
        <v>462</v>
      </c>
      <c r="C34" s="47" t="s">
        <v>463</v>
      </c>
      <c r="D34" s="48" t="s">
        <v>410</v>
      </c>
      <c r="E34" s="48" t="s">
        <v>7</v>
      </c>
      <c r="F34" s="49"/>
      <c r="G34" s="49"/>
      <c r="H34" s="47" t="s">
        <v>464</v>
      </c>
    </row>
    <row r="35" spans="1:8" ht="18" customHeight="1" x14ac:dyDescent="0.25">
      <c r="A35" s="46"/>
      <c r="B35" t="s">
        <v>566</v>
      </c>
      <c r="C35" t="s">
        <v>537</v>
      </c>
      <c r="D35" s="48"/>
      <c r="E35" s="48"/>
      <c r="F35" s="49"/>
      <c r="G35" s="49"/>
      <c r="H35" s="47"/>
    </row>
    <row r="36" spans="1:8" ht="18" customHeight="1" x14ac:dyDescent="0.25">
      <c r="A36" s="46">
        <v>19</v>
      </c>
      <c r="B36" s="50"/>
      <c r="C36" s="50" t="s">
        <v>41</v>
      </c>
      <c r="D36" s="51"/>
      <c r="E36" s="51"/>
      <c r="F36" s="52"/>
      <c r="G36" s="52"/>
      <c r="H36" s="50" t="s">
        <v>159</v>
      </c>
    </row>
    <row r="37" spans="1:8" ht="18" customHeight="1" x14ac:dyDescent="0.25">
      <c r="A37" s="46">
        <v>20</v>
      </c>
      <c r="B37" s="47"/>
      <c r="C37" s="47" t="s">
        <v>232</v>
      </c>
      <c r="D37" s="48"/>
      <c r="E37" s="48"/>
      <c r="F37" s="49"/>
      <c r="G37" s="49"/>
      <c r="H37" s="47" t="s">
        <v>233</v>
      </c>
    </row>
    <row r="38" spans="1:8" ht="18" customHeight="1" x14ac:dyDescent="0.25">
      <c r="A38" s="46">
        <v>21</v>
      </c>
      <c r="B38" s="50"/>
      <c r="C38" s="50" t="s">
        <v>64</v>
      </c>
      <c r="D38" s="51"/>
      <c r="E38" s="51"/>
      <c r="F38" s="52"/>
      <c r="G38" s="52"/>
      <c r="H38" s="50" t="s">
        <v>165</v>
      </c>
    </row>
    <row r="39" spans="1:8" ht="18" customHeight="1" x14ac:dyDescent="0.25">
      <c r="A39" s="46">
        <v>22</v>
      </c>
      <c r="B39" s="50"/>
      <c r="C39" s="50" t="s">
        <v>118</v>
      </c>
      <c r="D39" s="51"/>
      <c r="E39" s="51"/>
      <c r="F39" s="52"/>
      <c r="G39" s="52"/>
      <c r="H39" s="50"/>
    </row>
    <row r="40" spans="1:8" ht="18" customHeight="1" x14ac:dyDescent="0.25">
      <c r="A40" s="46">
        <v>23</v>
      </c>
      <c r="B40" s="47"/>
      <c r="C40" s="47" t="s">
        <v>119</v>
      </c>
      <c r="D40" s="48"/>
      <c r="E40" s="48"/>
      <c r="F40" s="49"/>
      <c r="G40" s="49"/>
      <c r="H40" s="47"/>
    </row>
    <row r="41" spans="1:8" ht="18" customHeight="1" x14ac:dyDescent="0.25">
      <c r="A41" s="46">
        <v>24</v>
      </c>
      <c r="B41" s="50"/>
      <c r="C41" s="50" t="s">
        <v>120</v>
      </c>
      <c r="D41" s="51"/>
      <c r="E41" s="51"/>
      <c r="F41" s="52"/>
      <c r="G41" s="52"/>
      <c r="H41" s="50"/>
    </row>
    <row r="42" spans="1:8" ht="18" customHeight="1" x14ac:dyDescent="0.25">
      <c r="A42" s="46">
        <v>25</v>
      </c>
      <c r="B42" s="47"/>
      <c r="C42" s="47" t="s">
        <v>121</v>
      </c>
      <c r="D42" s="48"/>
      <c r="E42" s="48"/>
      <c r="F42" s="49"/>
      <c r="G42" s="49"/>
      <c r="H42" s="47"/>
    </row>
    <row r="43" spans="1:8" ht="18" customHeight="1" x14ac:dyDescent="0.25">
      <c r="A43" s="46">
        <v>26</v>
      </c>
      <c r="B43" s="50"/>
      <c r="C43" s="50" t="s">
        <v>122</v>
      </c>
      <c r="D43" s="51"/>
      <c r="E43" s="51"/>
      <c r="F43" s="52"/>
      <c r="G43" s="52"/>
      <c r="H43" s="50"/>
    </row>
    <row r="44" spans="1:8" ht="18" customHeight="1" x14ac:dyDescent="0.25">
      <c r="A44" s="46">
        <v>27</v>
      </c>
      <c r="B44" s="47"/>
      <c r="C44" s="47" t="s">
        <v>123</v>
      </c>
      <c r="D44" s="48"/>
      <c r="E44" s="48"/>
      <c r="F44" s="49"/>
      <c r="G44" s="49"/>
      <c r="H44" s="47"/>
    </row>
    <row r="45" spans="1:8" ht="18" customHeight="1" x14ac:dyDescent="0.25">
      <c r="A45" s="46">
        <v>28</v>
      </c>
      <c r="B45" s="50"/>
      <c r="C45" s="50" t="s">
        <v>124</v>
      </c>
      <c r="D45" s="51"/>
      <c r="E45" s="51"/>
      <c r="F45" s="52"/>
      <c r="G45" s="52"/>
      <c r="H45" s="50"/>
    </row>
    <row r="46" spans="1:8" ht="18" customHeight="1" x14ac:dyDescent="0.25">
      <c r="A46" s="46">
        <v>29</v>
      </c>
      <c r="B46" s="47"/>
      <c r="C46" s="47" t="s">
        <v>125</v>
      </c>
      <c r="D46" s="48"/>
      <c r="E46" s="48"/>
      <c r="F46" s="49"/>
      <c r="G46" s="49"/>
      <c r="H46" s="47"/>
    </row>
    <row r="47" spans="1:8" ht="18" customHeight="1" x14ac:dyDescent="0.25">
      <c r="A47" s="46">
        <v>30</v>
      </c>
      <c r="B47" s="50"/>
      <c r="C47" s="50" t="s">
        <v>126</v>
      </c>
      <c r="D47" s="51"/>
      <c r="E47" s="51"/>
      <c r="F47" s="52"/>
      <c r="G47" s="52"/>
      <c r="H47" s="50"/>
    </row>
    <row r="48" spans="1:8" ht="18" customHeight="1" x14ac:dyDescent="0.25">
      <c r="A48" s="46">
        <v>31</v>
      </c>
      <c r="B48" s="47"/>
      <c r="C48" s="47" t="s">
        <v>127</v>
      </c>
      <c r="D48" s="48"/>
      <c r="E48" s="48"/>
      <c r="F48" s="49"/>
      <c r="G48" s="49"/>
      <c r="H48" s="47"/>
    </row>
    <row r="49" spans="1:8" ht="18" customHeight="1" x14ac:dyDescent="0.25">
      <c r="A49" s="46">
        <v>32</v>
      </c>
      <c r="B49" s="50"/>
      <c r="C49" s="50" t="s">
        <v>128</v>
      </c>
      <c r="D49" s="51"/>
      <c r="E49" s="51"/>
      <c r="F49" s="52"/>
      <c r="G49" s="52"/>
      <c r="H49" s="50"/>
    </row>
    <row r="50" spans="1:8" ht="18" customHeight="1" x14ac:dyDescent="0.25">
      <c r="A50" s="46">
        <v>33</v>
      </c>
      <c r="B50" s="47"/>
      <c r="C50" s="47" t="s">
        <v>129</v>
      </c>
      <c r="D50" s="48"/>
      <c r="E50" s="48"/>
      <c r="F50" s="49"/>
      <c r="G50" s="49"/>
      <c r="H50" s="47"/>
    </row>
    <row r="51" spans="1:8" ht="18" customHeight="1" x14ac:dyDescent="0.25">
      <c r="A51" s="46">
        <v>34</v>
      </c>
      <c r="B51" s="50"/>
      <c r="C51" s="50" t="s">
        <v>129</v>
      </c>
      <c r="D51" s="51"/>
      <c r="E51" s="51"/>
      <c r="F51" s="52"/>
      <c r="G51" s="52"/>
      <c r="H51" s="50"/>
    </row>
    <row r="52" spans="1:8" ht="18" customHeight="1" x14ac:dyDescent="0.25">
      <c r="A52" s="46">
        <v>35</v>
      </c>
      <c r="B52" s="47"/>
      <c r="C52" s="47" t="s">
        <v>129</v>
      </c>
      <c r="D52" s="48"/>
      <c r="E52" s="48"/>
      <c r="F52" s="49"/>
      <c r="G52" s="49"/>
      <c r="H52" s="47"/>
    </row>
    <row r="53" spans="1:8" ht="18" customHeight="1" x14ac:dyDescent="0.25">
      <c r="A53" s="46">
        <v>36</v>
      </c>
      <c r="B53" s="50"/>
      <c r="C53" s="50" t="s">
        <v>129</v>
      </c>
      <c r="D53" s="51"/>
      <c r="E53" s="51"/>
      <c r="F53" s="52"/>
      <c r="G53" s="52"/>
      <c r="H53" s="50"/>
    </row>
    <row r="54" spans="1:8" ht="18" customHeight="1" x14ac:dyDescent="0.25">
      <c r="A54" s="46">
        <v>37</v>
      </c>
      <c r="B54" s="47"/>
      <c r="C54" s="47" t="s">
        <v>130</v>
      </c>
      <c r="D54" s="48"/>
      <c r="E54" s="48"/>
      <c r="F54" s="49"/>
      <c r="G54" s="49"/>
      <c r="H54" s="47"/>
    </row>
    <row r="55" spans="1:8" ht="18" customHeight="1" x14ac:dyDescent="0.25">
      <c r="A55" s="46">
        <v>38</v>
      </c>
      <c r="B55" s="50"/>
      <c r="C55" s="50" t="s">
        <v>131</v>
      </c>
      <c r="D55" s="51"/>
      <c r="E55" s="51"/>
      <c r="F55" s="52"/>
      <c r="G55" s="52"/>
      <c r="H55" s="50"/>
    </row>
    <row r="56" spans="1:8" ht="18" customHeight="1" x14ac:dyDescent="0.25">
      <c r="A56" s="46">
        <v>39</v>
      </c>
      <c r="B56" s="47" t="s">
        <v>571</v>
      </c>
      <c r="C56" s="47" t="s">
        <v>104</v>
      </c>
      <c r="D56" s="48" t="s">
        <v>410</v>
      </c>
      <c r="E56" s="48" t="s">
        <v>5</v>
      </c>
      <c r="F56" s="49"/>
      <c r="G56" s="49"/>
      <c r="H56" s="47" t="s">
        <v>411</v>
      </c>
    </row>
    <row r="57" spans="1:8" ht="18" customHeight="1" x14ac:dyDescent="0.25">
      <c r="A57" s="46">
        <v>40</v>
      </c>
      <c r="B57" s="50" t="s">
        <v>576</v>
      </c>
      <c r="C57" s="50" t="s">
        <v>105</v>
      </c>
      <c r="D57" s="51" t="s">
        <v>410</v>
      </c>
      <c r="E57" s="51" t="s">
        <v>5</v>
      </c>
      <c r="F57" s="52"/>
      <c r="G57" s="52"/>
      <c r="H57" s="50" t="s">
        <v>411</v>
      </c>
    </row>
    <row r="58" spans="1:8" ht="18" customHeight="1" x14ac:dyDescent="0.25">
      <c r="A58" s="46">
        <v>41</v>
      </c>
      <c r="B58" s="47" t="s">
        <v>580</v>
      </c>
      <c r="C58" s="47" t="s">
        <v>106</v>
      </c>
      <c r="D58" s="48" t="s">
        <v>410</v>
      </c>
      <c r="E58" s="48" t="s">
        <v>5</v>
      </c>
      <c r="F58" s="49"/>
      <c r="G58" s="49"/>
      <c r="H58" s="47" t="s">
        <v>411</v>
      </c>
    </row>
    <row r="59" spans="1:8" ht="18" customHeight="1" x14ac:dyDescent="0.25">
      <c r="A59" s="46">
        <v>42</v>
      </c>
      <c r="B59" s="50"/>
      <c r="C59" s="50" t="s">
        <v>107</v>
      </c>
      <c r="D59" s="51"/>
      <c r="E59" s="51"/>
      <c r="F59" s="52"/>
      <c r="G59" s="52"/>
      <c r="H59" s="50"/>
    </row>
    <row r="60" spans="1:8" ht="18" customHeight="1" x14ac:dyDescent="0.25">
      <c r="A60" s="46">
        <v>43</v>
      </c>
      <c r="B60" s="47" t="s">
        <v>584</v>
      </c>
      <c r="C60" s="47" t="s">
        <v>108</v>
      </c>
      <c r="D60" s="48" t="s">
        <v>410</v>
      </c>
      <c r="E60" s="48" t="s">
        <v>5</v>
      </c>
      <c r="F60" s="49"/>
      <c r="G60" s="49"/>
      <c r="H60" s="47" t="s">
        <v>411</v>
      </c>
    </row>
    <row r="61" spans="1:8" ht="18" customHeight="1" x14ac:dyDescent="0.25">
      <c r="A61" s="46">
        <v>44</v>
      </c>
      <c r="B61" s="50"/>
      <c r="C61" s="50" t="s">
        <v>109</v>
      </c>
      <c r="D61" s="51"/>
      <c r="E61" s="51"/>
      <c r="F61" s="52"/>
      <c r="G61" s="52"/>
      <c r="H61" s="50"/>
    </row>
    <row r="62" spans="1:8" ht="18" customHeight="1" x14ac:dyDescent="0.25">
      <c r="A62" s="46">
        <v>45</v>
      </c>
      <c r="B62" s="47"/>
      <c r="C62" s="47" t="s">
        <v>110</v>
      </c>
      <c r="D62" s="48"/>
      <c r="E62" s="48"/>
      <c r="F62" s="49"/>
      <c r="G62" s="49"/>
      <c r="H62" s="47" t="s">
        <v>588</v>
      </c>
    </row>
    <row r="63" spans="1:8" ht="18" customHeight="1" x14ac:dyDescent="0.25">
      <c r="A63" s="46">
        <v>46</v>
      </c>
      <c r="B63" t="s">
        <v>565</v>
      </c>
      <c r="C63" t="s">
        <v>543</v>
      </c>
      <c r="D63" s="51"/>
      <c r="E63" s="51"/>
      <c r="F63" s="62">
        <v>46098</v>
      </c>
      <c r="G63" s="52"/>
      <c r="H63" s="50"/>
    </row>
    <row r="64" spans="1:8" ht="18" customHeight="1" x14ac:dyDescent="0.25">
      <c r="A64" s="46">
        <v>48</v>
      </c>
      <c r="B64" s="50"/>
      <c r="C64" s="50" t="s">
        <v>111</v>
      </c>
      <c r="D64" s="51"/>
      <c r="E64" s="51"/>
      <c r="F64" s="52"/>
      <c r="G64" s="52"/>
      <c r="H64" s="50"/>
    </row>
    <row r="65" spans="1:8" ht="18" customHeight="1" x14ac:dyDescent="0.25">
      <c r="A65" s="46">
        <v>50</v>
      </c>
      <c r="B65" s="50"/>
      <c r="C65" s="50" t="s">
        <v>112</v>
      </c>
      <c r="D65" s="51"/>
      <c r="E65" s="51"/>
      <c r="F65" s="52"/>
      <c r="G65" s="52"/>
      <c r="H65" s="50"/>
    </row>
    <row r="66" spans="1:8" ht="18" customHeight="1" x14ac:dyDescent="0.25">
      <c r="A66" s="46">
        <v>51</v>
      </c>
      <c r="B66" s="47"/>
      <c r="C66" s="47" t="s">
        <v>113</v>
      </c>
      <c r="D66" s="48"/>
      <c r="E66" s="48"/>
      <c r="F66" s="49"/>
      <c r="G66" s="49"/>
      <c r="H66" s="47"/>
    </row>
    <row r="67" spans="1:8" ht="18" customHeight="1" x14ac:dyDescent="0.25">
      <c r="A67" s="46">
        <v>52</v>
      </c>
      <c r="B67" s="50"/>
      <c r="C67" s="50" t="s">
        <v>114</v>
      </c>
      <c r="D67" s="51"/>
      <c r="E67" s="51"/>
      <c r="F67" s="52"/>
      <c r="G67" s="52"/>
      <c r="H67" s="50"/>
    </row>
    <row r="68" spans="1:8" ht="18" customHeight="1" x14ac:dyDescent="0.25">
      <c r="A68" s="46">
        <v>53</v>
      </c>
      <c r="B68" s="47"/>
      <c r="C68" s="47" t="s">
        <v>115</v>
      </c>
      <c r="D68" s="48"/>
      <c r="E68" s="48"/>
      <c r="F68" s="49"/>
      <c r="G68" s="49"/>
      <c r="H68" s="47"/>
    </row>
    <row r="69" spans="1:8" ht="18" customHeight="1" x14ac:dyDescent="0.25">
      <c r="A69" s="46">
        <v>54</v>
      </c>
      <c r="B69" s="50"/>
      <c r="C69" s="50" t="s">
        <v>116</v>
      </c>
      <c r="D69" s="51"/>
      <c r="E69" s="51"/>
      <c r="F69" s="52"/>
      <c r="G69" s="52"/>
      <c r="H69" s="50"/>
    </row>
    <row r="70" spans="1:8" ht="18" customHeight="1" x14ac:dyDescent="0.25">
      <c r="A70" s="46">
        <v>55</v>
      </c>
      <c r="B70" s="47"/>
      <c r="C70" s="47" t="s">
        <v>117</v>
      </c>
      <c r="D70" s="48"/>
      <c r="E70" s="48"/>
      <c r="F70" s="49"/>
      <c r="G70" s="49"/>
      <c r="H70" s="47"/>
    </row>
    <row r="71" spans="1:8" ht="18" customHeight="1" x14ac:dyDescent="0.25">
      <c r="A71" s="46">
        <v>56</v>
      </c>
      <c r="B71" s="50"/>
      <c r="C71" s="50" t="s">
        <v>132</v>
      </c>
      <c r="D71" s="51"/>
      <c r="E71" s="51"/>
      <c r="F71" s="52"/>
      <c r="G71" s="52"/>
      <c r="H71" s="50"/>
    </row>
    <row r="72" spans="1:8" ht="18" customHeight="1" x14ac:dyDescent="0.25">
      <c r="A72" s="46">
        <v>57</v>
      </c>
      <c r="B72" s="47"/>
      <c r="C72" s="47" t="s">
        <v>133</v>
      </c>
      <c r="D72" s="48"/>
      <c r="E72" s="48"/>
      <c r="F72" s="49"/>
      <c r="G72" s="49"/>
      <c r="H72" s="47"/>
    </row>
    <row r="73" spans="1:8" ht="18" customHeight="1" x14ac:dyDescent="0.25">
      <c r="A73" s="46">
        <v>58</v>
      </c>
      <c r="B73" s="50"/>
      <c r="C73" s="50" t="s">
        <v>134</v>
      </c>
      <c r="D73" s="51"/>
      <c r="E73" s="51"/>
      <c r="F73" s="52"/>
      <c r="G73" s="52"/>
      <c r="H73" s="50"/>
    </row>
    <row r="74" spans="1:8" ht="18" customHeight="1" x14ac:dyDescent="0.25">
      <c r="A74" s="46">
        <v>59</v>
      </c>
      <c r="B74" s="47"/>
      <c r="C74" s="47" t="s">
        <v>135</v>
      </c>
      <c r="D74" s="48"/>
      <c r="E74" s="48"/>
      <c r="F74" s="49"/>
      <c r="G74" s="49"/>
      <c r="H74" s="47"/>
    </row>
    <row r="75" spans="1:8" ht="18" customHeight="1" x14ac:dyDescent="0.25">
      <c r="A75" s="46">
        <v>60</v>
      </c>
      <c r="B75" s="50"/>
      <c r="C75" s="50" t="s">
        <v>136</v>
      </c>
      <c r="D75" s="51"/>
      <c r="E75" s="51"/>
      <c r="F75" s="52"/>
      <c r="G75" s="52"/>
      <c r="H75" s="50"/>
    </row>
    <row r="76" spans="1:8" ht="18" customHeight="1" x14ac:dyDescent="0.25">
      <c r="A76" s="46">
        <v>62</v>
      </c>
      <c r="B76" s="50"/>
      <c r="C76" s="50" t="s">
        <v>137</v>
      </c>
      <c r="D76" s="51"/>
      <c r="E76" s="51"/>
      <c r="F76" s="52"/>
      <c r="G76" s="52"/>
      <c r="H76" s="50"/>
    </row>
    <row r="77" spans="1:8" ht="18" customHeight="1" x14ac:dyDescent="0.25">
      <c r="A77" s="46">
        <v>63</v>
      </c>
      <c r="B77" s="47"/>
      <c r="C77" s="47" t="s">
        <v>138</v>
      </c>
      <c r="D77" s="48"/>
      <c r="E77" s="48"/>
      <c r="F77" s="49"/>
      <c r="G77" s="49"/>
      <c r="H77" s="47"/>
    </row>
    <row r="78" spans="1:8" ht="18" customHeight="1" x14ac:dyDescent="0.25">
      <c r="A78" s="46">
        <v>64</v>
      </c>
      <c r="B78" s="50"/>
      <c r="C78" s="50" t="s">
        <v>289</v>
      </c>
      <c r="D78" s="51"/>
      <c r="E78" s="51"/>
      <c r="F78" s="52"/>
      <c r="G78" s="52"/>
      <c r="H78" s="50"/>
    </row>
    <row r="79" spans="1:8" ht="18" customHeight="1" x14ac:dyDescent="0.25">
      <c r="A79" s="46">
        <v>65</v>
      </c>
      <c r="B79" s="47"/>
      <c r="C79" s="47" t="s">
        <v>290</v>
      </c>
      <c r="D79" s="48"/>
      <c r="E79" s="48"/>
      <c r="F79" s="49"/>
      <c r="G79" s="49"/>
      <c r="H79" s="47"/>
    </row>
    <row r="80" spans="1:8" ht="18" customHeight="1" x14ac:dyDescent="0.25">
      <c r="A80" s="46">
        <v>66</v>
      </c>
      <c r="B80" s="50"/>
      <c r="C80" s="50" t="s">
        <v>291</v>
      </c>
      <c r="D80" s="51"/>
      <c r="E80" s="51"/>
      <c r="F80" s="52"/>
      <c r="G80" s="52"/>
      <c r="H80" s="50"/>
    </row>
    <row r="81" spans="1:8" ht="18" customHeight="1" x14ac:dyDescent="0.25">
      <c r="A81" s="46">
        <v>67</v>
      </c>
      <c r="B81" s="47"/>
      <c r="C81" s="47" t="s">
        <v>292</v>
      </c>
      <c r="D81" s="48"/>
      <c r="E81" s="48"/>
      <c r="F81" s="49"/>
      <c r="G81" s="49"/>
      <c r="H81" s="47"/>
    </row>
    <row r="82" spans="1:8" ht="18" customHeight="1" x14ac:dyDescent="0.25">
      <c r="A82" s="46">
        <v>69</v>
      </c>
      <c r="B82" s="47"/>
      <c r="C82" s="47" t="s">
        <v>293</v>
      </c>
      <c r="D82" s="48"/>
      <c r="E82" s="48"/>
      <c r="F82" s="49"/>
      <c r="G82" s="49"/>
      <c r="H82" s="47"/>
    </row>
    <row r="83" spans="1:8" ht="18" customHeight="1" x14ac:dyDescent="0.25">
      <c r="A83" s="46">
        <v>70</v>
      </c>
      <c r="B83" s="50"/>
      <c r="C83" s="50"/>
      <c r="D83" s="51"/>
      <c r="E83" s="51"/>
      <c r="F83" s="52"/>
      <c r="G83" s="52"/>
      <c r="H83" s="50"/>
    </row>
    <row r="84" spans="1:8" ht="18" customHeight="1" x14ac:dyDescent="0.25">
      <c r="A84" s="46">
        <v>71</v>
      </c>
      <c r="B84" s="47"/>
      <c r="C84" s="47" t="s">
        <v>167</v>
      </c>
      <c r="D84" s="48"/>
      <c r="E84" s="48"/>
      <c r="F84" s="49"/>
      <c r="G84" s="49"/>
      <c r="H84" s="47"/>
    </row>
    <row r="85" spans="1:8" ht="18" customHeight="1" x14ac:dyDescent="0.25">
      <c r="A85" s="46">
        <v>72</v>
      </c>
      <c r="B85" s="50"/>
      <c r="C85" s="50" t="s">
        <v>168</v>
      </c>
      <c r="D85" s="51"/>
      <c r="E85" s="51"/>
      <c r="F85" s="52"/>
      <c r="G85" s="52"/>
      <c r="H85" s="50"/>
    </row>
    <row r="86" spans="1:8" ht="18" customHeight="1" x14ac:dyDescent="0.25">
      <c r="A86" s="46">
        <v>73</v>
      </c>
      <c r="B86" s="47"/>
      <c r="C86" s="47" t="s">
        <v>169</v>
      </c>
      <c r="D86" s="48"/>
      <c r="E86" s="48"/>
      <c r="F86" s="49"/>
      <c r="G86" s="49"/>
      <c r="H86" s="47"/>
    </row>
    <row r="87" spans="1:8" ht="18" customHeight="1" x14ac:dyDescent="0.25">
      <c r="A87" s="46">
        <v>74</v>
      </c>
      <c r="B87" s="50"/>
      <c r="C87" s="50" t="s">
        <v>170</v>
      </c>
      <c r="D87" s="51"/>
      <c r="E87" s="51"/>
      <c r="F87" s="52"/>
      <c r="G87" s="52"/>
      <c r="H87" s="50"/>
    </row>
    <row r="88" spans="1:8" ht="18" customHeight="1" x14ac:dyDescent="0.25">
      <c r="A88" s="46">
        <v>75</v>
      </c>
      <c r="B88" s="47"/>
      <c r="C88" s="47" t="s">
        <v>171</v>
      </c>
      <c r="D88" s="48"/>
      <c r="E88" s="48"/>
      <c r="F88" s="49"/>
      <c r="G88" s="49"/>
      <c r="H88" s="47"/>
    </row>
    <row r="89" spans="1:8" ht="18" customHeight="1" x14ac:dyDescent="0.25">
      <c r="A89" s="46">
        <v>76</v>
      </c>
      <c r="B89" s="50"/>
      <c r="C89" s="50" t="s">
        <v>172</v>
      </c>
      <c r="D89" s="51"/>
      <c r="E89" s="51"/>
      <c r="F89" s="52"/>
      <c r="G89" s="52"/>
      <c r="H89" s="50"/>
    </row>
    <row r="90" spans="1:8" ht="18" customHeight="1" x14ac:dyDescent="0.25">
      <c r="A90" s="46">
        <v>77</v>
      </c>
      <c r="B90" s="47"/>
      <c r="C90" s="47" t="s">
        <v>173</v>
      </c>
      <c r="D90" s="48"/>
      <c r="E90" s="48"/>
      <c r="F90" s="49"/>
      <c r="G90" s="49"/>
      <c r="H90" s="47"/>
    </row>
    <row r="91" spans="1:8" ht="18" customHeight="1" x14ac:dyDescent="0.25">
      <c r="A91" s="46">
        <v>78</v>
      </c>
      <c r="B91" s="50"/>
      <c r="C91" s="50" t="s">
        <v>174</v>
      </c>
      <c r="D91" s="51"/>
      <c r="E91" s="51"/>
      <c r="F91" s="52"/>
      <c r="G91" s="52"/>
      <c r="H91" s="50"/>
    </row>
    <row r="92" spans="1:8" ht="18" customHeight="1" x14ac:dyDescent="0.25">
      <c r="A92" s="46">
        <v>79</v>
      </c>
      <c r="B92" s="47"/>
      <c r="C92" s="47" t="s">
        <v>175</v>
      </c>
      <c r="D92" s="48"/>
      <c r="E92" s="48"/>
      <c r="F92" s="49"/>
      <c r="G92" s="49"/>
      <c r="H92" s="47"/>
    </row>
    <row r="93" spans="1:8" ht="18" customHeight="1" x14ac:dyDescent="0.25">
      <c r="A93" s="46">
        <v>80</v>
      </c>
      <c r="B93" s="50"/>
      <c r="C93" s="50" t="s">
        <v>176</v>
      </c>
      <c r="D93" s="51"/>
      <c r="E93" s="51"/>
      <c r="F93" s="52"/>
      <c r="G93" s="52"/>
      <c r="H93" s="50"/>
    </row>
    <row r="94" spans="1:8" ht="18" customHeight="1" x14ac:dyDescent="0.25">
      <c r="A94" s="46">
        <v>81</v>
      </c>
      <c r="B94" s="47"/>
      <c r="C94" s="47" t="s">
        <v>139</v>
      </c>
      <c r="D94" s="48"/>
      <c r="E94" s="48"/>
      <c r="F94" s="49"/>
      <c r="G94" s="49"/>
      <c r="H94" s="47"/>
    </row>
    <row r="95" spans="1:8" ht="18" customHeight="1" x14ac:dyDescent="0.25">
      <c r="A95" s="46">
        <v>82</v>
      </c>
      <c r="B95" s="50" t="s">
        <v>652</v>
      </c>
      <c r="C95" s="50" t="s">
        <v>177</v>
      </c>
      <c r="D95" s="51"/>
      <c r="E95" s="51"/>
      <c r="F95" s="52"/>
      <c r="G95" s="52"/>
      <c r="H95" s="50"/>
    </row>
    <row r="96" spans="1:8" ht="18" customHeight="1" x14ac:dyDescent="0.25">
      <c r="A96" s="46">
        <v>83</v>
      </c>
      <c r="B96" s="47"/>
      <c r="C96" s="47" t="s">
        <v>178</v>
      </c>
      <c r="D96" s="48"/>
      <c r="E96" s="48"/>
      <c r="F96" s="49"/>
      <c r="G96" s="49"/>
      <c r="H96" s="47"/>
    </row>
    <row r="97" spans="1:8" ht="18" customHeight="1" x14ac:dyDescent="0.25">
      <c r="A97" s="46">
        <v>84</v>
      </c>
      <c r="B97" s="50"/>
      <c r="C97" s="50" t="s">
        <v>409</v>
      </c>
      <c r="D97" s="51"/>
      <c r="E97" s="51"/>
      <c r="F97" s="52"/>
      <c r="G97" s="52"/>
      <c r="H97" s="50"/>
    </row>
    <row r="98" spans="1:8" ht="18" customHeight="1" x14ac:dyDescent="0.25">
      <c r="A98" s="46">
        <v>85</v>
      </c>
      <c r="B98" s="47"/>
      <c r="C98" s="47"/>
      <c r="D98" s="48"/>
      <c r="E98" s="48"/>
      <c r="F98" s="49"/>
      <c r="G98" s="49"/>
      <c r="H98" s="47"/>
    </row>
    <row r="99" spans="1:8" ht="18" customHeight="1" x14ac:dyDescent="0.25">
      <c r="A99" s="46">
        <v>86</v>
      </c>
      <c r="B99" s="50"/>
      <c r="C99" s="50"/>
      <c r="D99" s="51"/>
      <c r="E99" s="51"/>
      <c r="F99" s="52"/>
      <c r="G99" s="52"/>
      <c r="H99" s="50"/>
    </row>
    <row r="100" spans="1:8" ht="18" customHeight="1" x14ac:dyDescent="0.25">
      <c r="A100" s="46">
        <v>87</v>
      </c>
      <c r="B100" s="47"/>
      <c r="C100" s="47"/>
      <c r="D100" s="48"/>
      <c r="E100" s="48"/>
      <c r="F100" s="49"/>
      <c r="G100" s="49"/>
      <c r="H100" s="47"/>
    </row>
    <row r="101" spans="1:8" ht="18" customHeight="1" x14ac:dyDescent="0.25">
      <c r="A101" s="46">
        <v>88</v>
      </c>
      <c r="B101" s="50"/>
      <c r="C101" s="50"/>
      <c r="D101" s="51"/>
      <c r="E101" s="51"/>
      <c r="F101" s="52"/>
      <c r="G101" s="52"/>
      <c r="H101" s="50"/>
    </row>
    <row r="102" spans="1:8" ht="18" customHeight="1" x14ac:dyDescent="0.25">
      <c r="A102" s="46">
        <v>89</v>
      </c>
      <c r="B102" s="47"/>
      <c r="C102" s="47"/>
      <c r="D102" s="48"/>
      <c r="E102" s="48"/>
      <c r="F102" s="49"/>
      <c r="G102" s="49"/>
      <c r="H102" s="47"/>
    </row>
    <row r="103" spans="1:8" ht="18" customHeight="1" x14ac:dyDescent="0.25">
      <c r="A103" s="46">
        <v>90</v>
      </c>
      <c r="B103" s="50"/>
      <c r="C103" s="50"/>
      <c r="D103" s="51"/>
      <c r="E103" s="51"/>
      <c r="F103" s="52"/>
      <c r="G103" s="52"/>
      <c r="H103" s="50"/>
    </row>
    <row r="104" spans="1:8" ht="18" customHeight="1" x14ac:dyDescent="0.25">
      <c r="A104" s="46">
        <v>91</v>
      </c>
      <c r="B104" s="47"/>
      <c r="C104" s="47"/>
      <c r="D104" s="48"/>
      <c r="E104" s="48"/>
      <c r="F104" s="49"/>
      <c r="G104" s="49"/>
      <c r="H104" s="47"/>
    </row>
    <row r="105" spans="1:8" ht="18" customHeight="1" x14ac:dyDescent="0.25">
      <c r="A105" s="46">
        <v>92</v>
      </c>
      <c r="B105" s="50"/>
      <c r="C105" s="50"/>
      <c r="D105" s="51"/>
      <c r="E105" s="51"/>
      <c r="F105" s="52"/>
      <c r="G105" s="52"/>
      <c r="H105" s="50"/>
    </row>
    <row r="106" spans="1:8" ht="18" customHeight="1" x14ac:dyDescent="0.25">
      <c r="A106" s="46">
        <v>93</v>
      </c>
      <c r="B106" s="47"/>
      <c r="C106" s="47"/>
      <c r="D106" s="48"/>
      <c r="E106" s="48"/>
      <c r="F106" s="49"/>
      <c r="G106" s="49"/>
      <c r="H106" s="47"/>
    </row>
    <row r="107" spans="1:8" ht="18" customHeight="1" x14ac:dyDescent="0.25">
      <c r="A107" s="46">
        <v>94</v>
      </c>
      <c r="B107" s="50"/>
      <c r="C107" s="50"/>
      <c r="D107" s="51"/>
      <c r="E107" s="51"/>
      <c r="F107" s="52"/>
      <c r="G107" s="52"/>
      <c r="H107" s="50"/>
    </row>
    <row r="108" spans="1:8" ht="18" customHeight="1" x14ac:dyDescent="0.25">
      <c r="A108" s="46">
        <v>95</v>
      </c>
      <c r="B108" s="47"/>
      <c r="C108" s="47"/>
      <c r="D108" s="48"/>
      <c r="E108" s="48"/>
      <c r="F108" s="49"/>
      <c r="G108" s="49"/>
      <c r="H108" s="47"/>
    </row>
    <row r="109" spans="1:8" ht="18" customHeight="1" x14ac:dyDescent="0.25">
      <c r="A109" s="46">
        <v>96</v>
      </c>
      <c r="B109" s="50"/>
      <c r="C109" s="50"/>
      <c r="D109" s="51"/>
      <c r="E109" s="51"/>
      <c r="F109" s="52"/>
      <c r="G109" s="52"/>
      <c r="H109" s="50"/>
    </row>
    <row r="110" spans="1:8" ht="18" customHeight="1" x14ac:dyDescent="0.25">
      <c r="A110" s="46">
        <v>97</v>
      </c>
      <c r="B110" s="47"/>
      <c r="C110" s="47"/>
      <c r="D110" s="48"/>
      <c r="E110" s="48"/>
      <c r="F110" s="49"/>
      <c r="G110" s="49"/>
      <c r="H110" s="47"/>
    </row>
    <row r="111" spans="1:8" ht="18" customHeight="1" x14ac:dyDescent="0.25">
      <c r="A111" s="46">
        <v>98</v>
      </c>
      <c r="B111" s="50"/>
      <c r="C111" s="50"/>
      <c r="D111" s="51"/>
      <c r="E111" s="51"/>
      <c r="F111" s="52"/>
      <c r="G111" s="52"/>
      <c r="H111" s="50"/>
    </row>
    <row r="112" spans="1:8" ht="18" customHeight="1" x14ac:dyDescent="0.25">
      <c r="A112" s="46">
        <v>99</v>
      </c>
      <c r="B112" s="47"/>
      <c r="C112" s="47"/>
      <c r="D112" s="48"/>
      <c r="E112" s="48"/>
      <c r="F112" s="49"/>
      <c r="G112" s="49"/>
      <c r="H112" s="47"/>
    </row>
    <row r="113" spans="1:8" ht="18" customHeight="1" x14ac:dyDescent="0.25">
      <c r="A113" s="46">
        <v>100</v>
      </c>
      <c r="B113" s="50"/>
      <c r="C113" s="50"/>
      <c r="D113" s="51"/>
      <c r="E113" s="51"/>
      <c r="F113" s="52"/>
      <c r="G113" s="52"/>
      <c r="H113" s="50"/>
    </row>
  </sheetData>
  <autoFilter ref="A10:K113" xr:uid="{00000000-0001-0000-0300-000000000000}"/>
  <mergeCells count="10">
    <mergeCell ref="A4:B4"/>
    <mergeCell ref="D4:K4"/>
    <mergeCell ref="A9:I9"/>
    <mergeCell ref="A1:K1"/>
    <mergeCell ref="A2:B2"/>
    <mergeCell ref="C2:E2"/>
    <mergeCell ref="F2:K2"/>
    <mergeCell ref="A3:B3"/>
    <mergeCell ref="C3:E3"/>
    <mergeCell ref="F3:K3"/>
  </mergeCells>
  <dataValidations count="2">
    <dataValidation type="list" allowBlank="1" sqref="D11:D113" xr:uid="{00000000-0002-0000-0300-000000000000}">
      <formula1>"Spares,Stores,Lube Oil,Chemicals,Lashing Gear,Others"</formula1>
      <formula2>0</formula2>
    </dataValidation>
    <dataValidation type="list" allowBlank="1" sqref="E11:E113" xr:uid="{00000000-0002-0000-0300-000001000000}">
      <formula1>"Not Created,To Be Created,Pending Approval,Approved &amp; Issued,Pending Delivery,Delivered"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11"/>
  <sheetViews>
    <sheetView showGridLines="0" zoomScale="70" zoomScaleNormal="70" workbookViewId="0">
      <pane ySplit="10" topLeftCell="A76" activePane="bottomLeft" state="frozen"/>
      <selection pane="bottomLeft" activeCell="C90" sqref="C90"/>
    </sheetView>
  </sheetViews>
  <sheetFormatPr defaultColWidth="8.5703125" defaultRowHeight="15" x14ac:dyDescent="0.25"/>
  <cols>
    <col min="1" max="1" width="3.85546875" bestFit="1" customWidth="1"/>
    <col min="2" max="2" width="17.42578125" customWidth="1"/>
    <col min="3" max="3" width="79.42578125" bestFit="1" customWidth="1"/>
    <col min="4" max="4" width="8.7109375" bestFit="1" customWidth="1"/>
    <col min="5" max="5" width="14.85546875" bestFit="1" customWidth="1"/>
    <col min="6" max="6" width="13.140625" bestFit="1" customWidth="1"/>
    <col min="7" max="7" width="12.5703125" bestFit="1" customWidth="1"/>
    <col min="8" max="8" width="38.7109375" bestFit="1" customWidth="1"/>
    <col min="9" max="9" width="42" customWidth="1"/>
    <col min="10" max="11" width="4" customWidth="1"/>
  </cols>
  <sheetData>
    <row r="1" spans="1:11" ht="36" customHeight="1" x14ac:dyDescent="0.25">
      <c r="A1" s="125" t="s">
        <v>13</v>
      </c>
      <c r="B1" s="125"/>
      <c r="C1" s="125"/>
      <c r="D1" s="125"/>
      <c r="E1" s="125"/>
      <c r="F1" s="125"/>
      <c r="G1" s="125"/>
      <c r="H1" s="125"/>
      <c r="I1" s="125"/>
      <c r="J1" s="125"/>
      <c r="K1" s="125"/>
    </row>
    <row r="2" spans="1:11" ht="24" customHeight="1" x14ac:dyDescent="0.25">
      <c r="A2" s="122" t="s">
        <v>14</v>
      </c>
      <c r="B2" s="122"/>
      <c r="C2" s="126" t="s">
        <v>266</v>
      </c>
      <c r="D2" s="126"/>
      <c r="E2" s="126"/>
      <c r="F2" s="123" t="s">
        <v>15</v>
      </c>
      <c r="G2" s="123"/>
      <c r="H2" s="123"/>
      <c r="I2" s="123"/>
      <c r="J2" s="123"/>
      <c r="K2" s="123"/>
    </row>
    <row r="3" spans="1:11" ht="24" customHeight="1" x14ac:dyDescent="0.25">
      <c r="A3" s="122" t="s">
        <v>16</v>
      </c>
      <c r="B3" s="122"/>
      <c r="C3" s="126" t="s">
        <v>185</v>
      </c>
      <c r="D3" s="126"/>
      <c r="E3" s="126"/>
      <c r="F3" s="123" t="s">
        <v>17</v>
      </c>
      <c r="G3" s="123"/>
      <c r="H3" s="123"/>
      <c r="I3" s="123"/>
      <c r="J3" s="123"/>
      <c r="K3" s="123"/>
    </row>
    <row r="4" spans="1:11" ht="24" customHeight="1" x14ac:dyDescent="0.25">
      <c r="A4" s="122" t="s">
        <v>18</v>
      </c>
      <c r="B4" s="122"/>
      <c r="C4" s="22"/>
      <c r="D4" s="123" t="s">
        <v>19</v>
      </c>
      <c r="E4" s="123"/>
      <c r="F4" s="123"/>
      <c r="G4" s="123"/>
      <c r="H4" s="123"/>
      <c r="I4" s="123"/>
      <c r="J4" s="123"/>
      <c r="K4" s="123"/>
    </row>
    <row r="5" spans="1:11" ht="7.5" customHeight="1" x14ac:dyDescent="0.25"/>
    <row r="6" spans="1:11" ht="21.75" customHeight="1" x14ac:dyDescent="0.25">
      <c r="A6" s="23" t="s">
        <v>3</v>
      </c>
      <c r="B6" s="24" t="s">
        <v>4</v>
      </c>
      <c r="C6" s="25" t="s">
        <v>5</v>
      </c>
      <c r="D6" s="26" t="s">
        <v>6</v>
      </c>
      <c r="E6" s="27" t="s">
        <v>7</v>
      </c>
      <c r="F6" s="28" t="s">
        <v>8</v>
      </c>
      <c r="G6" s="1" t="s">
        <v>9</v>
      </c>
      <c r="H6" s="8" t="s">
        <v>10</v>
      </c>
      <c r="I6" s="7" t="s">
        <v>11</v>
      </c>
    </row>
    <row r="7" spans="1:11" ht="21.75" customHeight="1" x14ac:dyDescent="0.25">
      <c r="A7" s="29">
        <f>COUNTIF(E11:E111,"Not Created")</f>
        <v>0</v>
      </c>
      <c r="B7" s="29">
        <f>COUNTIF(E11:E111,"To Be Created")</f>
        <v>0</v>
      </c>
      <c r="C7" s="29">
        <f>COUNTIF(E11:E111,"Pending Approval")</f>
        <v>5</v>
      </c>
      <c r="D7" s="29">
        <f>COUNTIF(E11:E111,"Approved &amp; Issued")</f>
        <v>0</v>
      </c>
      <c r="E7" s="29">
        <f>COUNTIF(E11:E111,"Pending Delivery")</f>
        <v>6</v>
      </c>
      <c r="F7" s="29">
        <f>COUNTIF(E11:E111,"Delivered")</f>
        <v>0</v>
      </c>
      <c r="G7" s="29">
        <f>COUNTA(B11:B111)</f>
        <v>29</v>
      </c>
      <c r="H7" s="30">
        <f>IF(G7&gt;0,(D7+E7)/G7,0)</f>
        <v>0.20689655172413793</v>
      </c>
      <c r="I7" s="30">
        <f>IF(G7&gt;0,F7/G7,0)</f>
        <v>0</v>
      </c>
    </row>
    <row r="8" spans="1:11" ht="7.5" customHeight="1" x14ac:dyDescent="0.25"/>
    <row r="9" spans="1:11" ht="18" customHeight="1" x14ac:dyDescent="0.25">
      <c r="A9" s="124" t="s">
        <v>20</v>
      </c>
      <c r="B9" s="124"/>
      <c r="C9" s="124"/>
      <c r="D9" s="124"/>
      <c r="E9" s="124"/>
      <c r="F9" s="124"/>
      <c r="G9" s="124"/>
      <c r="H9" s="124"/>
      <c r="I9" s="124"/>
    </row>
    <row r="10" spans="1:11" ht="30" customHeight="1" x14ac:dyDescent="0.25">
      <c r="A10" s="1" t="s">
        <v>21</v>
      </c>
      <c r="B10" s="1" t="s">
        <v>22</v>
      </c>
      <c r="C10" s="1" t="s">
        <v>23</v>
      </c>
      <c r="D10" s="1" t="s">
        <v>24</v>
      </c>
      <c r="E10" s="1" t="s">
        <v>25</v>
      </c>
      <c r="F10" s="1" t="s">
        <v>26</v>
      </c>
      <c r="G10" s="1" t="s">
        <v>27</v>
      </c>
      <c r="H10" s="1" t="s">
        <v>28</v>
      </c>
    </row>
    <row r="11" spans="1:11" ht="18" customHeight="1" x14ac:dyDescent="0.25">
      <c r="A11" s="46">
        <v>6</v>
      </c>
      <c r="B11" s="50" t="s">
        <v>272</v>
      </c>
      <c r="C11" s="50" t="s">
        <v>76</v>
      </c>
      <c r="D11" s="51"/>
      <c r="E11" s="51"/>
      <c r="F11" s="52" t="s">
        <v>149</v>
      </c>
      <c r="G11" s="52"/>
      <c r="H11" s="50"/>
    </row>
    <row r="12" spans="1:11" ht="18" customHeight="1" x14ac:dyDescent="0.25">
      <c r="A12" s="46">
        <v>2</v>
      </c>
      <c r="B12" s="50" t="s">
        <v>268</v>
      </c>
      <c r="C12" s="50" t="s">
        <v>283</v>
      </c>
      <c r="D12" s="51" t="s">
        <v>157</v>
      </c>
      <c r="E12" s="51" t="s">
        <v>7</v>
      </c>
      <c r="F12" s="52" t="s">
        <v>145</v>
      </c>
      <c r="G12" s="52"/>
      <c r="H12" s="50" t="s">
        <v>160</v>
      </c>
    </row>
    <row r="13" spans="1:11" ht="18" customHeight="1" x14ac:dyDescent="0.25">
      <c r="A13" s="46">
        <v>7</v>
      </c>
      <c r="B13" s="47" t="s">
        <v>273</v>
      </c>
      <c r="C13" s="47" t="s">
        <v>284</v>
      </c>
      <c r="D13" s="48"/>
      <c r="E13" s="48"/>
      <c r="F13" s="49" t="s">
        <v>261</v>
      </c>
      <c r="G13" s="49"/>
      <c r="H13" s="47"/>
    </row>
    <row r="14" spans="1:11" ht="18" customHeight="1" x14ac:dyDescent="0.25">
      <c r="A14" s="46">
        <v>8</v>
      </c>
      <c r="B14" s="50" t="s">
        <v>274</v>
      </c>
      <c r="C14" s="50" t="s">
        <v>285</v>
      </c>
      <c r="D14" s="51"/>
      <c r="E14" s="51"/>
      <c r="F14" s="52" t="s">
        <v>261</v>
      </c>
      <c r="G14" s="52"/>
      <c r="H14" s="50"/>
    </row>
    <row r="15" spans="1:11" ht="18" customHeight="1" x14ac:dyDescent="0.25">
      <c r="A15" s="46">
        <v>9</v>
      </c>
      <c r="B15" s="47" t="s">
        <v>275</v>
      </c>
      <c r="C15" s="47" t="s">
        <v>286</v>
      </c>
      <c r="D15" s="48"/>
      <c r="E15" s="48"/>
      <c r="F15" s="49" t="s">
        <v>154</v>
      </c>
      <c r="G15" s="49"/>
      <c r="H15" s="47"/>
    </row>
    <row r="16" spans="1:11" ht="18" customHeight="1" x14ac:dyDescent="0.25">
      <c r="A16" s="46">
        <v>13</v>
      </c>
      <c r="B16" s="47" t="s">
        <v>279</v>
      </c>
      <c r="C16" s="47" t="s">
        <v>287</v>
      </c>
      <c r="D16" s="48"/>
      <c r="E16" s="48"/>
      <c r="F16" s="49" t="s">
        <v>288</v>
      </c>
      <c r="G16" s="49"/>
      <c r="H16" s="47"/>
    </row>
    <row r="17" spans="1:8" ht="18" customHeight="1" x14ac:dyDescent="0.25">
      <c r="A17" s="46">
        <v>16</v>
      </c>
      <c r="B17" s="50" t="s">
        <v>281</v>
      </c>
      <c r="C17" s="50" t="s">
        <v>37</v>
      </c>
      <c r="D17" s="51"/>
      <c r="E17" s="51"/>
      <c r="F17" s="52" t="s">
        <v>142</v>
      </c>
      <c r="G17" s="52"/>
      <c r="H17" s="50"/>
    </row>
    <row r="18" spans="1:8" ht="18" customHeight="1" x14ac:dyDescent="0.25">
      <c r="A18" s="46">
        <v>5</v>
      </c>
      <c r="B18" s="47" t="s">
        <v>271</v>
      </c>
      <c r="C18" s="47" t="s">
        <v>254</v>
      </c>
      <c r="D18" s="48" t="s">
        <v>158</v>
      </c>
      <c r="E18" s="48" t="s">
        <v>7</v>
      </c>
      <c r="F18" s="49" t="s">
        <v>150</v>
      </c>
      <c r="G18" s="49"/>
      <c r="H18" s="47" t="s">
        <v>226</v>
      </c>
    </row>
    <row r="19" spans="1:8" ht="18" customHeight="1" x14ac:dyDescent="0.25">
      <c r="A19" s="46">
        <v>12</v>
      </c>
      <c r="B19" s="50" t="s">
        <v>278</v>
      </c>
      <c r="C19" s="50" t="s">
        <v>86</v>
      </c>
      <c r="D19" s="51"/>
      <c r="E19" s="51"/>
      <c r="F19" s="52" t="s">
        <v>153</v>
      </c>
      <c r="G19" s="52"/>
      <c r="H19" s="50"/>
    </row>
    <row r="20" spans="1:8" ht="18" customHeight="1" x14ac:dyDescent="0.25">
      <c r="A20" s="46">
        <v>14</v>
      </c>
      <c r="B20" s="50" t="s">
        <v>280</v>
      </c>
      <c r="C20" s="50" t="s">
        <v>39</v>
      </c>
      <c r="D20" s="51"/>
      <c r="E20" s="51"/>
      <c r="F20" s="52" t="s">
        <v>262</v>
      </c>
      <c r="G20" s="52"/>
      <c r="H20" s="50"/>
    </row>
    <row r="21" spans="1:8" ht="18" customHeight="1" x14ac:dyDescent="0.25">
      <c r="A21" s="46">
        <v>10</v>
      </c>
      <c r="B21" s="50" t="s">
        <v>276</v>
      </c>
      <c r="C21" s="50" t="s">
        <v>101</v>
      </c>
      <c r="D21" s="51"/>
      <c r="E21" s="51"/>
      <c r="F21" s="52" t="s">
        <v>155</v>
      </c>
      <c r="G21" s="52"/>
      <c r="H21" s="50"/>
    </row>
    <row r="22" spans="1:8" ht="18" customHeight="1" x14ac:dyDescent="0.25">
      <c r="A22" s="46">
        <v>1</v>
      </c>
      <c r="B22" s="47" t="s">
        <v>267</v>
      </c>
      <c r="C22" s="47" t="s">
        <v>70</v>
      </c>
      <c r="D22" s="48" t="s">
        <v>157</v>
      </c>
      <c r="E22" s="48" t="s">
        <v>7</v>
      </c>
      <c r="F22" s="49" t="s">
        <v>148</v>
      </c>
      <c r="G22" s="49"/>
      <c r="H22" s="47" t="s">
        <v>160</v>
      </c>
    </row>
    <row r="23" spans="1:8" ht="18" customHeight="1" x14ac:dyDescent="0.25">
      <c r="A23" s="46">
        <v>3</v>
      </c>
      <c r="B23" s="47" t="s">
        <v>269</v>
      </c>
      <c r="C23" s="47" t="s">
        <v>54</v>
      </c>
      <c r="D23" s="48" t="s">
        <v>158</v>
      </c>
      <c r="E23" s="48" t="s">
        <v>5</v>
      </c>
      <c r="F23" s="49" t="s">
        <v>151</v>
      </c>
      <c r="G23" s="49"/>
      <c r="H23" s="47" t="s">
        <v>230</v>
      </c>
    </row>
    <row r="24" spans="1:8" ht="18" customHeight="1" x14ac:dyDescent="0.25">
      <c r="A24" s="46">
        <v>11</v>
      </c>
      <c r="B24" s="47" t="s">
        <v>277</v>
      </c>
      <c r="C24" s="47" t="s">
        <v>221</v>
      </c>
      <c r="D24" s="48"/>
      <c r="E24" s="48"/>
      <c r="F24" s="49"/>
      <c r="G24" s="49"/>
      <c r="H24" s="47"/>
    </row>
    <row r="25" spans="1:8" ht="18" customHeight="1" x14ac:dyDescent="0.25">
      <c r="A25" s="46">
        <v>17</v>
      </c>
      <c r="B25" s="47" t="s">
        <v>282</v>
      </c>
      <c r="C25" s="47" t="s">
        <v>59</v>
      </c>
      <c r="D25" s="48"/>
      <c r="E25" s="48"/>
      <c r="F25" s="49" t="s">
        <v>222</v>
      </c>
      <c r="G25" s="49"/>
      <c r="H25" s="47"/>
    </row>
    <row r="26" spans="1:8" ht="18" customHeight="1" x14ac:dyDescent="0.25">
      <c r="A26" s="46">
        <v>4</v>
      </c>
      <c r="B26" s="50" t="s">
        <v>270</v>
      </c>
      <c r="C26" s="50" t="s">
        <v>74</v>
      </c>
      <c r="D26" s="51" t="s">
        <v>158</v>
      </c>
      <c r="E26" s="51" t="s">
        <v>7</v>
      </c>
      <c r="F26" s="52" t="s">
        <v>222</v>
      </c>
      <c r="G26" s="52"/>
      <c r="H26" s="50" t="s">
        <v>264</v>
      </c>
    </row>
    <row r="27" spans="1:8" ht="18" customHeight="1" x14ac:dyDescent="0.25">
      <c r="A27" s="46">
        <v>15</v>
      </c>
      <c r="B27" s="47" t="s">
        <v>507</v>
      </c>
      <c r="C27" s="47" t="s">
        <v>220</v>
      </c>
      <c r="D27" s="48" t="s">
        <v>158</v>
      </c>
      <c r="E27" s="48" t="s">
        <v>497</v>
      </c>
      <c r="F27" s="49">
        <v>46091</v>
      </c>
      <c r="G27" s="49"/>
      <c r="H27" s="47" t="s">
        <v>294</v>
      </c>
    </row>
    <row r="28" spans="1:8" ht="18" customHeight="1" x14ac:dyDescent="0.25">
      <c r="A28" s="46">
        <v>18</v>
      </c>
      <c r="B28" s="50" t="s">
        <v>508</v>
      </c>
      <c r="C28" s="50" t="s">
        <v>368</v>
      </c>
      <c r="D28" s="48" t="s">
        <v>158</v>
      </c>
      <c r="E28" s="51" t="s">
        <v>7</v>
      </c>
      <c r="F28" s="52">
        <v>46094</v>
      </c>
      <c r="G28" s="52"/>
      <c r="H28" s="50" t="s">
        <v>402</v>
      </c>
    </row>
    <row r="29" spans="1:8" ht="18" customHeight="1" x14ac:dyDescent="0.25">
      <c r="A29" s="46">
        <v>46</v>
      </c>
      <c r="B29" s="50" t="s">
        <v>509</v>
      </c>
      <c r="C29" s="50" t="s">
        <v>492</v>
      </c>
      <c r="D29" s="51" t="s">
        <v>410</v>
      </c>
      <c r="E29" s="51" t="s">
        <v>497</v>
      </c>
      <c r="F29" s="52">
        <v>46101</v>
      </c>
      <c r="G29" s="52"/>
      <c r="H29" s="50" t="s">
        <v>230</v>
      </c>
    </row>
    <row r="30" spans="1:8" ht="18" customHeight="1" x14ac:dyDescent="0.25">
      <c r="A30" s="46">
        <v>58</v>
      </c>
      <c r="B30" s="50" t="s">
        <v>510</v>
      </c>
      <c r="C30" s="50" t="s">
        <v>488</v>
      </c>
      <c r="D30" s="51" t="s">
        <v>158</v>
      </c>
      <c r="E30" s="51" t="s">
        <v>497</v>
      </c>
      <c r="F30" s="52">
        <v>46101</v>
      </c>
      <c r="G30" s="52"/>
      <c r="H30" s="50" t="s">
        <v>413</v>
      </c>
    </row>
    <row r="31" spans="1:8" ht="18" customHeight="1" x14ac:dyDescent="0.25">
      <c r="A31" s="46">
        <v>65</v>
      </c>
      <c r="B31" s="47" t="s">
        <v>511</v>
      </c>
      <c r="C31" s="47" t="s">
        <v>486</v>
      </c>
      <c r="D31" s="48" t="s">
        <v>158</v>
      </c>
      <c r="E31" s="48" t="s">
        <v>497</v>
      </c>
      <c r="F31" s="49">
        <v>46111</v>
      </c>
      <c r="G31" s="49"/>
      <c r="H31" s="47" t="s">
        <v>411</v>
      </c>
    </row>
    <row r="32" spans="1:8" ht="18" customHeight="1" x14ac:dyDescent="0.25">
      <c r="A32" s="46">
        <v>44</v>
      </c>
      <c r="B32" s="50" t="s">
        <v>465</v>
      </c>
      <c r="C32" s="50" t="s">
        <v>445</v>
      </c>
      <c r="D32" s="51" t="s">
        <v>410</v>
      </c>
      <c r="E32" s="51" t="s">
        <v>7</v>
      </c>
      <c r="F32" s="52"/>
      <c r="G32" s="52"/>
      <c r="H32" s="50" t="s">
        <v>461</v>
      </c>
    </row>
    <row r="33" spans="1:8" ht="18" customHeight="1" x14ac:dyDescent="0.25">
      <c r="A33" s="46"/>
      <c r="B33" t="s">
        <v>568</v>
      </c>
      <c r="C33" t="s">
        <v>537</v>
      </c>
      <c r="D33" s="51"/>
      <c r="E33" s="51"/>
      <c r="F33" s="52"/>
      <c r="G33" s="52"/>
      <c r="H33" s="50"/>
    </row>
    <row r="34" spans="1:8" ht="18" customHeight="1" x14ac:dyDescent="0.25">
      <c r="A34" s="46">
        <v>19</v>
      </c>
      <c r="B34" s="47"/>
      <c r="C34" s="47" t="s">
        <v>118</v>
      </c>
      <c r="D34" s="48"/>
      <c r="E34" s="48"/>
      <c r="F34" s="49"/>
      <c r="G34" s="49"/>
      <c r="H34" s="47"/>
    </row>
    <row r="35" spans="1:8" ht="18" customHeight="1" x14ac:dyDescent="0.25">
      <c r="A35" s="46">
        <v>20</v>
      </c>
      <c r="B35" s="50"/>
      <c r="C35" s="50" t="s">
        <v>119</v>
      </c>
      <c r="D35" s="51"/>
      <c r="E35" s="51"/>
      <c r="F35" s="52"/>
      <c r="G35" s="52"/>
      <c r="H35" s="50"/>
    </row>
    <row r="36" spans="1:8" ht="18" customHeight="1" x14ac:dyDescent="0.25">
      <c r="A36" s="46">
        <v>21</v>
      </c>
      <c r="B36" s="47"/>
      <c r="C36" s="47" t="s">
        <v>120</v>
      </c>
      <c r="D36" s="48"/>
      <c r="E36" s="48"/>
      <c r="F36" s="49"/>
      <c r="G36" s="49"/>
      <c r="H36" s="47"/>
    </row>
    <row r="37" spans="1:8" ht="18" customHeight="1" x14ac:dyDescent="0.25">
      <c r="A37" s="46">
        <v>22</v>
      </c>
      <c r="B37" s="50"/>
      <c r="C37" s="50" t="s">
        <v>121</v>
      </c>
      <c r="D37" s="51"/>
      <c r="E37" s="51"/>
      <c r="F37" s="52"/>
      <c r="G37" s="52"/>
      <c r="H37" s="50"/>
    </row>
    <row r="38" spans="1:8" ht="18" customHeight="1" x14ac:dyDescent="0.25">
      <c r="A38" s="46">
        <v>23</v>
      </c>
      <c r="B38" s="47"/>
      <c r="C38" s="47" t="s">
        <v>122</v>
      </c>
      <c r="D38" s="48"/>
      <c r="E38" s="48"/>
      <c r="F38" s="49"/>
      <c r="G38" s="49"/>
      <c r="H38" s="47"/>
    </row>
    <row r="39" spans="1:8" ht="18" customHeight="1" x14ac:dyDescent="0.25">
      <c r="A39" s="46">
        <v>24</v>
      </c>
      <c r="B39" s="50"/>
      <c r="C39" s="50" t="s">
        <v>123</v>
      </c>
      <c r="D39" s="51"/>
      <c r="E39" s="51"/>
      <c r="F39" s="52"/>
      <c r="G39" s="52"/>
      <c r="H39" s="50"/>
    </row>
    <row r="40" spans="1:8" ht="18" customHeight="1" x14ac:dyDescent="0.25">
      <c r="A40" s="46">
        <v>25</v>
      </c>
      <c r="B40" s="47"/>
      <c r="C40" s="47" t="s">
        <v>124</v>
      </c>
      <c r="D40" s="48"/>
      <c r="E40" s="48"/>
      <c r="F40" s="49"/>
      <c r="G40" s="49"/>
      <c r="H40" s="47"/>
    </row>
    <row r="41" spans="1:8" ht="18" customHeight="1" x14ac:dyDescent="0.25">
      <c r="A41" s="46">
        <v>26</v>
      </c>
      <c r="B41" s="50"/>
      <c r="C41" s="50" t="s">
        <v>125</v>
      </c>
      <c r="D41" s="51"/>
      <c r="E41" s="51"/>
      <c r="F41" s="52"/>
      <c r="G41" s="52"/>
      <c r="H41" s="50"/>
    </row>
    <row r="42" spans="1:8" ht="18" customHeight="1" x14ac:dyDescent="0.25">
      <c r="A42" s="46">
        <v>27</v>
      </c>
      <c r="B42" s="47"/>
      <c r="C42" s="47" t="s">
        <v>126</v>
      </c>
      <c r="D42" s="48"/>
      <c r="E42" s="48"/>
      <c r="F42" s="49"/>
      <c r="G42" s="49"/>
      <c r="H42" s="47"/>
    </row>
    <row r="43" spans="1:8" ht="18" customHeight="1" x14ac:dyDescent="0.25">
      <c r="A43" s="46">
        <v>28</v>
      </c>
      <c r="B43" s="50"/>
      <c r="C43" s="50" t="s">
        <v>127</v>
      </c>
      <c r="D43" s="51"/>
      <c r="E43" s="51"/>
      <c r="F43" s="52"/>
      <c r="G43" s="52"/>
      <c r="H43" s="50"/>
    </row>
    <row r="44" spans="1:8" ht="18" customHeight="1" x14ac:dyDescent="0.25">
      <c r="A44" s="46">
        <v>29</v>
      </c>
      <c r="B44" s="47"/>
      <c r="C44" s="47" t="s">
        <v>128</v>
      </c>
      <c r="D44" s="48"/>
      <c r="E44" s="48"/>
      <c r="F44" s="49"/>
      <c r="G44" s="49"/>
      <c r="H44" s="47"/>
    </row>
    <row r="45" spans="1:8" ht="18" customHeight="1" x14ac:dyDescent="0.25">
      <c r="A45" s="46">
        <v>30</v>
      </c>
      <c r="B45" s="50"/>
      <c r="C45" s="50" t="s">
        <v>129</v>
      </c>
      <c r="D45" s="51"/>
      <c r="E45" s="51"/>
      <c r="F45" s="52"/>
      <c r="G45" s="52"/>
      <c r="H45" s="50"/>
    </row>
    <row r="46" spans="1:8" ht="18" customHeight="1" x14ac:dyDescent="0.25">
      <c r="A46" s="46">
        <v>31</v>
      </c>
      <c r="B46" s="47"/>
      <c r="C46" s="47" t="s">
        <v>129</v>
      </c>
      <c r="D46" s="48"/>
      <c r="E46" s="48"/>
      <c r="F46" s="49"/>
      <c r="G46" s="49"/>
      <c r="H46" s="47"/>
    </row>
    <row r="47" spans="1:8" ht="18" customHeight="1" x14ac:dyDescent="0.25">
      <c r="A47" s="46">
        <v>32</v>
      </c>
      <c r="B47" s="50"/>
      <c r="C47" s="50" t="s">
        <v>129</v>
      </c>
      <c r="D47" s="51"/>
      <c r="E47" s="51"/>
      <c r="F47" s="52"/>
      <c r="G47" s="52"/>
      <c r="H47" s="50"/>
    </row>
    <row r="48" spans="1:8" ht="18" customHeight="1" x14ac:dyDescent="0.25">
      <c r="A48" s="46">
        <v>33</v>
      </c>
      <c r="B48" s="47"/>
      <c r="C48" s="47" t="s">
        <v>129</v>
      </c>
      <c r="D48" s="48"/>
      <c r="E48" s="48"/>
      <c r="F48" s="49"/>
      <c r="G48" s="49"/>
      <c r="H48" s="47"/>
    </row>
    <row r="49" spans="1:8" ht="18" customHeight="1" x14ac:dyDescent="0.25">
      <c r="A49" s="46">
        <v>34</v>
      </c>
      <c r="B49" s="50"/>
      <c r="C49" s="50" t="s">
        <v>130</v>
      </c>
      <c r="D49" s="51"/>
      <c r="E49" s="51"/>
      <c r="F49" s="52"/>
      <c r="G49" s="52"/>
      <c r="H49" s="50"/>
    </row>
    <row r="50" spans="1:8" ht="18" customHeight="1" x14ac:dyDescent="0.25">
      <c r="A50" s="46">
        <v>35</v>
      </c>
      <c r="B50" s="47"/>
      <c r="C50" s="47" t="s">
        <v>131</v>
      </c>
      <c r="D50" s="48"/>
      <c r="E50" s="48"/>
      <c r="F50" s="49"/>
      <c r="G50" s="49"/>
      <c r="H50" s="47"/>
    </row>
    <row r="51" spans="1:8" ht="18" customHeight="1" x14ac:dyDescent="0.25">
      <c r="A51" s="46">
        <v>36</v>
      </c>
      <c r="B51" s="50" t="s">
        <v>572</v>
      </c>
      <c r="C51" s="50" t="s">
        <v>104</v>
      </c>
      <c r="D51" s="51" t="s">
        <v>410</v>
      </c>
      <c r="E51" s="51" t="s">
        <v>5</v>
      </c>
      <c r="F51" s="52"/>
      <c r="G51" s="52"/>
      <c r="H51" s="50" t="s">
        <v>411</v>
      </c>
    </row>
    <row r="52" spans="1:8" ht="18" customHeight="1" x14ac:dyDescent="0.25">
      <c r="A52" s="46">
        <v>37</v>
      </c>
      <c r="B52" s="47" t="s">
        <v>577</v>
      </c>
      <c r="C52" s="47" t="s">
        <v>105</v>
      </c>
      <c r="D52" s="48" t="s">
        <v>410</v>
      </c>
      <c r="E52" s="48" t="s">
        <v>5</v>
      </c>
      <c r="F52" s="49"/>
      <c r="G52" s="49"/>
      <c r="H52" s="47" t="s">
        <v>411</v>
      </c>
    </row>
    <row r="53" spans="1:8" ht="18" customHeight="1" x14ac:dyDescent="0.25">
      <c r="A53" s="46">
        <v>38</v>
      </c>
      <c r="B53" s="50" t="s">
        <v>581</v>
      </c>
      <c r="C53" s="50" t="s">
        <v>106</v>
      </c>
      <c r="D53" s="51" t="s">
        <v>410</v>
      </c>
      <c r="E53" s="51" t="s">
        <v>5</v>
      </c>
      <c r="F53" s="52"/>
      <c r="G53" s="52"/>
      <c r="H53" s="50" t="s">
        <v>411</v>
      </c>
    </row>
    <row r="54" spans="1:8" ht="18" customHeight="1" x14ac:dyDescent="0.25">
      <c r="A54" s="46">
        <v>39</v>
      </c>
      <c r="B54" s="47"/>
      <c r="C54" s="47" t="s">
        <v>107</v>
      </c>
      <c r="D54" s="48"/>
      <c r="E54" s="48"/>
      <c r="F54" s="49"/>
      <c r="G54" s="49"/>
      <c r="H54" s="47"/>
    </row>
    <row r="55" spans="1:8" ht="18" customHeight="1" x14ac:dyDescent="0.25">
      <c r="A55" s="46">
        <v>40</v>
      </c>
      <c r="B55" s="50" t="s">
        <v>585</v>
      </c>
      <c r="C55" s="50" t="s">
        <v>108</v>
      </c>
      <c r="D55" s="51" t="s">
        <v>410</v>
      </c>
      <c r="E55" s="51" t="s">
        <v>5</v>
      </c>
      <c r="F55" s="52"/>
      <c r="G55" s="52"/>
      <c r="H55" s="50" t="s">
        <v>411</v>
      </c>
    </row>
    <row r="56" spans="1:8" ht="18" customHeight="1" x14ac:dyDescent="0.25">
      <c r="A56" s="46">
        <v>41</v>
      </c>
      <c r="B56" s="47"/>
      <c r="C56" s="47" t="s">
        <v>109</v>
      </c>
      <c r="D56" s="48"/>
      <c r="E56" s="48"/>
      <c r="F56" s="49"/>
      <c r="G56" s="49"/>
      <c r="H56" s="47"/>
    </row>
    <row r="57" spans="1:8" ht="18" customHeight="1" x14ac:dyDescent="0.25">
      <c r="A57" s="46">
        <v>42</v>
      </c>
      <c r="B57" s="50"/>
      <c r="C57" s="50" t="s">
        <v>110</v>
      </c>
      <c r="D57" s="51"/>
      <c r="E57" s="51"/>
      <c r="F57" s="52"/>
      <c r="G57" s="52"/>
      <c r="H57" s="47" t="s">
        <v>588</v>
      </c>
    </row>
    <row r="58" spans="1:8" ht="18" customHeight="1" x14ac:dyDescent="0.25">
      <c r="A58" s="46">
        <v>43</v>
      </c>
      <c r="B58" t="s">
        <v>567</v>
      </c>
      <c r="C58" t="s">
        <v>543</v>
      </c>
      <c r="D58" s="48"/>
      <c r="E58" s="48"/>
      <c r="F58" s="62">
        <v>46099</v>
      </c>
      <c r="G58" s="49"/>
      <c r="H58" s="47"/>
    </row>
    <row r="59" spans="1:8" ht="18" customHeight="1" x14ac:dyDescent="0.25">
      <c r="A59" s="46">
        <v>45</v>
      </c>
      <c r="B59" s="47"/>
      <c r="C59" s="47" t="s">
        <v>111</v>
      </c>
      <c r="D59" s="48"/>
      <c r="E59" s="48"/>
      <c r="F59" s="49"/>
      <c r="G59" s="49"/>
      <c r="H59" s="47"/>
    </row>
    <row r="60" spans="1:8" ht="18" customHeight="1" x14ac:dyDescent="0.25">
      <c r="A60" s="46">
        <v>47</v>
      </c>
      <c r="B60" s="47"/>
      <c r="C60" s="47" t="s">
        <v>112</v>
      </c>
      <c r="D60" s="48"/>
      <c r="E60" s="48"/>
      <c r="F60" s="49"/>
      <c r="G60" s="49"/>
      <c r="H60" s="47"/>
    </row>
    <row r="61" spans="1:8" ht="18" customHeight="1" x14ac:dyDescent="0.25">
      <c r="A61" s="46">
        <v>48</v>
      </c>
      <c r="B61" s="50"/>
      <c r="C61" s="50" t="s">
        <v>113</v>
      </c>
      <c r="D61" s="51"/>
      <c r="E61" s="51"/>
      <c r="F61" s="52"/>
      <c r="G61" s="52"/>
      <c r="H61" s="50"/>
    </row>
    <row r="62" spans="1:8" ht="18" customHeight="1" x14ac:dyDescent="0.25">
      <c r="A62" s="46">
        <v>49</v>
      </c>
      <c r="B62" s="47"/>
      <c r="C62" s="47" t="s">
        <v>114</v>
      </c>
      <c r="D62" s="48"/>
      <c r="E62" s="48"/>
      <c r="F62" s="49"/>
      <c r="G62" s="49"/>
      <c r="H62" s="47"/>
    </row>
    <row r="63" spans="1:8" ht="18" customHeight="1" x14ac:dyDescent="0.25">
      <c r="A63" s="46">
        <v>50</v>
      </c>
      <c r="B63" s="50"/>
      <c r="C63" s="50" t="s">
        <v>115</v>
      </c>
      <c r="D63" s="51"/>
      <c r="E63" s="51"/>
      <c r="F63" s="52"/>
      <c r="G63" s="52"/>
      <c r="H63" s="50"/>
    </row>
    <row r="64" spans="1:8" ht="18" customHeight="1" x14ac:dyDescent="0.25">
      <c r="A64" s="46">
        <v>51</v>
      </c>
      <c r="B64" s="47"/>
      <c r="C64" s="47" t="s">
        <v>116</v>
      </c>
      <c r="D64" s="48"/>
      <c r="E64" s="48"/>
      <c r="F64" s="49"/>
      <c r="G64" s="49"/>
      <c r="H64" s="47"/>
    </row>
    <row r="65" spans="1:8" ht="18" customHeight="1" x14ac:dyDescent="0.25">
      <c r="A65" s="46">
        <v>52</v>
      </c>
      <c r="B65" s="50"/>
      <c r="C65" s="50" t="s">
        <v>117</v>
      </c>
      <c r="D65" s="51"/>
      <c r="E65" s="51"/>
      <c r="F65" s="52"/>
      <c r="G65" s="52"/>
      <c r="H65" s="50"/>
    </row>
    <row r="66" spans="1:8" ht="18" customHeight="1" x14ac:dyDescent="0.25">
      <c r="A66" s="46">
        <v>53</v>
      </c>
      <c r="B66" s="47"/>
      <c r="C66" s="47" t="s">
        <v>132</v>
      </c>
      <c r="D66" s="48"/>
      <c r="E66" s="48"/>
      <c r="F66" s="49"/>
      <c r="G66" s="49"/>
      <c r="H66" s="47"/>
    </row>
    <row r="67" spans="1:8" ht="18" customHeight="1" x14ac:dyDescent="0.25">
      <c r="A67" s="46">
        <v>54</v>
      </c>
      <c r="B67" s="50"/>
      <c r="C67" s="50" t="s">
        <v>133</v>
      </c>
      <c r="D67" s="51"/>
      <c r="E67" s="51"/>
      <c r="F67" s="52"/>
      <c r="G67" s="52"/>
      <c r="H67" s="50"/>
    </row>
    <row r="68" spans="1:8" ht="18" customHeight="1" x14ac:dyDescent="0.25">
      <c r="A68" s="46">
        <v>55</v>
      </c>
      <c r="B68" s="47"/>
      <c r="C68" s="47" t="s">
        <v>134</v>
      </c>
      <c r="D68" s="48"/>
      <c r="E68" s="48"/>
      <c r="F68" s="49"/>
      <c r="G68" s="49"/>
      <c r="H68" s="47"/>
    </row>
    <row r="69" spans="1:8" ht="18" customHeight="1" x14ac:dyDescent="0.25">
      <c r="A69" s="46">
        <v>56</v>
      </c>
      <c r="B69" s="50"/>
      <c r="C69" s="50" t="s">
        <v>135</v>
      </c>
      <c r="D69" s="51"/>
      <c r="E69" s="51"/>
      <c r="F69" s="52"/>
      <c r="G69" s="52"/>
      <c r="H69" s="50"/>
    </row>
    <row r="70" spans="1:8" ht="18" customHeight="1" x14ac:dyDescent="0.25">
      <c r="A70" s="46">
        <v>57</v>
      </c>
      <c r="B70" s="47"/>
      <c r="C70" s="47" t="s">
        <v>136</v>
      </c>
      <c r="D70" s="48"/>
      <c r="E70" s="48"/>
      <c r="F70" s="49"/>
      <c r="G70" s="49"/>
      <c r="H70" s="47"/>
    </row>
    <row r="71" spans="1:8" ht="18" customHeight="1" x14ac:dyDescent="0.25">
      <c r="A71" s="46">
        <v>59</v>
      </c>
      <c r="B71" s="47"/>
      <c r="C71" s="47" t="s">
        <v>137</v>
      </c>
      <c r="D71" s="48"/>
      <c r="E71" s="48"/>
      <c r="F71" s="49"/>
      <c r="G71" s="49"/>
      <c r="H71" s="47"/>
    </row>
    <row r="72" spans="1:8" ht="18" customHeight="1" x14ac:dyDescent="0.25">
      <c r="A72" s="46">
        <v>60</v>
      </c>
      <c r="B72" s="50"/>
      <c r="C72" s="50" t="s">
        <v>138</v>
      </c>
      <c r="D72" s="51"/>
      <c r="E72" s="51"/>
      <c r="F72" s="52"/>
      <c r="G72" s="52"/>
      <c r="H72" s="50"/>
    </row>
    <row r="73" spans="1:8" ht="18" customHeight="1" x14ac:dyDescent="0.25">
      <c r="A73" s="46">
        <v>61</v>
      </c>
      <c r="B73" s="47"/>
      <c r="C73" s="47" t="s">
        <v>289</v>
      </c>
      <c r="D73" s="48"/>
      <c r="E73" s="48"/>
      <c r="F73" s="49"/>
      <c r="G73" s="49"/>
      <c r="H73" s="47"/>
    </row>
    <row r="74" spans="1:8" ht="18" customHeight="1" x14ac:dyDescent="0.25">
      <c r="A74" s="46">
        <v>62</v>
      </c>
      <c r="B74" s="50"/>
      <c r="C74" s="50" t="s">
        <v>290</v>
      </c>
      <c r="D74" s="51"/>
      <c r="E74" s="51"/>
      <c r="F74" s="52"/>
      <c r="G74" s="52"/>
      <c r="H74" s="50"/>
    </row>
    <row r="75" spans="1:8" ht="18" customHeight="1" x14ac:dyDescent="0.25">
      <c r="A75" s="46">
        <v>63</v>
      </c>
      <c r="B75" s="47"/>
      <c r="C75" s="47" t="s">
        <v>291</v>
      </c>
      <c r="D75" s="48"/>
      <c r="E75" s="48"/>
      <c r="F75" s="49"/>
      <c r="G75" s="49"/>
      <c r="H75" s="47"/>
    </row>
    <row r="76" spans="1:8" ht="18" customHeight="1" x14ac:dyDescent="0.25">
      <c r="A76" s="46">
        <v>64</v>
      </c>
      <c r="B76" s="50"/>
      <c r="C76" s="50" t="s">
        <v>292</v>
      </c>
      <c r="D76" s="51"/>
      <c r="E76" s="51"/>
      <c r="F76" s="52"/>
      <c r="G76" s="52"/>
      <c r="H76" s="50"/>
    </row>
    <row r="77" spans="1:8" ht="18" customHeight="1" x14ac:dyDescent="0.25">
      <c r="A77" s="46">
        <v>66</v>
      </c>
      <c r="B77" s="50"/>
      <c r="C77" s="50" t="s">
        <v>293</v>
      </c>
      <c r="D77" s="51"/>
      <c r="E77" s="51"/>
      <c r="F77" s="52"/>
      <c r="G77" s="52"/>
      <c r="H77" s="50"/>
    </row>
    <row r="78" spans="1:8" ht="18" customHeight="1" x14ac:dyDescent="0.25">
      <c r="A78" s="46">
        <v>67</v>
      </c>
      <c r="B78" s="47"/>
      <c r="C78" s="47"/>
      <c r="D78" s="48"/>
      <c r="E78" s="48"/>
      <c r="F78" s="49"/>
      <c r="G78" s="49"/>
      <c r="H78" s="47"/>
    </row>
    <row r="79" spans="1:8" ht="18" customHeight="1" x14ac:dyDescent="0.25">
      <c r="A79" s="46">
        <v>68</v>
      </c>
      <c r="B79" s="50"/>
      <c r="C79" s="50" t="s">
        <v>167</v>
      </c>
      <c r="D79" s="51"/>
      <c r="E79" s="51"/>
      <c r="F79" s="52"/>
      <c r="G79" s="52"/>
      <c r="H79" s="50"/>
    </row>
    <row r="80" spans="1:8" ht="18" customHeight="1" x14ac:dyDescent="0.25">
      <c r="A80" s="46">
        <v>69</v>
      </c>
      <c r="B80" s="47"/>
      <c r="C80" s="47" t="s">
        <v>168</v>
      </c>
      <c r="D80" s="48"/>
      <c r="E80" s="48"/>
      <c r="F80" s="49"/>
      <c r="G80" s="49"/>
      <c r="H80" s="47"/>
    </row>
    <row r="81" spans="1:8" ht="18" customHeight="1" x14ac:dyDescent="0.25">
      <c r="A81" s="46">
        <v>70</v>
      </c>
      <c r="B81" s="50"/>
      <c r="C81" s="50" t="s">
        <v>169</v>
      </c>
      <c r="D81" s="51"/>
      <c r="E81" s="51"/>
      <c r="F81" s="52"/>
      <c r="G81" s="52"/>
      <c r="H81" s="50"/>
    </row>
    <row r="82" spans="1:8" ht="18" customHeight="1" x14ac:dyDescent="0.25">
      <c r="A82" s="46">
        <v>71</v>
      </c>
      <c r="B82" s="47"/>
      <c r="C82" s="47" t="s">
        <v>170</v>
      </c>
      <c r="D82" s="48"/>
      <c r="E82" s="48"/>
      <c r="F82" s="49"/>
      <c r="G82" s="49"/>
      <c r="H82" s="47"/>
    </row>
    <row r="83" spans="1:8" ht="18" customHeight="1" x14ac:dyDescent="0.25">
      <c r="A83" s="46">
        <v>72</v>
      </c>
      <c r="B83" s="50"/>
      <c r="C83" s="50" t="s">
        <v>171</v>
      </c>
      <c r="D83" s="51"/>
      <c r="E83" s="51"/>
      <c r="F83" s="52"/>
      <c r="G83" s="52"/>
      <c r="H83" s="50"/>
    </row>
    <row r="84" spans="1:8" ht="18" customHeight="1" x14ac:dyDescent="0.25">
      <c r="A84" s="46">
        <v>73</v>
      </c>
      <c r="B84" s="47"/>
      <c r="C84" s="47" t="s">
        <v>172</v>
      </c>
      <c r="D84" s="48"/>
      <c r="E84" s="48"/>
      <c r="F84" s="49"/>
      <c r="G84" s="49"/>
      <c r="H84" s="47"/>
    </row>
    <row r="85" spans="1:8" ht="18" customHeight="1" x14ac:dyDescent="0.25">
      <c r="A85" s="46">
        <v>74</v>
      </c>
      <c r="B85" s="50"/>
      <c r="C85" s="50" t="s">
        <v>173</v>
      </c>
      <c r="D85" s="51"/>
      <c r="E85" s="51"/>
      <c r="F85" s="52"/>
      <c r="G85" s="52"/>
      <c r="H85" s="50"/>
    </row>
    <row r="86" spans="1:8" ht="18" customHeight="1" x14ac:dyDescent="0.25">
      <c r="A86" s="46">
        <v>75</v>
      </c>
      <c r="B86" s="47"/>
      <c r="C86" s="47" t="s">
        <v>174</v>
      </c>
      <c r="D86" s="48"/>
      <c r="E86" s="48"/>
      <c r="F86" s="49"/>
      <c r="G86" s="49"/>
      <c r="H86" s="47"/>
    </row>
    <row r="87" spans="1:8" ht="18" customHeight="1" x14ac:dyDescent="0.25">
      <c r="A87" s="46">
        <v>76</v>
      </c>
      <c r="B87" s="50"/>
      <c r="C87" s="50" t="s">
        <v>175</v>
      </c>
      <c r="D87" s="51"/>
      <c r="E87" s="51"/>
      <c r="F87" s="52"/>
      <c r="G87" s="52"/>
      <c r="H87" s="50"/>
    </row>
    <row r="88" spans="1:8" ht="18" customHeight="1" x14ac:dyDescent="0.25">
      <c r="A88" s="46">
        <v>77</v>
      </c>
      <c r="B88" s="47"/>
      <c r="C88" s="47" t="s">
        <v>176</v>
      </c>
      <c r="D88" s="48"/>
      <c r="E88" s="48"/>
      <c r="F88" s="49"/>
      <c r="G88" s="49"/>
      <c r="H88" s="47"/>
    </row>
    <row r="89" spans="1:8" ht="18" customHeight="1" x14ac:dyDescent="0.25">
      <c r="A89" s="46">
        <v>78</v>
      </c>
      <c r="B89" s="50"/>
      <c r="C89" s="50" t="s">
        <v>139</v>
      </c>
      <c r="D89" s="51"/>
      <c r="E89" s="51"/>
      <c r="F89" s="52"/>
      <c r="G89" s="52"/>
      <c r="H89" s="50"/>
    </row>
    <row r="90" spans="1:8" ht="18" customHeight="1" x14ac:dyDescent="0.25">
      <c r="A90" s="46">
        <v>79</v>
      </c>
      <c r="B90" s="47" t="s">
        <v>653</v>
      </c>
      <c r="C90" s="47" t="s">
        <v>177</v>
      </c>
      <c r="D90" s="48"/>
      <c r="E90" s="48"/>
      <c r="F90" s="49"/>
      <c r="G90" s="49"/>
      <c r="H90" s="47"/>
    </row>
    <row r="91" spans="1:8" ht="18" customHeight="1" x14ac:dyDescent="0.25">
      <c r="A91" s="46">
        <v>80</v>
      </c>
      <c r="B91" s="50"/>
      <c r="C91" s="50" t="s">
        <v>178</v>
      </c>
      <c r="D91" s="51"/>
      <c r="E91" s="51"/>
      <c r="F91" s="52"/>
      <c r="G91" s="52"/>
      <c r="H91" s="50"/>
    </row>
    <row r="92" spans="1:8" ht="18" customHeight="1" x14ac:dyDescent="0.25">
      <c r="A92" s="46">
        <v>81</v>
      </c>
      <c r="B92" s="47"/>
      <c r="C92" s="47" t="s">
        <v>409</v>
      </c>
      <c r="D92" s="48"/>
      <c r="E92" s="48"/>
      <c r="F92" s="49"/>
      <c r="G92" s="49"/>
      <c r="H92" s="47"/>
    </row>
    <row r="93" spans="1:8" ht="18" customHeight="1" x14ac:dyDescent="0.25">
      <c r="A93" s="46">
        <v>82</v>
      </c>
      <c r="B93" s="50"/>
      <c r="C93" s="50" t="s">
        <v>424</v>
      </c>
      <c r="D93" s="51"/>
      <c r="E93" s="51"/>
      <c r="F93" s="52"/>
      <c r="G93" s="52"/>
      <c r="H93" s="50" t="s">
        <v>425</v>
      </c>
    </row>
    <row r="94" spans="1:8" ht="18" customHeight="1" x14ac:dyDescent="0.25">
      <c r="A94" s="46">
        <v>83</v>
      </c>
      <c r="B94" s="47"/>
      <c r="C94" s="47"/>
      <c r="D94" s="48"/>
      <c r="E94" s="48"/>
      <c r="F94" s="49"/>
      <c r="G94" s="49"/>
      <c r="H94" s="47"/>
    </row>
    <row r="95" spans="1:8" ht="18" customHeight="1" x14ac:dyDescent="0.25">
      <c r="A95" s="46">
        <v>84</v>
      </c>
      <c r="B95" s="50"/>
      <c r="C95" s="50"/>
      <c r="D95" s="51"/>
      <c r="E95" s="51"/>
      <c r="F95" s="52"/>
      <c r="G95" s="52"/>
      <c r="H95" s="50"/>
    </row>
    <row r="96" spans="1:8" ht="18" customHeight="1" x14ac:dyDescent="0.25">
      <c r="A96" s="46">
        <v>85</v>
      </c>
      <c r="B96" s="47"/>
      <c r="C96" s="47"/>
      <c r="D96" s="48"/>
      <c r="E96" s="48"/>
      <c r="F96" s="49"/>
      <c r="G96" s="49"/>
      <c r="H96" s="47"/>
    </row>
    <row r="97" spans="1:8" ht="18" customHeight="1" x14ac:dyDescent="0.25">
      <c r="A97" s="46">
        <v>86</v>
      </c>
      <c r="B97" s="50"/>
      <c r="C97" s="50"/>
      <c r="D97" s="51"/>
      <c r="E97" s="51"/>
      <c r="F97" s="52"/>
      <c r="G97" s="52"/>
      <c r="H97" s="50"/>
    </row>
    <row r="98" spans="1:8" ht="18" customHeight="1" x14ac:dyDescent="0.25">
      <c r="A98" s="46">
        <v>87</v>
      </c>
      <c r="B98" s="47"/>
      <c r="C98" s="47"/>
      <c r="D98" s="48"/>
      <c r="E98" s="48"/>
      <c r="F98" s="49"/>
      <c r="G98" s="49"/>
      <c r="H98" s="47"/>
    </row>
    <row r="99" spans="1:8" ht="18" customHeight="1" x14ac:dyDescent="0.25">
      <c r="A99" s="46">
        <v>88</v>
      </c>
      <c r="B99" s="50"/>
      <c r="C99" s="50"/>
      <c r="D99" s="51"/>
      <c r="E99" s="51"/>
      <c r="F99" s="52"/>
      <c r="G99" s="52"/>
      <c r="H99" s="50"/>
    </row>
    <row r="100" spans="1:8" ht="18" customHeight="1" x14ac:dyDescent="0.25">
      <c r="A100" s="46">
        <v>89</v>
      </c>
      <c r="B100" s="47"/>
      <c r="C100" s="47"/>
      <c r="D100" s="48"/>
      <c r="E100" s="48"/>
      <c r="F100" s="49"/>
      <c r="G100" s="49"/>
      <c r="H100" s="47"/>
    </row>
    <row r="101" spans="1:8" ht="18" customHeight="1" x14ac:dyDescent="0.25">
      <c r="A101" s="46">
        <v>90</v>
      </c>
      <c r="B101" s="50"/>
      <c r="C101" s="50"/>
      <c r="D101" s="51"/>
      <c r="E101" s="51"/>
      <c r="F101" s="52"/>
      <c r="G101" s="52"/>
      <c r="H101" s="50"/>
    </row>
    <row r="102" spans="1:8" ht="18" customHeight="1" x14ac:dyDescent="0.25">
      <c r="A102" s="46">
        <v>91</v>
      </c>
      <c r="B102" s="47"/>
      <c r="C102" s="47"/>
      <c r="D102" s="48"/>
      <c r="E102" s="48"/>
      <c r="F102" s="49"/>
      <c r="G102" s="49"/>
      <c r="H102" s="47"/>
    </row>
    <row r="103" spans="1:8" ht="18" customHeight="1" x14ac:dyDescent="0.25">
      <c r="A103" s="46">
        <v>92</v>
      </c>
      <c r="B103" s="50"/>
      <c r="C103" s="50"/>
      <c r="D103" s="51"/>
      <c r="E103" s="51"/>
      <c r="F103" s="52"/>
      <c r="G103" s="52"/>
      <c r="H103" s="50"/>
    </row>
    <row r="104" spans="1:8" ht="18" customHeight="1" x14ac:dyDescent="0.25">
      <c r="A104" s="46">
        <v>93</v>
      </c>
      <c r="B104" s="47"/>
      <c r="C104" s="47"/>
      <c r="D104" s="48"/>
      <c r="E104" s="48"/>
      <c r="F104" s="49"/>
      <c r="G104" s="49"/>
      <c r="H104" s="47"/>
    </row>
    <row r="105" spans="1:8" ht="18" customHeight="1" x14ac:dyDescent="0.25">
      <c r="A105" s="46">
        <v>94</v>
      </c>
      <c r="B105" s="50"/>
      <c r="C105" s="50"/>
      <c r="D105" s="51"/>
      <c r="E105" s="51"/>
      <c r="F105" s="52"/>
      <c r="G105" s="52"/>
      <c r="H105" s="50"/>
    </row>
    <row r="106" spans="1:8" ht="18" customHeight="1" x14ac:dyDescent="0.25">
      <c r="A106" s="46">
        <v>95</v>
      </c>
      <c r="B106" s="47"/>
      <c r="C106" s="47"/>
      <c r="D106" s="48"/>
      <c r="E106" s="48"/>
      <c r="F106" s="49"/>
      <c r="G106" s="49"/>
      <c r="H106" s="47"/>
    </row>
    <row r="107" spans="1:8" ht="18" customHeight="1" x14ac:dyDescent="0.25">
      <c r="A107" s="46">
        <v>96</v>
      </c>
      <c r="B107" s="50"/>
      <c r="C107" s="50"/>
      <c r="D107" s="51"/>
      <c r="E107" s="51"/>
      <c r="F107" s="52"/>
      <c r="G107" s="52"/>
      <c r="H107" s="50"/>
    </row>
    <row r="108" spans="1:8" ht="18" customHeight="1" x14ac:dyDescent="0.25">
      <c r="A108" s="46">
        <v>97</v>
      </c>
      <c r="B108" s="47"/>
      <c r="C108" s="47"/>
      <c r="D108" s="48"/>
      <c r="E108" s="48"/>
      <c r="F108" s="49"/>
      <c r="G108" s="49"/>
      <c r="H108" s="47"/>
    </row>
    <row r="109" spans="1:8" ht="18" customHeight="1" x14ac:dyDescent="0.25">
      <c r="A109" s="46">
        <v>98</v>
      </c>
      <c r="B109" s="50"/>
      <c r="C109" s="50"/>
      <c r="D109" s="51"/>
      <c r="E109" s="51"/>
      <c r="F109" s="52"/>
      <c r="G109" s="52"/>
      <c r="H109" s="50"/>
    </row>
    <row r="110" spans="1:8" ht="18" customHeight="1" x14ac:dyDescent="0.25">
      <c r="A110" s="46">
        <v>99</v>
      </c>
      <c r="B110" s="47"/>
      <c r="C110" s="47"/>
      <c r="D110" s="48"/>
      <c r="E110" s="48"/>
      <c r="F110" s="49"/>
      <c r="G110" s="49"/>
      <c r="H110" s="47"/>
    </row>
    <row r="111" spans="1:8" ht="18" customHeight="1" x14ac:dyDescent="0.25">
      <c r="A111" s="46">
        <v>100</v>
      </c>
      <c r="B111" s="50"/>
      <c r="C111" s="50"/>
      <c r="D111" s="51"/>
      <c r="E111" s="51"/>
      <c r="F111" s="52"/>
      <c r="G111" s="52"/>
      <c r="H111" s="50"/>
    </row>
  </sheetData>
  <autoFilter ref="A10:K111" xr:uid="{00000000-0001-0000-0400-000000000000}"/>
  <mergeCells count="10">
    <mergeCell ref="A4:B4"/>
    <mergeCell ref="D4:K4"/>
    <mergeCell ref="A9:I9"/>
    <mergeCell ref="A1:K1"/>
    <mergeCell ref="A2:B2"/>
    <mergeCell ref="C2:E2"/>
    <mergeCell ref="F2:K2"/>
    <mergeCell ref="A3:B3"/>
    <mergeCell ref="C3:E3"/>
    <mergeCell ref="F3:K3"/>
  </mergeCells>
  <dataValidations count="2">
    <dataValidation type="list" allowBlank="1" sqref="D11:D111" xr:uid="{00000000-0002-0000-0400-000000000000}">
      <formula1>"Spares,Stores,Lube Oil,Chemicals,Lashing Gear,Others"</formula1>
      <formula2>0</formula2>
    </dataValidation>
    <dataValidation type="list" allowBlank="1" sqref="E11:E111" xr:uid="{00000000-0002-0000-0400-000001000000}">
      <formula1>"Not Created,To Be Created,Pending Approval,Approved &amp; Issued,Pending Delivery,Delivered"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47E772-4390-478E-858A-216B6D45D037}">
  <sheetPr>
    <tabColor theme="3" tint="-0.499984740745262"/>
  </sheetPr>
  <dimension ref="A1"/>
  <sheetViews>
    <sheetView workbookViewId="0">
      <selection activeCell="Q39" sqref="Q39"/>
    </sheetView>
  </sheetViews>
  <sheetFormatPr defaultRowHeight="15" x14ac:dyDescent="0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3" tint="-0.499984740745262"/>
  </sheetPr>
  <dimension ref="A1:K110"/>
  <sheetViews>
    <sheetView showGridLines="0" zoomScaleNormal="100" workbookViewId="0">
      <pane ySplit="10" topLeftCell="A11" activePane="bottomLeft" state="frozen"/>
      <selection activeCell="Q39" sqref="Q39"/>
      <selection pane="bottomLeft" activeCell="Q39" sqref="Q39"/>
    </sheetView>
  </sheetViews>
  <sheetFormatPr defaultColWidth="8.5703125" defaultRowHeight="15" x14ac:dyDescent="0.25"/>
  <cols>
    <col min="1" max="1" width="5" customWidth="1"/>
    <col min="2" max="2" width="14" customWidth="1"/>
    <col min="3" max="4" width="28" customWidth="1"/>
    <col min="5" max="5" width="16" customWidth="1"/>
    <col min="6" max="6" width="20" customWidth="1"/>
    <col min="7" max="7" width="16" customWidth="1"/>
    <col min="8" max="8" width="18" customWidth="1"/>
    <col min="9" max="9" width="42" customWidth="1"/>
    <col min="10" max="11" width="4" customWidth="1"/>
  </cols>
  <sheetData>
    <row r="1" spans="1:11" ht="36" customHeight="1" x14ac:dyDescent="0.25">
      <c r="A1" s="125" t="s">
        <v>13</v>
      </c>
      <c r="B1" s="125"/>
      <c r="C1" s="125"/>
      <c r="D1" s="125"/>
      <c r="E1" s="125"/>
      <c r="F1" s="125"/>
      <c r="G1" s="125"/>
      <c r="H1" s="125"/>
      <c r="I1" s="125"/>
      <c r="J1" s="125"/>
      <c r="K1" s="125"/>
    </row>
    <row r="2" spans="1:11" ht="24" customHeight="1" x14ac:dyDescent="0.25">
      <c r="A2" s="122" t="s">
        <v>14</v>
      </c>
      <c r="B2" s="122"/>
      <c r="C2" s="126"/>
      <c r="D2" s="126"/>
      <c r="E2" s="126"/>
      <c r="F2" s="123" t="s">
        <v>15</v>
      </c>
      <c r="G2" s="123"/>
      <c r="H2" s="123"/>
      <c r="I2" s="123"/>
      <c r="J2" s="123"/>
      <c r="K2" s="123"/>
    </row>
    <row r="3" spans="1:11" ht="24" customHeight="1" x14ac:dyDescent="0.25">
      <c r="A3" s="122" t="s">
        <v>16</v>
      </c>
      <c r="B3" s="122"/>
      <c r="C3" s="126"/>
      <c r="D3" s="126"/>
      <c r="E3" s="126"/>
      <c r="F3" s="123" t="s">
        <v>17</v>
      </c>
      <c r="G3" s="123"/>
      <c r="H3" s="123"/>
      <c r="I3" s="123"/>
      <c r="J3" s="123"/>
      <c r="K3" s="123"/>
    </row>
    <row r="4" spans="1:11" ht="24" customHeight="1" x14ac:dyDescent="0.25">
      <c r="A4" s="122" t="s">
        <v>18</v>
      </c>
      <c r="B4" s="122"/>
      <c r="C4" s="22"/>
      <c r="D4" s="123" t="s">
        <v>19</v>
      </c>
      <c r="E4" s="123"/>
      <c r="F4" s="123"/>
      <c r="G4" s="123"/>
      <c r="H4" s="123"/>
      <c r="I4" s="123"/>
      <c r="J4" s="123"/>
      <c r="K4" s="123"/>
    </row>
    <row r="5" spans="1:11" ht="7.5" customHeight="1" x14ac:dyDescent="0.25"/>
    <row r="6" spans="1:11" ht="21.75" customHeight="1" x14ac:dyDescent="0.25">
      <c r="A6" s="23" t="s">
        <v>3</v>
      </c>
      <c r="B6" s="24" t="s">
        <v>4</v>
      </c>
      <c r="C6" s="25" t="s">
        <v>5</v>
      </c>
      <c r="D6" s="26" t="s">
        <v>6</v>
      </c>
      <c r="E6" s="27" t="s">
        <v>7</v>
      </c>
      <c r="F6" s="28" t="s">
        <v>8</v>
      </c>
      <c r="G6" s="1" t="s">
        <v>9</v>
      </c>
      <c r="H6" s="8" t="s">
        <v>10</v>
      </c>
      <c r="I6" s="7" t="s">
        <v>11</v>
      </c>
    </row>
    <row r="7" spans="1:11" ht="21.75" customHeight="1" x14ac:dyDescent="0.25">
      <c r="A7" s="29">
        <f>COUNTIF(E11:E110,"Not Created")</f>
        <v>0</v>
      </c>
      <c r="B7" s="29">
        <f>COUNTIF(E11:E110,"To Be Created")</f>
        <v>0</v>
      </c>
      <c r="C7" s="29">
        <f>COUNTIF(E11:E110,"Pending Approval")</f>
        <v>0</v>
      </c>
      <c r="D7" s="29">
        <f>COUNTIF(E11:E110,"Approved &amp; Issued")</f>
        <v>0</v>
      </c>
      <c r="E7" s="29">
        <f>COUNTIF(E11:E110,"Pending Delivery")</f>
        <v>0</v>
      </c>
      <c r="F7" s="29">
        <f>COUNTIF(E11:E110,"Delivered")</f>
        <v>0</v>
      </c>
      <c r="G7" s="29">
        <f>COUNTA(B11:B110)</f>
        <v>0</v>
      </c>
      <c r="H7" s="30">
        <f>IF(G7&gt;0,(D7+E7)/G7,0)</f>
        <v>0</v>
      </c>
      <c r="I7" s="30">
        <f>IF(G7&gt;0,F7/G7,0)</f>
        <v>0</v>
      </c>
    </row>
    <row r="8" spans="1:11" ht="7.5" customHeight="1" x14ac:dyDescent="0.25"/>
    <row r="9" spans="1:11" ht="18" customHeight="1" x14ac:dyDescent="0.25">
      <c r="A9" s="124" t="s">
        <v>20</v>
      </c>
      <c r="B9" s="124"/>
      <c r="C9" s="124"/>
      <c r="D9" s="124"/>
      <c r="E9" s="124"/>
      <c r="F9" s="124"/>
      <c r="G9" s="124"/>
      <c r="H9" s="124"/>
      <c r="I9" s="124"/>
    </row>
    <row r="10" spans="1:11" ht="30" customHeight="1" x14ac:dyDescent="0.25">
      <c r="A10" s="1" t="s">
        <v>21</v>
      </c>
      <c r="B10" s="1" t="s">
        <v>22</v>
      </c>
      <c r="C10" s="1" t="s">
        <v>23</v>
      </c>
      <c r="D10" s="1" t="s">
        <v>24</v>
      </c>
      <c r="E10" s="1" t="s">
        <v>25</v>
      </c>
      <c r="F10" s="1" t="s">
        <v>26</v>
      </c>
      <c r="G10" s="1" t="s">
        <v>27</v>
      </c>
      <c r="H10" s="1" t="s">
        <v>28</v>
      </c>
    </row>
    <row r="11" spans="1:11" ht="18" customHeight="1" x14ac:dyDescent="0.25">
      <c r="A11" s="31">
        <v>1</v>
      </c>
      <c r="B11" s="10"/>
      <c r="C11" s="10"/>
      <c r="D11" s="11"/>
      <c r="E11" s="11"/>
      <c r="F11" s="32"/>
      <c r="G11" s="32"/>
      <c r="H11" s="10"/>
    </row>
    <row r="12" spans="1:11" ht="18" customHeight="1" x14ac:dyDescent="0.25">
      <c r="A12" s="31">
        <v>2</v>
      </c>
      <c r="B12" s="33"/>
      <c r="C12" s="33"/>
      <c r="D12" s="34"/>
      <c r="E12" s="34"/>
      <c r="F12" s="35"/>
      <c r="G12" s="35"/>
      <c r="H12" s="33"/>
    </row>
    <row r="13" spans="1:11" ht="18" customHeight="1" x14ac:dyDescent="0.25">
      <c r="A13" s="31">
        <v>3</v>
      </c>
      <c r="B13" s="10"/>
      <c r="C13" s="10"/>
      <c r="D13" s="11"/>
      <c r="E13" s="11"/>
      <c r="F13" s="32"/>
      <c r="G13" s="32"/>
      <c r="H13" s="10"/>
    </row>
    <row r="14" spans="1:11" ht="18" customHeight="1" x14ac:dyDescent="0.25">
      <c r="A14" s="31">
        <v>4</v>
      </c>
      <c r="B14" s="33"/>
      <c r="C14" s="33"/>
      <c r="D14" s="34"/>
      <c r="E14" s="34"/>
      <c r="F14" s="35"/>
      <c r="G14" s="35"/>
      <c r="H14" s="33"/>
    </row>
    <row r="15" spans="1:11" ht="18" customHeight="1" x14ac:dyDescent="0.25">
      <c r="A15" s="31">
        <v>5</v>
      </c>
      <c r="B15" s="10"/>
      <c r="C15" s="10"/>
      <c r="D15" s="11"/>
      <c r="E15" s="11"/>
      <c r="F15" s="32"/>
      <c r="G15" s="32"/>
      <c r="H15" s="10"/>
    </row>
    <row r="16" spans="1:11" ht="18" customHeight="1" x14ac:dyDescent="0.25">
      <c r="A16" s="31">
        <v>6</v>
      </c>
      <c r="B16" s="33"/>
      <c r="C16" s="33"/>
      <c r="D16" s="34"/>
      <c r="E16" s="34"/>
      <c r="F16" s="35"/>
      <c r="G16" s="35"/>
      <c r="H16" s="33"/>
    </row>
    <row r="17" spans="1:8" ht="18" customHeight="1" x14ac:dyDescent="0.25">
      <c r="A17" s="31">
        <v>7</v>
      </c>
      <c r="B17" s="10"/>
      <c r="C17" s="10"/>
      <c r="D17" s="11"/>
      <c r="E17" s="11"/>
      <c r="F17" s="32"/>
      <c r="G17" s="32"/>
      <c r="H17" s="10"/>
    </row>
    <row r="18" spans="1:8" ht="18" customHeight="1" x14ac:dyDescent="0.25">
      <c r="A18" s="31">
        <v>8</v>
      </c>
      <c r="B18" s="33"/>
      <c r="C18" s="33"/>
      <c r="D18" s="34"/>
      <c r="E18" s="34"/>
      <c r="F18" s="35"/>
      <c r="G18" s="35"/>
      <c r="H18" s="33"/>
    </row>
    <row r="19" spans="1:8" ht="18" customHeight="1" x14ac:dyDescent="0.25">
      <c r="A19" s="31">
        <v>9</v>
      </c>
      <c r="B19" s="10"/>
      <c r="C19" s="10"/>
      <c r="D19" s="11"/>
      <c r="E19" s="11"/>
      <c r="F19" s="32"/>
      <c r="G19" s="32"/>
      <c r="H19" s="10"/>
    </row>
    <row r="20" spans="1:8" ht="18" customHeight="1" x14ac:dyDescent="0.25">
      <c r="A20" s="31">
        <v>10</v>
      </c>
      <c r="B20" s="33"/>
      <c r="C20" s="33"/>
      <c r="D20" s="34"/>
      <c r="E20" s="34"/>
      <c r="F20" s="35"/>
      <c r="G20" s="35"/>
      <c r="H20" s="33"/>
    </row>
    <row r="21" spans="1:8" ht="18" customHeight="1" x14ac:dyDescent="0.25">
      <c r="A21" s="31">
        <v>11</v>
      </c>
      <c r="B21" s="10"/>
      <c r="C21" s="10"/>
      <c r="D21" s="11"/>
      <c r="E21" s="11"/>
      <c r="F21" s="32"/>
      <c r="G21" s="32"/>
      <c r="H21" s="10"/>
    </row>
    <row r="22" spans="1:8" ht="18" customHeight="1" x14ac:dyDescent="0.25">
      <c r="A22" s="31">
        <v>12</v>
      </c>
      <c r="B22" s="33"/>
      <c r="C22" s="33"/>
      <c r="D22" s="34"/>
      <c r="E22" s="34"/>
      <c r="F22" s="35"/>
      <c r="G22" s="35"/>
      <c r="H22" s="33"/>
    </row>
    <row r="23" spans="1:8" ht="18" customHeight="1" x14ac:dyDescent="0.25">
      <c r="A23" s="31">
        <v>13</v>
      </c>
      <c r="B23" s="10"/>
      <c r="C23" s="10"/>
      <c r="D23" s="11"/>
      <c r="E23" s="11"/>
      <c r="F23" s="32"/>
      <c r="G23" s="32"/>
      <c r="H23" s="10"/>
    </row>
    <row r="24" spans="1:8" ht="18" customHeight="1" x14ac:dyDescent="0.25">
      <c r="A24" s="31">
        <v>14</v>
      </c>
      <c r="B24" s="33"/>
      <c r="C24" s="33"/>
      <c r="D24" s="34"/>
      <c r="E24" s="34"/>
      <c r="F24" s="35"/>
      <c r="G24" s="35"/>
      <c r="H24" s="33"/>
    </row>
    <row r="25" spans="1:8" ht="18" customHeight="1" x14ac:dyDescent="0.25">
      <c r="A25" s="31">
        <v>15</v>
      </c>
      <c r="B25" s="10"/>
      <c r="C25" s="10"/>
      <c r="D25" s="11"/>
      <c r="E25" s="11"/>
      <c r="F25" s="32"/>
      <c r="G25" s="32"/>
      <c r="H25" s="10"/>
    </row>
    <row r="26" spans="1:8" ht="18" customHeight="1" x14ac:dyDescent="0.25">
      <c r="A26" s="31">
        <v>16</v>
      </c>
      <c r="B26" s="33"/>
      <c r="C26" s="33"/>
      <c r="D26" s="34"/>
      <c r="E26" s="34"/>
      <c r="F26" s="35"/>
      <c r="G26" s="35"/>
      <c r="H26" s="33"/>
    </row>
    <row r="27" spans="1:8" ht="18" customHeight="1" x14ac:dyDescent="0.25">
      <c r="A27" s="31">
        <v>17</v>
      </c>
      <c r="B27" s="10"/>
      <c r="C27" s="10"/>
      <c r="D27" s="11"/>
      <c r="E27" s="11"/>
      <c r="F27" s="32"/>
      <c r="G27" s="32"/>
      <c r="H27" s="10"/>
    </row>
    <row r="28" spans="1:8" ht="18" customHeight="1" x14ac:dyDescent="0.25">
      <c r="A28" s="31">
        <v>18</v>
      </c>
      <c r="B28" s="33"/>
      <c r="C28" s="33"/>
      <c r="D28" s="34"/>
      <c r="E28" s="34"/>
      <c r="F28" s="35"/>
      <c r="G28" s="35"/>
      <c r="H28" s="33"/>
    </row>
    <row r="29" spans="1:8" ht="18" customHeight="1" x14ac:dyDescent="0.25">
      <c r="A29" s="31">
        <v>19</v>
      </c>
      <c r="B29" s="10"/>
      <c r="C29" s="10"/>
      <c r="D29" s="11"/>
      <c r="E29" s="11"/>
      <c r="F29" s="32"/>
      <c r="G29" s="32"/>
      <c r="H29" s="10"/>
    </row>
    <row r="30" spans="1:8" ht="18" customHeight="1" x14ac:dyDescent="0.25">
      <c r="A30" s="31">
        <v>20</v>
      </c>
      <c r="B30" s="33"/>
      <c r="C30" s="33"/>
      <c r="D30" s="34"/>
      <c r="E30" s="34"/>
      <c r="F30" s="35"/>
      <c r="G30" s="35"/>
      <c r="H30" s="33"/>
    </row>
    <row r="31" spans="1:8" ht="18" customHeight="1" x14ac:dyDescent="0.25">
      <c r="A31" s="31">
        <v>21</v>
      </c>
      <c r="B31" s="10"/>
      <c r="C31" s="10"/>
      <c r="D31" s="11"/>
      <c r="E31" s="11"/>
      <c r="F31" s="32"/>
      <c r="G31" s="32"/>
      <c r="H31" s="10"/>
    </row>
    <row r="32" spans="1:8" ht="18" customHeight="1" x14ac:dyDescent="0.25">
      <c r="A32" s="31">
        <v>22</v>
      </c>
      <c r="B32" s="33"/>
      <c r="C32" s="33"/>
      <c r="D32" s="34"/>
      <c r="E32" s="34"/>
      <c r="F32" s="35"/>
      <c r="G32" s="35"/>
      <c r="H32" s="33"/>
    </row>
    <row r="33" spans="1:8" ht="18" customHeight="1" x14ac:dyDescent="0.25">
      <c r="A33" s="31">
        <v>23</v>
      </c>
      <c r="B33" s="10"/>
      <c r="C33" s="10"/>
      <c r="D33" s="11"/>
      <c r="E33" s="11"/>
      <c r="F33" s="32"/>
      <c r="G33" s="32"/>
      <c r="H33" s="10"/>
    </row>
    <row r="34" spans="1:8" ht="18" customHeight="1" x14ac:dyDescent="0.25">
      <c r="A34" s="31">
        <v>24</v>
      </c>
      <c r="B34" s="33"/>
      <c r="C34" s="33"/>
      <c r="D34" s="34"/>
      <c r="E34" s="34"/>
      <c r="F34" s="35"/>
      <c r="G34" s="35"/>
      <c r="H34" s="33"/>
    </row>
    <row r="35" spans="1:8" ht="18" customHeight="1" x14ac:dyDescent="0.25">
      <c r="A35" s="31">
        <v>25</v>
      </c>
      <c r="B35" s="10"/>
      <c r="C35" s="10"/>
      <c r="D35" s="11"/>
      <c r="E35" s="11"/>
      <c r="F35" s="32"/>
      <c r="G35" s="32"/>
      <c r="H35" s="10"/>
    </row>
    <row r="36" spans="1:8" ht="18" customHeight="1" x14ac:dyDescent="0.25">
      <c r="A36" s="31">
        <v>26</v>
      </c>
      <c r="B36" s="33"/>
      <c r="C36" s="33"/>
      <c r="D36" s="34"/>
      <c r="E36" s="34"/>
      <c r="F36" s="35"/>
      <c r="G36" s="35"/>
      <c r="H36" s="33"/>
    </row>
    <row r="37" spans="1:8" ht="18" customHeight="1" x14ac:dyDescent="0.25">
      <c r="A37" s="31">
        <v>27</v>
      </c>
      <c r="B37" s="10"/>
      <c r="C37" s="10"/>
      <c r="D37" s="11"/>
      <c r="E37" s="11"/>
      <c r="F37" s="32"/>
      <c r="G37" s="32"/>
      <c r="H37" s="10"/>
    </row>
    <row r="38" spans="1:8" ht="18" customHeight="1" x14ac:dyDescent="0.25">
      <c r="A38" s="31">
        <v>28</v>
      </c>
      <c r="B38" s="33"/>
      <c r="C38" s="33"/>
      <c r="D38" s="34"/>
      <c r="E38" s="34"/>
      <c r="F38" s="35"/>
      <c r="G38" s="35"/>
      <c r="H38" s="33"/>
    </row>
    <row r="39" spans="1:8" ht="18" customHeight="1" x14ac:dyDescent="0.25">
      <c r="A39" s="31">
        <v>29</v>
      </c>
      <c r="B39" s="10"/>
      <c r="C39" s="10"/>
      <c r="D39" s="11"/>
      <c r="E39" s="11"/>
      <c r="F39" s="32"/>
      <c r="G39" s="32"/>
      <c r="H39" s="10"/>
    </row>
    <row r="40" spans="1:8" ht="18" customHeight="1" x14ac:dyDescent="0.25">
      <c r="A40" s="31">
        <v>30</v>
      </c>
      <c r="B40" s="33"/>
      <c r="C40" s="33"/>
      <c r="D40" s="34"/>
      <c r="E40" s="34"/>
      <c r="F40" s="35"/>
      <c r="G40" s="35"/>
      <c r="H40" s="33"/>
    </row>
    <row r="41" spans="1:8" ht="18" customHeight="1" x14ac:dyDescent="0.25">
      <c r="A41" s="31">
        <v>31</v>
      </c>
      <c r="B41" s="10"/>
      <c r="C41" s="10"/>
      <c r="D41" s="11"/>
      <c r="E41" s="11"/>
      <c r="F41" s="32"/>
      <c r="G41" s="32"/>
      <c r="H41" s="10"/>
    </row>
    <row r="42" spans="1:8" ht="18" customHeight="1" x14ac:dyDescent="0.25">
      <c r="A42" s="31">
        <v>32</v>
      </c>
      <c r="B42" s="33"/>
      <c r="C42" s="33"/>
      <c r="D42" s="34"/>
      <c r="E42" s="34"/>
      <c r="F42" s="35"/>
      <c r="G42" s="35"/>
      <c r="H42" s="33"/>
    </row>
    <row r="43" spans="1:8" ht="18" customHeight="1" x14ac:dyDescent="0.25">
      <c r="A43" s="31">
        <v>33</v>
      </c>
      <c r="B43" s="10"/>
      <c r="C43" s="10"/>
      <c r="D43" s="11"/>
      <c r="E43" s="11"/>
      <c r="F43" s="32"/>
      <c r="G43" s="32"/>
      <c r="H43" s="10"/>
    </row>
    <row r="44" spans="1:8" ht="18" customHeight="1" x14ac:dyDescent="0.25">
      <c r="A44" s="31">
        <v>34</v>
      </c>
      <c r="B44" s="33"/>
      <c r="C44" s="33"/>
      <c r="D44" s="34"/>
      <c r="E44" s="34"/>
      <c r="F44" s="35"/>
      <c r="G44" s="35"/>
      <c r="H44" s="33"/>
    </row>
    <row r="45" spans="1:8" ht="18" customHeight="1" x14ac:dyDescent="0.25">
      <c r="A45" s="31">
        <v>35</v>
      </c>
      <c r="B45" s="10"/>
      <c r="C45" s="10"/>
      <c r="D45" s="11"/>
      <c r="E45" s="11"/>
      <c r="F45" s="32"/>
      <c r="G45" s="32"/>
      <c r="H45" s="10"/>
    </row>
    <row r="46" spans="1:8" ht="18" customHeight="1" x14ac:dyDescent="0.25">
      <c r="A46" s="31">
        <v>36</v>
      </c>
      <c r="B46" s="33"/>
      <c r="C46" s="33"/>
      <c r="D46" s="34"/>
      <c r="E46" s="34"/>
      <c r="F46" s="35"/>
      <c r="G46" s="35"/>
      <c r="H46" s="33"/>
    </row>
    <row r="47" spans="1:8" ht="18" customHeight="1" x14ac:dyDescent="0.25">
      <c r="A47" s="31">
        <v>37</v>
      </c>
      <c r="B47" s="10"/>
      <c r="C47" s="10"/>
      <c r="D47" s="11"/>
      <c r="E47" s="11"/>
      <c r="F47" s="32"/>
      <c r="G47" s="32"/>
      <c r="H47" s="10"/>
    </row>
    <row r="48" spans="1:8" ht="18" customHeight="1" x14ac:dyDescent="0.25">
      <c r="A48" s="31">
        <v>38</v>
      </c>
      <c r="B48" s="33"/>
      <c r="C48" s="33"/>
      <c r="D48" s="34"/>
      <c r="E48" s="34"/>
      <c r="F48" s="35"/>
      <c r="G48" s="35"/>
      <c r="H48" s="33"/>
    </row>
    <row r="49" spans="1:8" ht="18" customHeight="1" x14ac:dyDescent="0.25">
      <c r="A49" s="31">
        <v>39</v>
      </c>
      <c r="B49" s="10"/>
      <c r="C49" s="10"/>
      <c r="D49" s="11"/>
      <c r="E49" s="11"/>
      <c r="F49" s="32"/>
      <c r="G49" s="32"/>
      <c r="H49" s="10"/>
    </row>
    <row r="50" spans="1:8" ht="18" customHeight="1" x14ac:dyDescent="0.25">
      <c r="A50" s="31">
        <v>40</v>
      </c>
      <c r="B50" s="33"/>
      <c r="C50" s="33"/>
      <c r="D50" s="34"/>
      <c r="E50" s="34"/>
      <c r="F50" s="35"/>
      <c r="G50" s="35"/>
      <c r="H50" s="33"/>
    </row>
    <row r="51" spans="1:8" ht="18" customHeight="1" x14ac:dyDescent="0.25">
      <c r="A51" s="31">
        <v>41</v>
      </c>
      <c r="B51" s="10"/>
      <c r="C51" s="10"/>
      <c r="D51" s="11"/>
      <c r="E51" s="11"/>
      <c r="F51" s="32"/>
      <c r="G51" s="32"/>
      <c r="H51" s="10"/>
    </row>
    <row r="52" spans="1:8" ht="18" customHeight="1" x14ac:dyDescent="0.25">
      <c r="A52" s="31">
        <v>42</v>
      </c>
      <c r="B52" s="33"/>
      <c r="C52" s="33"/>
      <c r="D52" s="34"/>
      <c r="E52" s="34"/>
      <c r="F52" s="35"/>
      <c r="G52" s="35"/>
      <c r="H52" s="33"/>
    </row>
    <row r="53" spans="1:8" ht="18" customHeight="1" x14ac:dyDescent="0.25">
      <c r="A53" s="31">
        <v>43</v>
      </c>
      <c r="B53" s="10"/>
      <c r="C53" s="10"/>
      <c r="D53" s="11"/>
      <c r="E53" s="11"/>
      <c r="F53" s="32"/>
      <c r="G53" s="32"/>
      <c r="H53" s="10"/>
    </row>
    <row r="54" spans="1:8" ht="18" customHeight="1" x14ac:dyDescent="0.25">
      <c r="A54" s="31">
        <v>44</v>
      </c>
      <c r="B54" s="33"/>
      <c r="C54" s="33"/>
      <c r="D54" s="34"/>
      <c r="E54" s="34"/>
      <c r="F54" s="35"/>
      <c r="G54" s="35"/>
      <c r="H54" s="33"/>
    </row>
    <row r="55" spans="1:8" ht="18" customHeight="1" x14ac:dyDescent="0.25">
      <c r="A55" s="31">
        <v>45</v>
      </c>
      <c r="B55" s="10"/>
      <c r="C55" s="10"/>
      <c r="D55" s="11"/>
      <c r="E55" s="11"/>
      <c r="F55" s="32"/>
      <c r="G55" s="32"/>
      <c r="H55" s="10"/>
    </row>
    <row r="56" spans="1:8" ht="18" customHeight="1" x14ac:dyDescent="0.25">
      <c r="A56" s="31">
        <v>46</v>
      </c>
      <c r="B56" s="33"/>
      <c r="C56" s="33"/>
      <c r="D56" s="34"/>
      <c r="E56" s="34"/>
      <c r="F56" s="35"/>
      <c r="G56" s="35"/>
      <c r="H56" s="33"/>
    </row>
    <row r="57" spans="1:8" ht="18" customHeight="1" x14ac:dyDescent="0.25">
      <c r="A57" s="31">
        <v>47</v>
      </c>
      <c r="B57" s="10"/>
      <c r="C57" s="10"/>
      <c r="D57" s="11"/>
      <c r="E57" s="11"/>
      <c r="F57" s="32"/>
      <c r="G57" s="32"/>
      <c r="H57" s="10"/>
    </row>
    <row r="58" spans="1:8" ht="18" customHeight="1" x14ac:dyDescent="0.25">
      <c r="A58" s="31">
        <v>48</v>
      </c>
      <c r="B58" s="33"/>
      <c r="C58" s="33"/>
      <c r="D58" s="34"/>
      <c r="E58" s="34"/>
      <c r="F58" s="35"/>
      <c r="G58" s="35"/>
      <c r="H58" s="33"/>
    </row>
    <row r="59" spans="1:8" ht="18" customHeight="1" x14ac:dyDescent="0.25">
      <c r="A59" s="31">
        <v>49</v>
      </c>
      <c r="B59" s="10"/>
      <c r="C59" s="10"/>
      <c r="D59" s="11"/>
      <c r="E59" s="11"/>
      <c r="F59" s="32"/>
      <c r="G59" s="32"/>
      <c r="H59" s="10"/>
    </row>
    <row r="60" spans="1:8" ht="18" customHeight="1" x14ac:dyDescent="0.25">
      <c r="A60" s="31">
        <v>50</v>
      </c>
      <c r="B60" s="33"/>
      <c r="C60" s="33"/>
      <c r="D60" s="34"/>
      <c r="E60" s="34"/>
      <c r="F60" s="35"/>
      <c r="G60" s="35"/>
      <c r="H60" s="33"/>
    </row>
    <row r="61" spans="1:8" ht="18" customHeight="1" x14ac:dyDescent="0.25">
      <c r="A61" s="31">
        <v>51</v>
      </c>
      <c r="B61" s="10"/>
      <c r="C61" s="10"/>
      <c r="D61" s="11"/>
      <c r="E61" s="11"/>
      <c r="F61" s="32"/>
      <c r="G61" s="32"/>
      <c r="H61" s="10"/>
    </row>
    <row r="62" spans="1:8" ht="18" customHeight="1" x14ac:dyDescent="0.25">
      <c r="A62" s="31">
        <v>52</v>
      </c>
      <c r="B62" s="33"/>
      <c r="C62" s="33"/>
      <c r="D62" s="34"/>
      <c r="E62" s="34"/>
      <c r="F62" s="35"/>
      <c r="G62" s="35"/>
      <c r="H62" s="33"/>
    </row>
    <row r="63" spans="1:8" ht="18" customHeight="1" x14ac:dyDescent="0.25">
      <c r="A63" s="31">
        <v>53</v>
      </c>
      <c r="B63" s="10"/>
      <c r="C63" s="10"/>
      <c r="D63" s="11"/>
      <c r="E63" s="11"/>
      <c r="F63" s="32"/>
      <c r="G63" s="32"/>
      <c r="H63" s="10"/>
    </row>
    <row r="64" spans="1:8" ht="18" customHeight="1" x14ac:dyDescent="0.25">
      <c r="A64" s="31">
        <v>54</v>
      </c>
      <c r="B64" s="33"/>
      <c r="C64" s="33"/>
      <c r="D64" s="34"/>
      <c r="E64" s="34"/>
      <c r="F64" s="35"/>
      <c r="G64" s="35"/>
      <c r="H64" s="33"/>
    </row>
    <row r="65" spans="1:8" ht="18" customHeight="1" x14ac:dyDescent="0.25">
      <c r="A65" s="31">
        <v>55</v>
      </c>
      <c r="B65" s="10"/>
      <c r="C65" s="10"/>
      <c r="D65" s="11"/>
      <c r="E65" s="11"/>
      <c r="F65" s="32"/>
      <c r="G65" s="32"/>
      <c r="H65" s="10"/>
    </row>
    <row r="66" spans="1:8" ht="18" customHeight="1" x14ac:dyDescent="0.25">
      <c r="A66" s="31">
        <v>56</v>
      </c>
      <c r="B66" s="33"/>
      <c r="C66" s="33"/>
      <c r="D66" s="34"/>
      <c r="E66" s="34"/>
      <c r="F66" s="35"/>
      <c r="G66" s="35"/>
      <c r="H66" s="33"/>
    </row>
    <row r="67" spans="1:8" ht="18" customHeight="1" x14ac:dyDescent="0.25">
      <c r="A67" s="31">
        <v>57</v>
      </c>
      <c r="B67" s="10"/>
      <c r="C67" s="10"/>
      <c r="D67" s="11"/>
      <c r="E67" s="11"/>
      <c r="F67" s="32"/>
      <c r="G67" s="32"/>
      <c r="H67" s="10"/>
    </row>
    <row r="68" spans="1:8" ht="18" customHeight="1" x14ac:dyDescent="0.25">
      <c r="A68" s="31">
        <v>58</v>
      </c>
      <c r="B68" s="33"/>
      <c r="C68" s="33"/>
      <c r="D68" s="34"/>
      <c r="E68" s="34"/>
      <c r="F68" s="35"/>
      <c r="G68" s="35"/>
      <c r="H68" s="33"/>
    </row>
    <row r="69" spans="1:8" ht="18" customHeight="1" x14ac:dyDescent="0.25">
      <c r="A69" s="31">
        <v>59</v>
      </c>
      <c r="B69" s="10"/>
      <c r="C69" s="10"/>
      <c r="D69" s="11"/>
      <c r="E69" s="11"/>
      <c r="F69" s="32"/>
      <c r="G69" s="32"/>
      <c r="H69" s="10"/>
    </row>
    <row r="70" spans="1:8" ht="18" customHeight="1" x14ac:dyDescent="0.25">
      <c r="A70" s="31">
        <v>60</v>
      </c>
      <c r="B70" s="33"/>
      <c r="C70" s="33"/>
      <c r="D70" s="34"/>
      <c r="E70" s="34"/>
      <c r="F70" s="35"/>
      <c r="G70" s="35"/>
      <c r="H70" s="33"/>
    </row>
    <row r="71" spans="1:8" ht="18" customHeight="1" x14ac:dyDescent="0.25">
      <c r="A71" s="31">
        <v>61</v>
      </c>
      <c r="B71" s="10"/>
      <c r="C71" s="10"/>
      <c r="D71" s="11"/>
      <c r="E71" s="11"/>
      <c r="F71" s="32"/>
      <c r="G71" s="32"/>
      <c r="H71" s="10"/>
    </row>
    <row r="72" spans="1:8" ht="18" customHeight="1" x14ac:dyDescent="0.25">
      <c r="A72" s="31">
        <v>62</v>
      </c>
      <c r="B72" s="33"/>
      <c r="C72" s="33"/>
      <c r="D72" s="34"/>
      <c r="E72" s="34"/>
      <c r="F72" s="35"/>
      <c r="G72" s="35"/>
      <c r="H72" s="33"/>
    </row>
    <row r="73" spans="1:8" ht="18" customHeight="1" x14ac:dyDescent="0.25">
      <c r="A73" s="31">
        <v>63</v>
      </c>
      <c r="B73" s="10"/>
      <c r="C73" s="10"/>
      <c r="D73" s="11"/>
      <c r="E73" s="11"/>
      <c r="F73" s="32"/>
      <c r="G73" s="32"/>
      <c r="H73" s="10"/>
    </row>
    <row r="74" spans="1:8" ht="18" customHeight="1" x14ac:dyDescent="0.25">
      <c r="A74" s="31">
        <v>64</v>
      </c>
      <c r="B74" s="33"/>
      <c r="C74" s="33"/>
      <c r="D74" s="34"/>
      <c r="E74" s="34"/>
      <c r="F74" s="35"/>
      <c r="G74" s="35"/>
      <c r="H74" s="33"/>
    </row>
    <row r="75" spans="1:8" ht="18" customHeight="1" x14ac:dyDescent="0.25">
      <c r="A75" s="31">
        <v>65</v>
      </c>
      <c r="B75" s="10"/>
      <c r="C75" s="10"/>
      <c r="D75" s="11"/>
      <c r="E75" s="11"/>
      <c r="F75" s="32"/>
      <c r="G75" s="32"/>
      <c r="H75" s="10"/>
    </row>
    <row r="76" spans="1:8" ht="18" customHeight="1" x14ac:dyDescent="0.25">
      <c r="A76" s="31">
        <v>66</v>
      </c>
      <c r="B76" s="33"/>
      <c r="C76" s="33"/>
      <c r="D76" s="34"/>
      <c r="E76" s="34"/>
      <c r="F76" s="35"/>
      <c r="G76" s="35"/>
      <c r="H76" s="33"/>
    </row>
    <row r="77" spans="1:8" ht="18" customHeight="1" x14ac:dyDescent="0.25">
      <c r="A77" s="31">
        <v>67</v>
      </c>
      <c r="B77" s="10"/>
      <c r="C77" s="10"/>
      <c r="D77" s="11"/>
      <c r="E77" s="11"/>
      <c r="F77" s="32"/>
      <c r="G77" s="32"/>
      <c r="H77" s="10"/>
    </row>
    <row r="78" spans="1:8" ht="18" customHeight="1" x14ac:dyDescent="0.25">
      <c r="A78" s="31">
        <v>68</v>
      </c>
      <c r="B78" s="33"/>
      <c r="C78" s="33"/>
      <c r="D78" s="34"/>
      <c r="E78" s="34"/>
      <c r="F78" s="35"/>
      <c r="G78" s="35"/>
      <c r="H78" s="33"/>
    </row>
    <row r="79" spans="1:8" ht="18" customHeight="1" x14ac:dyDescent="0.25">
      <c r="A79" s="31">
        <v>69</v>
      </c>
      <c r="B79" s="10"/>
      <c r="C79" s="10"/>
      <c r="D79" s="11"/>
      <c r="E79" s="11"/>
      <c r="F79" s="32"/>
      <c r="G79" s="32"/>
      <c r="H79" s="10"/>
    </row>
    <row r="80" spans="1:8" ht="18" customHeight="1" x14ac:dyDescent="0.25">
      <c r="A80" s="31">
        <v>70</v>
      </c>
      <c r="B80" s="33"/>
      <c r="C80" s="33"/>
      <c r="D80" s="34"/>
      <c r="E80" s="34"/>
      <c r="F80" s="35"/>
      <c r="G80" s="35"/>
      <c r="H80" s="33"/>
    </row>
    <row r="81" spans="1:8" ht="18" customHeight="1" x14ac:dyDescent="0.25">
      <c r="A81" s="31">
        <v>71</v>
      </c>
      <c r="B81" s="10"/>
      <c r="C81" s="10"/>
      <c r="D81" s="11"/>
      <c r="E81" s="11"/>
      <c r="F81" s="32"/>
      <c r="G81" s="32"/>
      <c r="H81" s="10"/>
    </row>
    <row r="82" spans="1:8" ht="18" customHeight="1" x14ac:dyDescent="0.25">
      <c r="A82" s="31">
        <v>72</v>
      </c>
      <c r="B82" s="33"/>
      <c r="C82" s="33"/>
      <c r="D82" s="34"/>
      <c r="E82" s="34"/>
      <c r="F82" s="35"/>
      <c r="G82" s="35"/>
      <c r="H82" s="33"/>
    </row>
    <row r="83" spans="1:8" ht="18" customHeight="1" x14ac:dyDescent="0.25">
      <c r="A83" s="31">
        <v>73</v>
      </c>
      <c r="B83" s="10"/>
      <c r="C83" s="10"/>
      <c r="D83" s="11"/>
      <c r="E83" s="11"/>
      <c r="F83" s="32"/>
      <c r="G83" s="32"/>
      <c r="H83" s="10"/>
    </row>
    <row r="84" spans="1:8" ht="18" customHeight="1" x14ac:dyDescent="0.25">
      <c r="A84" s="31">
        <v>74</v>
      </c>
      <c r="B84" s="33"/>
      <c r="C84" s="33"/>
      <c r="D84" s="34"/>
      <c r="E84" s="34"/>
      <c r="F84" s="35"/>
      <c r="G84" s="35"/>
      <c r="H84" s="33"/>
    </row>
    <row r="85" spans="1:8" ht="18" customHeight="1" x14ac:dyDescent="0.25">
      <c r="A85" s="31">
        <v>75</v>
      </c>
      <c r="B85" s="10"/>
      <c r="C85" s="10"/>
      <c r="D85" s="11"/>
      <c r="E85" s="11"/>
      <c r="F85" s="32"/>
      <c r="G85" s="32"/>
      <c r="H85" s="10"/>
    </row>
    <row r="86" spans="1:8" ht="18" customHeight="1" x14ac:dyDescent="0.25">
      <c r="A86" s="31">
        <v>76</v>
      </c>
      <c r="B86" s="33"/>
      <c r="C86" s="33"/>
      <c r="D86" s="34"/>
      <c r="E86" s="34"/>
      <c r="F86" s="35"/>
      <c r="G86" s="35"/>
      <c r="H86" s="33"/>
    </row>
    <row r="87" spans="1:8" ht="18" customHeight="1" x14ac:dyDescent="0.25">
      <c r="A87" s="31">
        <v>77</v>
      </c>
      <c r="B87" s="10"/>
      <c r="C87" s="10"/>
      <c r="D87" s="11"/>
      <c r="E87" s="11"/>
      <c r="F87" s="32"/>
      <c r="G87" s="32"/>
      <c r="H87" s="10"/>
    </row>
    <row r="88" spans="1:8" ht="18" customHeight="1" x14ac:dyDescent="0.25">
      <c r="A88" s="31">
        <v>78</v>
      </c>
      <c r="B88" s="33"/>
      <c r="C88" s="33"/>
      <c r="D88" s="34"/>
      <c r="E88" s="34"/>
      <c r="F88" s="35"/>
      <c r="G88" s="35"/>
      <c r="H88" s="33"/>
    </row>
    <row r="89" spans="1:8" ht="18" customHeight="1" x14ac:dyDescent="0.25">
      <c r="A89" s="31">
        <v>79</v>
      </c>
      <c r="B89" s="10"/>
      <c r="C89" s="10"/>
      <c r="D89" s="11"/>
      <c r="E89" s="11"/>
      <c r="F89" s="32"/>
      <c r="G89" s="32"/>
      <c r="H89" s="10"/>
    </row>
    <row r="90" spans="1:8" ht="18" customHeight="1" x14ac:dyDescent="0.25">
      <c r="A90" s="31">
        <v>80</v>
      </c>
      <c r="B90" s="33"/>
      <c r="C90" s="33"/>
      <c r="D90" s="34"/>
      <c r="E90" s="34"/>
      <c r="F90" s="35"/>
      <c r="G90" s="35"/>
      <c r="H90" s="33"/>
    </row>
    <row r="91" spans="1:8" ht="18" customHeight="1" x14ac:dyDescent="0.25">
      <c r="A91" s="31">
        <v>81</v>
      </c>
      <c r="B91" s="10"/>
      <c r="C91" s="10"/>
      <c r="D91" s="11"/>
      <c r="E91" s="11"/>
      <c r="F91" s="32"/>
      <c r="G91" s="32"/>
      <c r="H91" s="10"/>
    </row>
    <row r="92" spans="1:8" ht="18" customHeight="1" x14ac:dyDescent="0.25">
      <c r="A92" s="31">
        <v>82</v>
      </c>
      <c r="B92" s="33"/>
      <c r="C92" s="33"/>
      <c r="D92" s="34"/>
      <c r="E92" s="34"/>
      <c r="F92" s="35"/>
      <c r="G92" s="35"/>
      <c r="H92" s="33"/>
    </row>
    <row r="93" spans="1:8" ht="18" customHeight="1" x14ac:dyDescent="0.25">
      <c r="A93" s="31">
        <v>83</v>
      </c>
      <c r="B93" s="10"/>
      <c r="C93" s="10"/>
      <c r="D93" s="11"/>
      <c r="E93" s="11"/>
      <c r="F93" s="32"/>
      <c r="G93" s="32"/>
      <c r="H93" s="10"/>
    </row>
    <row r="94" spans="1:8" ht="18" customHeight="1" x14ac:dyDescent="0.25">
      <c r="A94" s="31">
        <v>84</v>
      </c>
      <c r="B94" s="33"/>
      <c r="C94" s="33"/>
      <c r="D94" s="34"/>
      <c r="E94" s="34"/>
      <c r="F94" s="35"/>
      <c r="G94" s="35"/>
      <c r="H94" s="33"/>
    </row>
    <row r="95" spans="1:8" ht="18" customHeight="1" x14ac:dyDescent="0.25">
      <c r="A95" s="31">
        <v>85</v>
      </c>
      <c r="B95" s="10"/>
      <c r="C95" s="10"/>
      <c r="D95" s="11"/>
      <c r="E95" s="11"/>
      <c r="F95" s="32"/>
      <c r="G95" s="32"/>
      <c r="H95" s="10"/>
    </row>
    <row r="96" spans="1:8" ht="18" customHeight="1" x14ac:dyDescent="0.25">
      <c r="A96" s="31">
        <v>86</v>
      </c>
      <c r="B96" s="33"/>
      <c r="C96" s="33"/>
      <c r="D96" s="34"/>
      <c r="E96" s="34"/>
      <c r="F96" s="35"/>
      <c r="G96" s="35"/>
      <c r="H96" s="33"/>
    </row>
    <row r="97" spans="1:8" ht="18" customHeight="1" x14ac:dyDescent="0.25">
      <c r="A97" s="31">
        <v>87</v>
      </c>
      <c r="B97" s="10"/>
      <c r="C97" s="10"/>
      <c r="D97" s="11"/>
      <c r="E97" s="11"/>
      <c r="F97" s="32"/>
      <c r="G97" s="32"/>
      <c r="H97" s="10"/>
    </row>
    <row r="98" spans="1:8" ht="18" customHeight="1" x14ac:dyDescent="0.25">
      <c r="A98" s="31">
        <v>88</v>
      </c>
      <c r="B98" s="33"/>
      <c r="C98" s="33"/>
      <c r="D98" s="34"/>
      <c r="E98" s="34"/>
      <c r="F98" s="35"/>
      <c r="G98" s="35"/>
      <c r="H98" s="33"/>
    </row>
    <row r="99" spans="1:8" ht="18" customHeight="1" x14ac:dyDescent="0.25">
      <c r="A99" s="31">
        <v>89</v>
      </c>
      <c r="B99" s="10"/>
      <c r="C99" s="10"/>
      <c r="D99" s="11"/>
      <c r="E99" s="11"/>
      <c r="F99" s="32"/>
      <c r="G99" s="32"/>
      <c r="H99" s="10"/>
    </row>
    <row r="100" spans="1:8" ht="18" customHeight="1" x14ac:dyDescent="0.25">
      <c r="A100" s="31">
        <v>90</v>
      </c>
      <c r="B100" s="33"/>
      <c r="C100" s="33"/>
      <c r="D100" s="34"/>
      <c r="E100" s="34"/>
      <c r="F100" s="35"/>
      <c r="G100" s="35"/>
      <c r="H100" s="33"/>
    </row>
    <row r="101" spans="1:8" ht="18" customHeight="1" x14ac:dyDescent="0.25">
      <c r="A101" s="31">
        <v>91</v>
      </c>
      <c r="B101" s="10"/>
      <c r="C101" s="10"/>
      <c r="D101" s="11"/>
      <c r="E101" s="11"/>
      <c r="F101" s="32"/>
      <c r="G101" s="32"/>
      <c r="H101" s="10"/>
    </row>
    <row r="102" spans="1:8" ht="18" customHeight="1" x14ac:dyDescent="0.25">
      <c r="A102" s="31">
        <v>92</v>
      </c>
      <c r="B102" s="33"/>
      <c r="C102" s="33"/>
      <c r="D102" s="34"/>
      <c r="E102" s="34"/>
      <c r="F102" s="35"/>
      <c r="G102" s="35"/>
      <c r="H102" s="33"/>
    </row>
    <row r="103" spans="1:8" ht="18" customHeight="1" x14ac:dyDescent="0.25">
      <c r="A103" s="31">
        <v>93</v>
      </c>
      <c r="B103" s="10"/>
      <c r="C103" s="10"/>
      <c r="D103" s="11"/>
      <c r="E103" s="11"/>
      <c r="F103" s="32"/>
      <c r="G103" s="32"/>
      <c r="H103" s="10"/>
    </row>
    <row r="104" spans="1:8" ht="18" customHeight="1" x14ac:dyDescent="0.25">
      <c r="A104" s="31">
        <v>94</v>
      </c>
      <c r="B104" s="33"/>
      <c r="C104" s="33"/>
      <c r="D104" s="34"/>
      <c r="E104" s="34"/>
      <c r="F104" s="35"/>
      <c r="G104" s="35"/>
      <c r="H104" s="33"/>
    </row>
    <row r="105" spans="1:8" ht="18" customHeight="1" x14ac:dyDescent="0.25">
      <c r="A105" s="31">
        <v>95</v>
      </c>
      <c r="B105" s="10"/>
      <c r="C105" s="10"/>
      <c r="D105" s="11"/>
      <c r="E105" s="11"/>
      <c r="F105" s="32"/>
      <c r="G105" s="32"/>
      <c r="H105" s="10"/>
    </row>
    <row r="106" spans="1:8" ht="18" customHeight="1" x14ac:dyDescent="0.25">
      <c r="A106" s="31">
        <v>96</v>
      </c>
      <c r="B106" s="33"/>
      <c r="C106" s="33"/>
      <c r="D106" s="34"/>
      <c r="E106" s="34"/>
      <c r="F106" s="35"/>
      <c r="G106" s="35"/>
      <c r="H106" s="33"/>
    </row>
    <row r="107" spans="1:8" ht="18" customHeight="1" x14ac:dyDescent="0.25">
      <c r="A107" s="31">
        <v>97</v>
      </c>
      <c r="B107" s="10"/>
      <c r="C107" s="10"/>
      <c r="D107" s="11"/>
      <c r="E107" s="11"/>
      <c r="F107" s="32"/>
      <c r="G107" s="32"/>
      <c r="H107" s="10"/>
    </row>
    <row r="108" spans="1:8" ht="18" customHeight="1" x14ac:dyDescent="0.25">
      <c r="A108" s="31">
        <v>98</v>
      </c>
      <c r="B108" s="33"/>
      <c r="C108" s="33"/>
      <c r="D108" s="34"/>
      <c r="E108" s="34"/>
      <c r="F108" s="35"/>
      <c r="G108" s="35"/>
      <c r="H108" s="33"/>
    </row>
    <row r="109" spans="1:8" ht="18" customHeight="1" x14ac:dyDescent="0.25">
      <c r="A109" s="31">
        <v>99</v>
      </c>
      <c r="B109" s="10"/>
      <c r="C109" s="10"/>
      <c r="D109" s="11"/>
      <c r="E109" s="11"/>
      <c r="F109" s="32"/>
      <c r="G109" s="32"/>
      <c r="H109" s="10"/>
    </row>
    <row r="110" spans="1:8" ht="18" customHeight="1" x14ac:dyDescent="0.25">
      <c r="A110" s="31">
        <v>100</v>
      </c>
      <c r="B110" s="33"/>
      <c r="C110" s="33"/>
      <c r="D110" s="34"/>
      <c r="E110" s="34"/>
      <c r="F110" s="35"/>
      <c r="G110" s="35"/>
      <c r="H110" s="33"/>
    </row>
  </sheetData>
  <mergeCells count="10">
    <mergeCell ref="A4:B4"/>
    <mergeCell ref="D4:K4"/>
    <mergeCell ref="A9:I9"/>
    <mergeCell ref="A1:K1"/>
    <mergeCell ref="A2:B2"/>
    <mergeCell ref="C2:E2"/>
    <mergeCell ref="F2:K2"/>
    <mergeCell ref="A3:B3"/>
    <mergeCell ref="C3:E3"/>
    <mergeCell ref="F3:K3"/>
  </mergeCells>
  <dataValidations count="2">
    <dataValidation type="list" allowBlank="1" sqref="D11:D110" xr:uid="{00000000-0002-0000-0700-000000000000}">
      <formula1>"Spares,Stores,Lube Oil,Chemicals,Lashing Gear,Others"</formula1>
      <formula2>0</formula2>
    </dataValidation>
    <dataValidation type="list" allowBlank="1" sqref="E11:E110" xr:uid="{00000000-0002-0000-0700-000001000000}">
      <formula1>"Not Created,To Be Created,Pending Approval,Approved &amp; Issued,Pending Delivery,Delivered"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3" tint="-0.499984740745262"/>
  </sheetPr>
  <dimension ref="A1:K110"/>
  <sheetViews>
    <sheetView showGridLines="0" zoomScaleNormal="100" workbookViewId="0">
      <pane ySplit="10" topLeftCell="A11" activePane="bottomLeft" state="frozen"/>
      <selection activeCell="Q39" sqref="Q39"/>
      <selection pane="bottomLeft" activeCell="Q39" sqref="Q39"/>
    </sheetView>
  </sheetViews>
  <sheetFormatPr defaultColWidth="8.5703125" defaultRowHeight="15" x14ac:dyDescent="0.25"/>
  <cols>
    <col min="1" max="1" width="5" customWidth="1"/>
    <col min="2" max="2" width="14" customWidth="1"/>
    <col min="3" max="4" width="28" customWidth="1"/>
    <col min="5" max="5" width="16" customWidth="1"/>
    <col min="6" max="6" width="20" customWidth="1"/>
    <col min="7" max="7" width="16" customWidth="1"/>
    <col min="8" max="8" width="18" customWidth="1"/>
    <col min="9" max="9" width="42" customWidth="1"/>
    <col min="10" max="11" width="4" customWidth="1"/>
  </cols>
  <sheetData>
    <row r="1" spans="1:11" ht="36" customHeight="1" x14ac:dyDescent="0.25">
      <c r="A1" s="125" t="s">
        <v>13</v>
      </c>
      <c r="B1" s="125"/>
      <c r="C1" s="125"/>
      <c r="D1" s="125"/>
      <c r="E1" s="125"/>
      <c r="F1" s="125"/>
      <c r="G1" s="125"/>
      <c r="H1" s="125"/>
      <c r="I1" s="125"/>
      <c r="J1" s="125"/>
      <c r="K1" s="125"/>
    </row>
    <row r="2" spans="1:11" ht="24" customHeight="1" x14ac:dyDescent="0.25">
      <c r="A2" s="122" t="s">
        <v>14</v>
      </c>
      <c r="B2" s="122"/>
      <c r="C2" s="126"/>
      <c r="D2" s="126"/>
      <c r="E2" s="126"/>
      <c r="F2" s="123" t="s">
        <v>15</v>
      </c>
      <c r="G2" s="123"/>
      <c r="H2" s="123"/>
      <c r="I2" s="123"/>
      <c r="J2" s="123"/>
      <c r="K2" s="123"/>
    </row>
    <row r="3" spans="1:11" ht="24" customHeight="1" x14ac:dyDescent="0.25">
      <c r="A3" s="122" t="s">
        <v>16</v>
      </c>
      <c r="B3" s="122"/>
      <c r="C3" s="126"/>
      <c r="D3" s="126"/>
      <c r="E3" s="126"/>
      <c r="F3" s="123" t="s">
        <v>17</v>
      </c>
      <c r="G3" s="123"/>
      <c r="H3" s="123"/>
      <c r="I3" s="123"/>
      <c r="J3" s="123"/>
      <c r="K3" s="123"/>
    </row>
    <row r="4" spans="1:11" ht="24" customHeight="1" x14ac:dyDescent="0.25">
      <c r="A4" s="122" t="s">
        <v>18</v>
      </c>
      <c r="B4" s="122"/>
      <c r="C4" s="22"/>
      <c r="D4" s="123" t="s">
        <v>19</v>
      </c>
      <c r="E4" s="123"/>
      <c r="F4" s="123"/>
      <c r="G4" s="123"/>
      <c r="H4" s="123"/>
      <c r="I4" s="123"/>
      <c r="J4" s="123"/>
      <c r="K4" s="123"/>
    </row>
    <row r="5" spans="1:11" ht="7.5" customHeight="1" x14ac:dyDescent="0.25"/>
    <row r="6" spans="1:11" ht="21.75" customHeight="1" x14ac:dyDescent="0.25">
      <c r="A6" s="23" t="s">
        <v>3</v>
      </c>
      <c r="B6" s="24" t="s">
        <v>4</v>
      </c>
      <c r="C6" s="25" t="s">
        <v>5</v>
      </c>
      <c r="D6" s="26" t="s">
        <v>6</v>
      </c>
      <c r="E6" s="27" t="s">
        <v>7</v>
      </c>
      <c r="F6" s="28" t="s">
        <v>8</v>
      </c>
      <c r="G6" s="1" t="s">
        <v>9</v>
      </c>
      <c r="H6" s="8" t="s">
        <v>10</v>
      </c>
      <c r="I6" s="7" t="s">
        <v>11</v>
      </c>
    </row>
    <row r="7" spans="1:11" ht="21.75" customHeight="1" x14ac:dyDescent="0.25">
      <c r="A7" s="29">
        <f>COUNTIF(E11:E110,"Not Created")</f>
        <v>0</v>
      </c>
      <c r="B7" s="29">
        <f>COUNTIF(E11:E110,"To Be Created")</f>
        <v>0</v>
      </c>
      <c r="C7" s="29">
        <f>COUNTIF(E11:E110,"Pending Approval")</f>
        <v>0</v>
      </c>
      <c r="D7" s="29">
        <f>COUNTIF(E11:E110,"Approved &amp; Issued")</f>
        <v>0</v>
      </c>
      <c r="E7" s="29">
        <f>COUNTIF(E11:E110,"Pending Delivery")</f>
        <v>0</v>
      </c>
      <c r="F7" s="29">
        <f>COUNTIF(E11:E110,"Delivered")</f>
        <v>0</v>
      </c>
      <c r="G7" s="29">
        <f>COUNTA(B11:B110)</f>
        <v>0</v>
      </c>
      <c r="H7" s="30">
        <f>IF(G7&gt;0,(D7+E7)/G7,0)</f>
        <v>0</v>
      </c>
      <c r="I7" s="30">
        <f>IF(G7&gt;0,F7/G7,0)</f>
        <v>0</v>
      </c>
    </row>
    <row r="8" spans="1:11" ht="7.5" customHeight="1" x14ac:dyDescent="0.25"/>
    <row r="9" spans="1:11" ht="18" customHeight="1" x14ac:dyDescent="0.25">
      <c r="A9" s="124" t="s">
        <v>20</v>
      </c>
      <c r="B9" s="124"/>
      <c r="C9" s="124"/>
      <c r="D9" s="124"/>
      <c r="E9" s="124"/>
      <c r="F9" s="124"/>
      <c r="G9" s="124"/>
      <c r="H9" s="124"/>
      <c r="I9" s="124"/>
    </row>
    <row r="10" spans="1:11" ht="30" customHeight="1" x14ac:dyDescent="0.25">
      <c r="A10" s="1" t="s">
        <v>21</v>
      </c>
      <c r="B10" s="1" t="s">
        <v>22</v>
      </c>
      <c r="C10" s="1" t="s">
        <v>23</v>
      </c>
      <c r="D10" s="1" t="s">
        <v>24</v>
      </c>
      <c r="E10" s="1" t="s">
        <v>25</v>
      </c>
      <c r="F10" s="1" t="s">
        <v>26</v>
      </c>
      <c r="G10" s="1" t="s">
        <v>27</v>
      </c>
      <c r="H10" s="1" t="s">
        <v>28</v>
      </c>
    </row>
    <row r="11" spans="1:11" ht="18" customHeight="1" x14ac:dyDescent="0.25">
      <c r="A11" s="31">
        <v>1</v>
      </c>
      <c r="B11" s="10"/>
      <c r="C11" s="10"/>
      <c r="D11" s="11"/>
      <c r="E11" s="11"/>
      <c r="F11" s="32"/>
      <c r="G11" s="32"/>
      <c r="H11" s="10"/>
    </row>
    <row r="12" spans="1:11" ht="18" customHeight="1" x14ac:dyDescent="0.25">
      <c r="A12" s="31">
        <v>2</v>
      </c>
      <c r="B12" s="33"/>
      <c r="C12" s="33"/>
      <c r="D12" s="34"/>
      <c r="E12" s="34"/>
      <c r="F12" s="35"/>
      <c r="G12" s="35"/>
      <c r="H12" s="33"/>
    </row>
    <row r="13" spans="1:11" ht="18" customHeight="1" x14ac:dyDescent="0.25">
      <c r="A13" s="31">
        <v>3</v>
      </c>
      <c r="B13" s="10"/>
      <c r="C13" s="10"/>
      <c r="D13" s="11"/>
      <c r="E13" s="11"/>
      <c r="F13" s="32"/>
      <c r="G13" s="32"/>
      <c r="H13" s="10"/>
    </row>
    <row r="14" spans="1:11" ht="18" customHeight="1" x14ac:dyDescent="0.25">
      <c r="A14" s="31">
        <v>4</v>
      </c>
      <c r="B14" s="33"/>
      <c r="C14" s="33"/>
      <c r="D14" s="34"/>
      <c r="E14" s="34"/>
      <c r="F14" s="35"/>
      <c r="G14" s="35"/>
      <c r="H14" s="33"/>
    </row>
    <row r="15" spans="1:11" ht="18" customHeight="1" x14ac:dyDescent="0.25">
      <c r="A15" s="31">
        <v>5</v>
      </c>
      <c r="B15" s="10"/>
      <c r="C15" s="10"/>
      <c r="D15" s="11"/>
      <c r="E15" s="11"/>
      <c r="F15" s="32"/>
      <c r="G15" s="32"/>
      <c r="H15" s="10"/>
    </row>
    <row r="16" spans="1:11" ht="18" customHeight="1" x14ac:dyDescent="0.25">
      <c r="A16" s="31">
        <v>6</v>
      </c>
      <c r="B16" s="33"/>
      <c r="C16" s="33"/>
      <c r="D16" s="34"/>
      <c r="E16" s="34"/>
      <c r="F16" s="35"/>
      <c r="G16" s="35"/>
      <c r="H16" s="33"/>
    </row>
    <row r="17" spans="1:8" ht="18" customHeight="1" x14ac:dyDescent="0.25">
      <c r="A17" s="31">
        <v>7</v>
      </c>
      <c r="B17" s="10"/>
      <c r="C17" s="10"/>
      <c r="D17" s="11"/>
      <c r="E17" s="11"/>
      <c r="F17" s="32"/>
      <c r="G17" s="32"/>
      <c r="H17" s="10"/>
    </row>
    <row r="18" spans="1:8" ht="18" customHeight="1" x14ac:dyDescent="0.25">
      <c r="A18" s="31">
        <v>8</v>
      </c>
      <c r="B18" s="33"/>
      <c r="C18" s="33"/>
      <c r="D18" s="34"/>
      <c r="E18" s="34"/>
      <c r="F18" s="35"/>
      <c r="G18" s="35"/>
      <c r="H18" s="33"/>
    </row>
    <row r="19" spans="1:8" ht="18" customHeight="1" x14ac:dyDescent="0.25">
      <c r="A19" s="31">
        <v>9</v>
      </c>
      <c r="B19" s="10"/>
      <c r="C19" s="10"/>
      <c r="D19" s="11"/>
      <c r="E19" s="11"/>
      <c r="F19" s="32"/>
      <c r="G19" s="32"/>
      <c r="H19" s="10"/>
    </row>
    <row r="20" spans="1:8" ht="18" customHeight="1" x14ac:dyDescent="0.25">
      <c r="A20" s="31">
        <v>10</v>
      </c>
      <c r="B20" s="33"/>
      <c r="C20" s="33"/>
      <c r="D20" s="34"/>
      <c r="E20" s="34"/>
      <c r="F20" s="35"/>
      <c r="G20" s="35"/>
      <c r="H20" s="33"/>
    </row>
    <row r="21" spans="1:8" ht="18" customHeight="1" x14ac:dyDescent="0.25">
      <c r="A21" s="31">
        <v>11</v>
      </c>
      <c r="B21" s="10"/>
      <c r="C21" s="10"/>
      <c r="D21" s="11"/>
      <c r="E21" s="11"/>
      <c r="F21" s="32"/>
      <c r="G21" s="32"/>
      <c r="H21" s="10"/>
    </row>
    <row r="22" spans="1:8" ht="18" customHeight="1" x14ac:dyDescent="0.25">
      <c r="A22" s="31">
        <v>12</v>
      </c>
      <c r="B22" s="33"/>
      <c r="C22" s="33"/>
      <c r="D22" s="34"/>
      <c r="E22" s="34"/>
      <c r="F22" s="35"/>
      <c r="G22" s="35"/>
      <c r="H22" s="33"/>
    </row>
    <row r="23" spans="1:8" ht="18" customHeight="1" x14ac:dyDescent="0.25">
      <c r="A23" s="31">
        <v>13</v>
      </c>
      <c r="B23" s="10"/>
      <c r="C23" s="10"/>
      <c r="D23" s="11"/>
      <c r="E23" s="11"/>
      <c r="F23" s="32"/>
      <c r="G23" s="32"/>
      <c r="H23" s="10"/>
    </row>
    <row r="24" spans="1:8" ht="18" customHeight="1" x14ac:dyDescent="0.25">
      <c r="A24" s="31">
        <v>14</v>
      </c>
      <c r="B24" s="33"/>
      <c r="C24" s="33"/>
      <c r="D24" s="34"/>
      <c r="E24" s="34"/>
      <c r="F24" s="35"/>
      <c r="G24" s="35"/>
      <c r="H24" s="33"/>
    </row>
    <row r="25" spans="1:8" ht="18" customHeight="1" x14ac:dyDescent="0.25">
      <c r="A25" s="31">
        <v>15</v>
      </c>
      <c r="B25" s="10"/>
      <c r="C25" s="10"/>
      <c r="D25" s="11"/>
      <c r="E25" s="11"/>
      <c r="F25" s="32"/>
      <c r="G25" s="32"/>
      <c r="H25" s="10"/>
    </row>
    <row r="26" spans="1:8" ht="18" customHeight="1" x14ac:dyDescent="0.25">
      <c r="A26" s="31">
        <v>16</v>
      </c>
      <c r="B26" s="33"/>
      <c r="C26" s="33"/>
      <c r="D26" s="34"/>
      <c r="E26" s="34"/>
      <c r="F26" s="35"/>
      <c r="G26" s="35"/>
      <c r="H26" s="33"/>
    </row>
    <row r="27" spans="1:8" ht="18" customHeight="1" x14ac:dyDescent="0.25">
      <c r="A27" s="31">
        <v>17</v>
      </c>
      <c r="B27" s="10"/>
      <c r="C27" s="10"/>
      <c r="D27" s="11"/>
      <c r="E27" s="11"/>
      <c r="F27" s="32"/>
      <c r="G27" s="32"/>
      <c r="H27" s="10"/>
    </row>
    <row r="28" spans="1:8" ht="18" customHeight="1" x14ac:dyDescent="0.25">
      <c r="A28" s="31">
        <v>18</v>
      </c>
      <c r="B28" s="33"/>
      <c r="C28" s="33"/>
      <c r="D28" s="34"/>
      <c r="E28" s="34"/>
      <c r="F28" s="35"/>
      <c r="G28" s="35"/>
      <c r="H28" s="33"/>
    </row>
    <row r="29" spans="1:8" ht="18" customHeight="1" x14ac:dyDescent="0.25">
      <c r="A29" s="31">
        <v>19</v>
      </c>
      <c r="B29" s="10"/>
      <c r="C29" s="10"/>
      <c r="D29" s="11"/>
      <c r="E29" s="11"/>
      <c r="F29" s="32"/>
      <c r="G29" s="32"/>
      <c r="H29" s="10"/>
    </row>
    <row r="30" spans="1:8" ht="18" customHeight="1" x14ac:dyDescent="0.25">
      <c r="A30" s="31">
        <v>20</v>
      </c>
      <c r="B30" s="33"/>
      <c r="C30" s="33"/>
      <c r="D30" s="34"/>
      <c r="E30" s="34"/>
      <c r="F30" s="35"/>
      <c r="G30" s="35"/>
      <c r="H30" s="33"/>
    </row>
    <row r="31" spans="1:8" ht="18" customHeight="1" x14ac:dyDescent="0.25">
      <c r="A31" s="31">
        <v>21</v>
      </c>
      <c r="B31" s="10"/>
      <c r="C31" s="10"/>
      <c r="D31" s="11"/>
      <c r="E31" s="11"/>
      <c r="F31" s="32"/>
      <c r="G31" s="32"/>
      <c r="H31" s="10"/>
    </row>
    <row r="32" spans="1:8" ht="18" customHeight="1" x14ac:dyDescent="0.25">
      <c r="A32" s="31">
        <v>22</v>
      </c>
      <c r="B32" s="33"/>
      <c r="C32" s="33"/>
      <c r="D32" s="34"/>
      <c r="E32" s="34"/>
      <c r="F32" s="35"/>
      <c r="G32" s="35"/>
      <c r="H32" s="33"/>
    </row>
    <row r="33" spans="1:8" ht="18" customHeight="1" x14ac:dyDescent="0.25">
      <c r="A33" s="31">
        <v>23</v>
      </c>
      <c r="B33" s="10"/>
      <c r="C33" s="10"/>
      <c r="D33" s="11"/>
      <c r="E33" s="11"/>
      <c r="F33" s="32"/>
      <c r="G33" s="32"/>
      <c r="H33" s="10"/>
    </row>
    <row r="34" spans="1:8" ht="18" customHeight="1" x14ac:dyDescent="0.25">
      <c r="A34" s="31">
        <v>24</v>
      </c>
      <c r="B34" s="33"/>
      <c r="C34" s="33"/>
      <c r="D34" s="34"/>
      <c r="E34" s="34"/>
      <c r="F34" s="35"/>
      <c r="G34" s="35"/>
      <c r="H34" s="33"/>
    </row>
    <row r="35" spans="1:8" ht="18" customHeight="1" x14ac:dyDescent="0.25">
      <c r="A35" s="31">
        <v>25</v>
      </c>
      <c r="B35" s="10"/>
      <c r="C35" s="10"/>
      <c r="D35" s="11"/>
      <c r="E35" s="11"/>
      <c r="F35" s="32"/>
      <c r="G35" s="32"/>
      <c r="H35" s="10"/>
    </row>
    <row r="36" spans="1:8" ht="18" customHeight="1" x14ac:dyDescent="0.25">
      <c r="A36" s="31">
        <v>26</v>
      </c>
      <c r="B36" s="33"/>
      <c r="C36" s="33"/>
      <c r="D36" s="34"/>
      <c r="E36" s="34"/>
      <c r="F36" s="35"/>
      <c r="G36" s="35"/>
      <c r="H36" s="33"/>
    </row>
    <row r="37" spans="1:8" ht="18" customHeight="1" x14ac:dyDescent="0.25">
      <c r="A37" s="31">
        <v>27</v>
      </c>
      <c r="B37" s="10"/>
      <c r="C37" s="10"/>
      <c r="D37" s="11"/>
      <c r="E37" s="11"/>
      <c r="F37" s="32"/>
      <c r="G37" s="32"/>
      <c r="H37" s="10"/>
    </row>
    <row r="38" spans="1:8" ht="18" customHeight="1" x14ac:dyDescent="0.25">
      <c r="A38" s="31">
        <v>28</v>
      </c>
      <c r="B38" s="33"/>
      <c r="C38" s="33"/>
      <c r="D38" s="34"/>
      <c r="E38" s="34"/>
      <c r="F38" s="35"/>
      <c r="G38" s="35"/>
      <c r="H38" s="33"/>
    </row>
    <row r="39" spans="1:8" ht="18" customHeight="1" x14ac:dyDescent="0.25">
      <c r="A39" s="31">
        <v>29</v>
      </c>
      <c r="B39" s="10"/>
      <c r="C39" s="10"/>
      <c r="D39" s="11"/>
      <c r="E39" s="11"/>
      <c r="F39" s="32"/>
      <c r="G39" s="32"/>
      <c r="H39" s="10"/>
    </row>
    <row r="40" spans="1:8" ht="18" customHeight="1" x14ac:dyDescent="0.25">
      <c r="A40" s="31">
        <v>30</v>
      </c>
      <c r="B40" s="33"/>
      <c r="C40" s="33"/>
      <c r="D40" s="34"/>
      <c r="E40" s="34"/>
      <c r="F40" s="35"/>
      <c r="G40" s="35"/>
      <c r="H40" s="33"/>
    </row>
    <row r="41" spans="1:8" ht="18" customHeight="1" x14ac:dyDescent="0.25">
      <c r="A41" s="31">
        <v>31</v>
      </c>
      <c r="B41" s="10"/>
      <c r="C41" s="10"/>
      <c r="D41" s="11"/>
      <c r="E41" s="11"/>
      <c r="F41" s="32"/>
      <c r="G41" s="32"/>
      <c r="H41" s="10"/>
    </row>
    <row r="42" spans="1:8" ht="18" customHeight="1" x14ac:dyDescent="0.25">
      <c r="A42" s="31">
        <v>32</v>
      </c>
      <c r="B42" s="33"/>
      <c r="C42" s="33"/>
      <c r="D42" s="34"/>
      <c r="E42" s="34"/>
      <c r="F42" s="35"/>
      <c r="G42" s="35"/>
      <c r="H42" s="33"/>
    </row>
    <row r="43" spans="1:8" ht="18" customHeight="1" x14ac:dyDescent="0.25">
      <c r="A43" s="31">
        <v>33</v>
      </c>
      <c r="B43" s="10"/>
      <c r="C43" s="10"/>
      <c r="D43" s="11"/>
      <c r="E43" s="11"/>
      <c r="F43" s="32"/>
      <c r="G43" s="32"/>
      <c r="H43" s="10"/>
    </row>
    <row r="44" spans="1:8" ht="18" customHeight="1" x14ac:dyDescent="0.25">
      <c r="A44" s="31">
        <v>34</v>
      </c>
      <c r="B44" s="33"/>
      <c r="C44" s="33"/>
      <c r="D44" s="34"/>
      <c r="E44" s="34"/>
      <c r="F44" s="35"/>
      <c r="G44" s="35"/>
      <c r="H44" s="33"/>
    </row>
    <row r="45" spans="1:8" ht="18" customHeight="1" x14ac:dyDescent="0.25">
      <c r="A45" s="31">
        <v>35</v>
      </c>
      <c r="B45" s="10"/>
      <c r="C45" s="10"/>
      <c r="D45" s="11"/>
      <c r="E45" s="11"/>
      <c r="F45" s="32"/>
      <c r="G45" s="32"/>
      <c r="H45" s="10"/>
    </row>
    <row r="46" spans="1:8" ht="18" customHeight="1" x14ac:dyDescent="0.25">
      <c r="A46" s="31">
        <v>36</v>
      </c>
      <c r="B46" s="33"/>
      <c r="C46" s="33"/>
      <c r="D46" s="34"/>
      <c r="E46" s="34"/>
      <c r="F46" s="35"/>
      <c r="G46" s="35"/>
      <c r="H46" s="33"/>
    </row>
    <row r="47" spans="1:8" ht="18" customHeight="1" x14ac:dyDescent="0.25">
      <c r="A47" s="31">
        <v>37</v>
      </c>
      <c r="B47" s="10"/>
      <c r="C47" s="10"/>
      <c r="D47" s="11"/>
      <c r="E47" s="11"/>
      <c r="F47" s="32"/>
      <c r="G47" s="32"/>
      <c r="H47" s="10"/>
    </row>
    <row r="48" spans="1:8" ht="18" customHeight="1" x14ac:dyDescent="0.25">
      <c r="A48" s="31">
        <v>38</v>
      </c>
      <c r="B48" s="33"/>
      <c r="C48" s="33"/>
      <c r="D48" s="34"/>
      <c r="E48" s="34"/>
      <c r="F48" s="35"/>
      <c r="G48" s="35"/>
      <c r="H48" s="33"/>
    </row>
    <row r="49" spans="1:8" ht="18" customHeight="1" x14ac:dyDescent="0.25">
      <c r="A49" s="31">
        <v>39</v>
      </c>
      <c r="B49" s="10"/>
      <c r="C49" s="10"/>
      <c r="D49" s="11"/>
      <c r="E49" s="11"/>
      <c r="F49" s="32"/>
      <c r="G49" s="32"/>
      <c r="H49" s="10"/>
    </row>
    <row r="50" spans="1:8" ht="18" customHeight="1" x14ac:dyDescent="0.25">
      <c r="A50" s="31">
        <v>40</v>
      </c>
      <c r="B50" s="33"/>
      <c r="C50" s="33"/>
      <c r="D50" s="34"/>
      <c r="E50" s="34"/>
      <c r="F50" s="35"/>
      <c r="G50" s="35"/>
      <c r="H50" s="33"/>
    </row>
    <row r="51" spans="1:8" ht="18" customHeight="1" x14ac:dyDescent="0.25">
      <c r="A51" s="31">
        <v>41</v>
      </c>
      <c r="B51" s="10"/>
      <c r="C51" s="10"/>
      <c r="D51" s="11"/>
      <c r="E51" s="11"/>
      <c r="F51" s="32"/>
      <c r="G51" s="32"/>
      <c r="H51" s="10"/>
    </row>
    <row r="52" spans="1:8" ht="18" customHeight="1" x14ac:dyDescent="0.25">
      <c r="A52" s="31">
        <v>42</v>
      </c>
      <c r="B52" s="33"/>
      <c r="C52" s="33"/>
      <c r="D52" s="34"/>
      <c r="E52" s="34"/>
      <c r="F52" s="35"/>
      <c r="G52" s="35"/>
      <c r="H52" s="33"/>
    </row>
    <row r="53" spans="1:8" ht="18" customHeight="1" x14ac:dyDescent="0.25">
      <c r="A53" s="31">
        <v>43</v>
      </c>
      <c r="B53" s="10"/>
      <c r="C53" s="10"/>
      <c r="D53" s="11"/>
      <c r="E53" s="11"/>
      <c r="F53" s="32"/>
      <c r="G53" s="32"/>
      <c r="H53" s="10"/>
    </row>
    <row r="54" spans="1:8" ht="18" customHeight="1" x14ac:dyDescent="0.25">
      <c r="A54" s="31">
        <v>44</v>
      </c>
      <c r="B54" s="33"/>
      <c r="C54" s="33"/>
      <c r="D54" s="34"/>
      <c r="E54" s="34"/>
      <c r="F54" s="35"/>
      <c r="G54" s="35"/>
      <c r="H54" s="33"/>
    </row>
    <row r="55" spans="1:8" ht="18" customHeight="1" x14ac:dyDescent="0.25">
      <c r="A55" s="31">
        <v>45</v>
      </c>
      <c r="B55" s="10"/>
      <c r="C55" s="10"/>
      <c r="D55" s="11"/>
      <c r="E55" s="11"/>
      <c r="F55" s="32"/>
      <c r="G55" s="32"/>
      <c r="H55" s="10"/>
    </row>
    <row r="56" spans="1:8" ht="18" customHeight="1" x14ac:dyDescent="0.25">
      <c r="A56" s="31">
        <v>46</v>
      </c>
      <c r="B56" s="33"/>
      <c r="C56" s="33"/>
      <c r="D56" s="34"/>
      <c r="E56" s="34"/>
      <c r="F56" s="35"/>
      <c r="G56" s="35"/>
      <c r="H56" s="33"/>
    </row>
    <row r="57" spans="1:8" ht="18" customHeight="1" x14ac:dyDescent="0.25">
      <c r="A57" s="31">
        <v>47</v>
      </c>
      <c r="B57" s="10"/>
      <c r="C57" s="10"/>
      <c r="D57" s="11"/>
      <c r="E57" s="11"/>
      <c r="F57" s="32"/>
      <c r="G57" s="32"/>
      <c r="H57" s="10"/>
    </row>
    <row r="58" spans="1:8" ht="18" customHeight="1" x14ac:dyDescent="0.25">
      <c r="A58" s="31">
        <v>48</v>
      </c>
      <c r="B58" s="33"/>
      <c r="C58" s="33"/>
      <c r="D58" s="34"/>
      <c r="E58" s="34"/>
      <c r="F58" s="35"/>
      <c r="G58" s="35"/>
      <c r="H58" s="33"/>
    </row>
    <row r="59" spans="1:8" ht="18" customHeight="1" x14ac:dyDescent="0.25">
      <c r="A59" s="31">
        <v>49</v>
      </c>
      <c r="B59" s="10"/>
      <c r="C59" s="10"/>
      <c r="D59" s="11"/>
      <c r="E59" s="11"/>
      <c r="F59" s="32"/>
      <c r="G59" s="32"/>
      <c r="H59" s="10"/>
    </row>
    <row r="60" spans="1:8" ht="18" customHeight="1" x14ac:dyDescent="0.25">
      <c r="A60" s="31">
        <v>50</v>
      </c>
      <c r="B60" s="33"/>
      <c r="C60" s="33"/>
      <c r="D60" s="34"/>
      <c r="E60" s="34"/>
      <c r="F60" s="35"/>
      <c r="G60" s="35"/>
      <c r="H60" s="33"/>
    </row>
    <row r="61" spans="1:8" ht="18" customHeight="1" x14ac:dyDescent="0.25">
      <c r="A61" s="31">
        <v>51</v>
      </c>
      <c r="B61" s="10"/>
      <c r="C61" s="10"/>
      <c r="D61" s="11"/>
      <c r="E61" s="11"/>
      <c r="F61" s="32"/>
      <c r="G61" s="32"/>
      <c r="H61" s="10"/>
    </row>
    <row r="62" spans="1:8" ht="18" customHeight="1" x14ac:dyDescent="0.25">
      <c r="A62" s="31">
        <v>52</v>
      </c>
      <c r="B62" s="33"/>
      <c r="C62" s="33"/>
      <c r="D62" s="34"/>
      <c r="E62" s="34"/>
      <c r="F62" s="35"/>
      <c r="G62" s="35"/>
      <c r="H62" s="33"/>
    </row>
    <row r="63" spans="1:8" ht="18" customHeight="1" x14ac:dyDescent="0.25">
      <c r="A63" s="31">
        <v>53</v>
      </c>
      <c r="B63" s="10"/>
      <c r="C63" s="10"/>
      <c r="D63" s="11"/>
      <c r="E63" s="11"/>
      <c r="F63" s="32"/>
      <c r="G63" s="32"/>
      <c r="H63" s="10"/>
    </row>
    <row r="64" spans="1:8" ht="18" customHeight="1" x14ac:dyDescent="0.25">
      <c r="A64" s="31">
        <v>54</v>
      </c>
      <c r="B64" s="33"/>
      <c r="C64" s="33"/>
      <c r="D64" s="34"/>
      <c r="E64" s="34"/>
      <c r="F64" s="35"/>
      <c r="G64" s="35"/>
      <c r="H64" s="33"/>
    </row>
    <row r="65" spans="1:8" ht="18" customHeight="1" x14ac:dyDescent="0.25">
      <c r="A65" s="31">
        <v>55</v>
      </c>
      <c r="B65" s="10"/>
      <c r="C65" s="10"/>
      <c r="D65" s="11"/>
      <c r="E65" s="11"/>
      <c r="F65" s="32"/>
      <c r="G65" s="32"/>
      <c r="H65" s="10"/>
    </row>
    <row r="66" spans="1:8" ht="18" customHeight="1" x14ac:dyDescent="0.25">
      <c r="A66" s="31">
        <v>56</v>
      </c>
      <c r="B66" s="33"/>
      <c r="C66" s="33"/>
      <c r="D66" s="34"/>
      <c r="E66" s="34"/>
      <c r="F66" s="35"/>
      <c r="G66" s="35"/>
      <c r="H66" s="33"/>
    </row>
    <row r="67" spans="1:8" ht="18" customHeight="1" x14ac:dyDescent="0.25">
      <c r="A67" s="31">
        <v>57</v>
      </c>
      <c r="B67" s="10"/>
      <c r="C67" s="10"/>
      <c r="D67" s="11"/>
      <c r="E67" s="11"/>
      <c r="F67" s="32"/>
      <c r="G67" s="32"/>
      <c r="H67" s="10"/>
    </row>
    <row r="68" spans="1:8" ht="18" customHeight="1" x14ac:dyDescent="0.25">
      <c r="A68" s="31">
        <v>58</v>
      </c>
      <c r="B68" s="33"/>
      <c r="C68" s="33"/>
      <c r="D68" s="34"/>
      <c r="E68" s="34"/>
      <c r="F68" s="35"/>
      <c r="G68" s="35"/>
      <c r="H68" s="33"/>
    </row>
    <row r="69" spans="1:8" ht="18" customHeight="1" x14ac:dyDescent="0.25">
      <c r="A69" s="31">
        <v>59</v>
      </c>
      <c r="B69" s="10"/>
      <c r="C69" s="10"/>
      <c r="D69" s="11"/>
      <c r="E69" s="11"/>
      <c r="F69" s="32"/>
      <c r="G69" s="32"/>
      <c r="H69" s="10"/>
    </row>
    <row r="70" spans="1:8" ht="18" customHeight="1" x14ac:dyDescent="0.25">
      <c r="A70" s="31">
        <v>60</v>
      </c>
      <c r="B70" s="33"/>
      <c r="C70" s="33"/>
      <c r="D70" s="34"/>
      <c r="E70" s="34"/>
      <c r="F70" s="35"/>
      <c r="G70" s="35"/>
      <c r="H70" s="33"/>
    </row>
    <row r="71" spans="1:8" ht="18" customHeight="1" x14ac:dyDescent="0.25">
      <c r="A71" s="31">
        <v>61</v>
      </c>
      <c r="B71" s="10"/>
      <c r="C71" s="10"/>
      <c r="D71" s="11"/>
      <c r="E71" s="11"/>
      <c r="F71" s="32"/>
      <c r="G71" s="32"/>
      <c r="H71" s="10"/>
    </row>
    <row r="72" spans="1:8" ht="18" customHeight="1" x14ac:dyDescent="0.25">
      <c r="A72" s="31">
        <v>62</v>
      </c>
      <c r="B72" s="33"/>
      <c r="C72" s="33"/>
      <c r="D72" s="34"/>
      <c r="E72" s="34"/>
      <c r="F72" s="35"/>
      <c r="G72" s="35"/>
      <c r="H72" s="33"/>
    </row>
    <row r="73" spans="1:8" ht="18" customHeight="1" x14ac:dyDescent="0.25">
      <c r="A73" s="31">
        <v>63</v>
      </c>
      <c r="B73" s="10"/>
      <c r="C73" s="10"/>
      <c r="D73" s="11"/>
      <c r="E73" s="11"/>
      <c r="F73" s="32"/>
      <c r="G73" s="32"/>
      <c r="H73" s="10"/>
    </row>
    <row r="74" spans="1:8" ht="18" customHeight="1" x14ac:dyDescent="0.25">
      <c r="A74" s="31">
        <v>64</v>
      </c>
      <c r="B74" s="33"/>
      <c r="C74" s="33"/>
      <c r="D74" s="34"/>
      <c r="E74" s="34"/>
      <c r="F74" s="35"/>
      <c r="G74" s="35"/>
      <c r="H74" s="33"/>
    </row>
    <row r="75" spans="1:8" ht="18" customHeight="1" x14ac:dyDescent="0.25">
      <c r="A75" s="31">
        <v>65</v>
      </c>
      <c r="B75" s="10"/>
      <c r="C75" s="10"/>
      <c r="D75" s="11"/>
      <c r="E75" s="11"/>
      <c r="F75" s="32"/>
      <c r="G75" s="32"/>
      <c r="H75" s="10"/>
    </row>
    <row r="76" spans="1:8" ht="18" customHeight="1" x14ac:dyDescent="0.25">
      <c r="A76" s="31">
        <v>66</v>
      </c>
      <c r="B76" s="33"/>
      <c r="C76" s="33"/>
      <c r="D76" s="34"/>
      <c r="E76" s="34"/>
      <c r="F76" s="35"/>
      <c r="G76" s="35"/>
      <c r="H76" s="33"/>
    </row>
    <row r="77" spans="1:8" ht="18" customHeight="1" x14ac:dyDescent="0.25">
      <c r="A77" s="31">
        <v>67</v>
      </c>
      <c r="B77" s="10"/>
      <c r="C77" s="10"/>
      <c r="D77" s="11"/>
      <c r="E77" s="11"/>
      <c r="F77" s="32"/>
      <c r="G77" s="32"/>
      <c r="H77" s="10"/>
    </row>
    <row r="78" spans="1:8" ht="18" customHeight="1" x14ac:dyDescent="0.25">
      <c r="A78" s="31">
        <v>68</v>
      </c>
      <c r="B78" s="33"/>
      <c r="C78" s="33"/>
      <c r="D78" s="34"/>
      <c r="E78" s="34"/>
      <c r="F78" s="35"/>
      <c r="G78" s="35"/>
      <c r="H78" s="33"/>
    </row>
    <row r="79" spans="1:8" ht="18" customHeight="1" x14ac:dyDescent="0.25">
      <c r="A79" s="31">
        <v>69</v>
      </c>
      <c r="B79" s="10"/>
      <c r="C79" s="10"/>
      <c r="D79" s="11"/>
      <c r="E79" s="11"/>
      <c r="F79" s="32"/>
      <c r="G79" s="32"/>
      <c r="H79" s="10"/>
    </row>
    <row r="80" spans="1:8" ht="18" customHeight="1" x14ac:dyDescent="0.25">
      <c r="A80" s="31">
        <v>70</v>
      </c>
      <c r="B80" s="33"/>
      <c r="C80" s="33"/>
      <c r="D80" s="34"/>
      <c r="E80" s="34"/>
      <c r="F80" s="35"/>
      <c r="G80" s="35"/>
      <c r="H80" s="33"/>
    </row>
    <row r="81" spans="1:8" ht="18" customHeight="1" x14ac:dyDescent="0.25">
      <c r="A81" s="31">
        <v>71</v>
      </c>
      <c r="B81" s="10"/>
      <c r="C81" s="10"/>
      <c r="D81" s="11"/>
      <c r="E81" s="11"/>
      <c r="F81" s="32"/>
      <c r="G81" s="32"/>
      <c r="H81" s="10"/>
    </row>
    <row r="82" spans="1:8" ht="18" customHeight="1" x14ac:dyDescent="0.25">
      <c r="A82" s="31">
        <v>72</v>
      </c>
      <c r="B82" s="33"/>
      <c r="C82" s="33"/>
      <c r="D82" s="34"/>
      <c r="E82" s="34"/>
      <c r="F82" s="35"/>
      <c r="G82" s="35"/>
      <c r="H82" s="33"/>
    </row>
    <row r="83" spans="1:8" ht="18" customHeight="1" x14ac:dyDescent="0.25">
      <c r="A83" s="31">
        <v>73</v>
      </c>
      <c r="B83" s="10"/>
      <c r="C83" s="10"/>
      <c r="D83" s="11"/>
      <c r="E83" s="11"/>
      <c r="F83" s="32"/>
      <c r="G83" s="32"/>
      <c r="H83" s="10"/>
    </row>
    <row r="84" spans="1:8" ht="18" customHeight="1" x14ac:dyDescent="0.25">
      <c r="A84" s="31">
        <v>74</v>
      </c>
      <c r="B84" s="33"/>
      <c r="C84" s="33"/>
      <c r="D84" s="34"/>
      <c r="E84" s="34"/>
      <c r="F84" s="35"/>
      <c r="G84" s="35"/>
      <c r="H84" s="33"/>
    </row>
    <row r="85" spans="1:8" ht="18" customHeight="1" x14ac:dyDescent="0.25">
      <c r="A85" s="31">
        <v>75</v>
      </c>
      <c r="B85" s="10"/>
      <c r="C85" s="10"/>
      <c r="D85" s="11"/>
      <c r="E85" s="11"/>
      <c r="F85" s="32"/>
      <c r="G85" s="32"/>
      <c r="H85" s="10"/>
    </row>
    <row r="86" spans="1:8" ht="18" customHeight="1" x14ac:dyDescent="0.25">
      <c r="A86" s="31">
        <v>76</v>
      </c>
      <c r="B86" s="33"/>
      <c r="C86" s="33"/>
      <c r="D86" s="34"/>
      <c r="E86" s="34"/>
      <c r="F86" s="35"/>
      <c r="G86" s="35"/>
      <c r="H86" s="33"/>
    </row>
    <row r="87" spans="1:8" ht="18" customHeight="1" x14ac:dyDescent="0.25">
      <c r="A87" s="31">
        <v>77</v>
      </c>
      <c r="B87" s="10"/>
      <c r="C87" s="10"/>
      <c r="D87" s="11"/>
      <c r="E87" s="11"/>
      <c r="F87" s="32"/>
      <c r="G87" s="32"/>
      <c r="H87" s="10"/>
    </row>
    <row r="88" spans="1:8" ht="18" customHeight="1" x14ac:dyDescent="0.25">
      <c r="A88" s="31">
        <v>78</v>
      </c>
      <c r="B88" s="33"/>
      <c r="C88" s="33"/>
      <c r="D88" s="34"/>
      <c r="E88" s="34"/>
      <c r="F88" s="35"/>
      <c r="G88" s="35"/>
      <c r="H88" s="33"/>
    </row>
    <row r="89" spans="1:8" ht="18" customHeight="1" x14ac:dyDescent="0.25">
      <c r="A89" s="31">
        <v>79</v>
      </c>
      <c r="B89" s="10"/>
      <c r="C89" s="10"/>
      <c r="D89" s="11"/>
      <c r="E89" s="11"/>
      <c r="F89" s="32"/>
      <c r="G89" s="32"/>
      <c r="H89" s="10"/>
    </row>
    <row r="90" spans="1:8" ht="18" customHeight="1" x14ac:dyDescent="0.25">
      <c r="A90" s="31">
        <v>80</v>
      </c>
      <c r="B90" s="33"/>
      <c r="C90" s="33"/>
      <c r="D90" s="34"/>
      <c r="E90" s="34"/>
      <c r="F90" s="35"/>
      <c r="G90" s="35"/>
      <c r="H90" s="33"/>
    </row>
    <row r="91" spans="1:8" ht="18" customHeight="1" x14ac:dyDescent="0.25">
      <c r="A91" s="31">
        <v>81</v>
      </c>
      <c r="B91" s="10"/>
      <c r="C91" s="10"/>
      <c r="D91" s="11"/>
      <c r="E91" s="11"/>
      <c r="F91" s="32"/>
      <c r="G91" s="32"/>
      <c r="H91" s="10"/>
    </row>
    <row r="92" spans="1:8" ht="18" customHeight="1" x14ac:dyDescent="0.25">
      <c r="A92" s="31">
        <v>82</v>
      </c>
      <c r="B92" s="33"/>
      <c r="C92" s="33"/>
      <c r="D92" s="34"/>
      <c r="E92" s="34"/>
      <c r="F92" s="35"/>
      <c r="G92" s="35"/>
      <c r="H92" s="33"/>
    </row>
    <row r="93" spans="1:8" ht="18" customHeight="1" x14ac:dyDescent="0.25">
      <c r="A93" s="31">
        <v>83</v>
      </c>
      <c r="B93" s="10"/>
      <c r="C93" s="10"/>
      <c r="D93" s="11"/>
      <c r="E93" s="11"/>
      <c r="F93" s="32"/>
      <c r="G93" s="32"/>
      <c r="H93" s="10"/>
    </row>
    <row r="94" spans="1:8" ht="18" customHeight="1" x14ac:dyDescent="0.25">
      <c r="A94" s="31">
        <v>84</v>
      </c>
      <c r="B94" s="33"/>
      <c r="C94" s="33"/>
      <c r="D94" s="34"/>
      <c r="E94" s="34"/>
      <c r="F94" s="35"/>
      <c r="G94" s="35"/>
      <c r="H94" s="33"/>
    </row>
    <row r="95" spans="1:8" ht="18" customHeight="1" x14ac:dyDescent="0.25">
      <c r="A95" s="31">
        <v>85</v>
      </c>
      <c r="B95" s="10"/>
      <c r="C95" s="10"/>
      <c r="D95" s="11"/>
      <c r="E95" s="11"/>
      <c r="F95" s="32"/>
      <c r="G95" s="32"/>
      <c r="H95" s="10"/>
    </row>
    <row r="96" spans="1:8" ht="18" customHeight="1" x14ac:dyDescent="0.25">
      <c r="A96" s="31">
        <v>86</v>
      </c>
      <c r="B96" s="33"/>
      <c r="C96" s="33"/>
      <c r="D96" s="34"/>
      <c r="E96" s="34"/>
      <c r="F96" s="35"/>
      <c r="G96" s="35"/>
      <c r="H96" s="33"/>
    </row>
    <row r="97" spans="1:8" ht="18" customHeight="1" x14ac:dyDescent="0.25">
      <c r="A97" s="31">
        <v>87</v>
      </c>
      <c r="B97" s="10"/>
      <c r="C97" s="10"/>
      <c r="D97" s="11"/>
      <c r="E97" s="11"/>
      <c r="F97" s="32"/>
      <c r="G97" s="32"/>
      <c r="H97" s="10"/>
    </row>
    <row r="98" spans="1:8" ht="18" customHeight="1" x14ac:dyDescent="0.25">
      <c r="A98" s="31">
        <v>88</v>
      </c>
      <c r="B98" s="33"/>
      <c r="C98" s="33"/>
      <c r="D98" s="34"/>
      <c r="E98" s="34"/>
      <c r="F98" s="35"/>
      <c r="G98" s="35"/>
      <c r="H98" s="33"/>
    </row>
    <row r="99" spans="1:8" ht="18" customHeight="1" x14ac:dyDescent="0.25">
      <c r="A99" s="31">
        <v>89</v>
      </c>
      <c r="B99" s="10"/>
      <c r="C99" s="10"/>
      <c r="D99" s="11"/>
      <c r="E99" s="11"/>
      <c r="F99" s="32"/>
      <c r="G99" s="32"/>
      <c r="H99" s="10"/>
    </row>
    <row r="100" spans="1:8" ht="18" customHeight="1" x14ac:dyDescent="0.25">
      <c r="A100" s="31">
        <v>90</v>
      </c>
      <c r="B100" s="33"/>
      <c r="C100" s="33"/>
      <c r="D100" s="34"/>
      <c r="E100" s="34"/>
      <c r="F100" s="35"/>
      <c r="G100" s="35"/>
      <c r="H100" s="33"/>
    </row>
    <row r="101" spans="1:8" ht="18" customHeight="1" x14ac:dyDescent="0.25">
      <c r="A101" s="31">
        <v>91</v>
      </c>
      <c r="B101" s="10"/>
      <c r="C101" s="10"/>
      <c r="D101" s="11"/>
      <c r="E101" s="11"/>
      <c r="F101" s="32"/>
      <c r="G101" s="32"/>
      <c r="H101" s="10"/>
    </row>
    <row r="102" spans="1:8" ht="18" customHeight="1" x14ac:dyDescent="0.25">
      <c r="A102" s="31">
        <v>92</v>
      </c>
      <c r="B102" s="33"/>
      <c r="C102" s="33"/>
      <c r="D102" s="34"/>
      <c r="E102" s="34"/>
      <c r="F102" s="35"/>
      <c r="G102" s="35"/>
      <c r="H102" s="33"/>
    </row>
    <row r="103" spans="1:8" ht="18" customHeight="1" x14ac:dyDescent="0.25">
      <c r="A103" s="31">
        <v>93</v>
      </c>
      <c r="B103" s="10"/>
      <c r="C103" s="10"/>
      <c r="D103" s="11"/>
      <c r="E103" s="11"/>
      <c r="F103" s="32"/>
      <c r="G103" s="32"/>
      <c r="H103" s="10"/>
    </row>
    <row r="104" spans="1:8" ht="18" customHeight="1" x14ac:dyDescent="0.25">
      <c r="A104" s="31">
        <v>94</v>
      </c>
      <c r="B104" s="33"/>
      <c r="C104" s="33"/>
      <c r="D104" s="34"/>
      <c r="E104" s="34"/>
      <c r="F104" s="35"/>
      <c r="G104" s="35"/>
      <c r="H104" s="33"/>
    </row>
    <row r="105" spans="1:8" ht="18" customHeight="1" x14ac:dyDescent="0.25">
      <c r="A105" s="31">
        <v>95</v>
      </c>
      <c r="B105" s="10"/>
      <c r="C105" s="10"/>
      <c r="D105" s="11"/>
      <c r="E105" s="11"/>
      <c r="F105" s="32"/>
      <c r="G105" s="32"/>
      <c r="H105" s="10"/>
    </row>
    <row r="106" spans="1:8" ht="18" customHeight="1" x14ac:dyDescent="0.25">
      <c r="A106" s="31">
        <v>96</v>
      </c>
      <c r="B106" s="33"/>
      <c r="C106" s="33"/>
      <c r="D106" s="34"/>
      <c r="E106" s="34"/>
      <c r="F106" s="35"/>
      <c r="G106" s="35"/>
      <c r="H106" s="33"/>
    </row>
    <row r="107" spans="1:8" ht="18" customHeight="1" x14ac:dyDescent="0.25">
      <c r="A107" s="31">
        <v>97</v>
      </c>
      <c r="B107" s="10"/>
      <c r="C107" s="10"/>
      <c r="D107" s="11"/>
      <c r="E107" s="11"/>
      <c r="F107" s="32"/>
      <c r="G107" s="32"/>
      <c r="H107" s="10"/>
    </row>
    <row r="108" spans="1:8" ht="18" customHeight="1" x14ac:dyDescent="0.25">
      <c r="A108" s="31">
        <v>98</v>
      </c>
      <c r="B108" s="33"/>
      <c r="C108" s="33"/>
      <c r="D108" s="34"/>
      <c r="E108" s="34"/>
      <c r="F108" s="35"/>
      <c r="G108" s="35"/>
      <c r="H108" s="33"/>
    </row>
    <row r="109" spans="1:8" ht="18" customHeight="1" x14ac:dyDescent="0.25">
      <c r="A109" s="31">
        <v>99</v>
      </c>
      <c r="B109" s="10"/>
      <c r="C109" s="10"/>
      <c r="D109" s="11"/>
      <c r="E109" s="11"/>
      <c r="F109" s="32"/>
      <c r="G109" s="32"/>
      <c r="H109" s="10"/>
    </row>
    <row r="110" spans="1:8" ht="18" customHeight="1" x14ac:dyDescent="0.25">
      <c r="A110" s="31">
        <v>100</v>
      </c>
      <c r="B110" s="33"/>
      <c r="C110" s="33"/>
      <c r="D110" s="34"/>
      <c r="E110" s="34"/>
      <c r="F110" s="35"/>
      <c r="G110" s="35"/>
      <c r="H110" s="33"/>
    </row>
  </sheetData>
  <mergeCells count="10">
    <mergeCell ref="A4:B4"/>
    <mergeCell ref="D4:K4"/>
    <mergeCell ref="A9:I9"/>
    <mergeCell ref="A1:K1"/>
    <mergeCell ref="A2:B2"/>
    <mergeCell ref="C2:E2"/>
    <mergeCell ref="F2:K2"/>
    <mergeCell ref="A3:B3"/>
    <mergeCell ref="C3:E3"/>
    <mergeCell ref="F3:K3"/>
  </mergeCells>
  <dataValidations count="2">
    <dataValidation type="list" allowBlank="1" sqref="D11:D110" xr:uid="{00000000-0002-0000-0800-000000000000}">
      <formula1>"Spares,Stores,Lube Oil,Chemicals,Lashing Gear,Others"</formula1>
      <formula2>0</formula2>
    </dataValidation>
    <dataValidation type="list" allowBlank="1" sqref="E11:E110" xr:uid="{00000000-0002-0000-0800-000001000000}">
      <formula1>"Not Created,To Be Created,Pending Approval,Approved &amp; Issued,Pending Delivery,Delivered"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402e95c7-28a7-4be5-bfed-33f011271d8b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270D3ED764D80469A03188CF793EF52" ma:contentTypeVersion="5" ma:contentTypeDescription="Create a new document." ma:contentTypeScope="" ma:versionID="fc03e2032a9f4a9ad657286c112d507c">
  <xsd:schema xmlns:xsd="http://www.w3.org/2001/XMLSchema" xmlns:xs="http://www.w3.org/2001/XMLSchema" xmlns:p="http://schemas.microsoft.com/office/2006/metadata/properties" xmlns:ns3="402e95c7-28a7-4be5-bfed-33f011271d8b" targetNamespace="http://schemas.microsoft.com/office/2006/metadata/properties" ma:root="true" ma:fieldsID="66c33d6e2d30eaeeed9a827479a75a5e" ns3:_="">
    <xsd:import namespace="402e95c7-28a7-4be5-bfed-33f011271d8b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2e95c7-28a7-4be5-bfed-33f011271d8b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E7B0735-9DEE-429E-B973-3FCAD3ACF4E3}">
  <ds:schemaRefs>
    <ds:schemaRef ds:uri="http://purl.org/dc/terms/"/>
    <ds:schemaRef ds:uri="http://schemas.microsoft.com/office/2006/documentManagement/types"/>
    <ds:schemaRef ds:uri="http://schemas.openxmlformats.org/package/2006/metadata/core-properties"/>
    <ds:schemaRef ds:uri="http://purl.org/dc/dcmitype/"/>
    <ds:schemaRef ds:uri="402e95c7-28a7-4be5-bfed-33f011271d8b"/>
    <ds:schemaRef ds:uri="http://purl.org/dc/elements/1.1/"/>
    <ds:schemaRef ds:uri="http://www.w3.org/XML/1998/namespace"/>
    <ds:schemaRef ds:uri="http://schemas.microsoft.com/office/infopath/2007/PartnerControl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1CAC9565-2343-4BCC-AA28-575D8BC75FB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02e95c7-28a7-4be5-bfed-33f011271d8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7F6C974-7497-4250-955B-4BA83A5DD42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</vt:i4>
      </vt:variant>
    </vt:vector>
  </HeadingPairs>
  <TitlesOfParts>
    <vt:vector size="13" baseType="lpstr">
      <vt:lpstr>Projects</vt:lpstr>
      <vt:lpstr>Insights</vt:lpstr>
      <vt:lpstr>📊 Fleet Summary</vt:lpstr>
      <vt:lpstr>Glovis Lander</vt:lpstr>
      <vt:lpstr>Glovis Luminous</vt:lpstr>
      <vt:lpstr>Glovis Lighthouse</vt:lpstr>
      <vt:lpstr>Glovis Link</vt:lpstr>
      <vt:lpstr>Glovis Logos</vt:lpstr>
      <vt:lpstr>Glovis Loyal</vt:lpstr>
      <vt:lpstr>tbc_project 2</vt:lpstr>
      <vt:lpstr>Vessel 7</vt:lpstr>
      <vt:lpstr>Vessel 8</vt:lpstr>
      <vt:lpstr>Status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Inis Gan</cp:lastModifiedBy>
  <cp:revision>0</cp:revision>
  <dcterms:created xsi:type="dcterms:W3CDTF">2026-03-01T01:19:46Z</dcterms:created>
  <dcterms:modified xsi:type="dcterms:W3CDTF">2026-05-05T09:41:44Z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95efa48-3542-40a0-935f-e5728a0bb1e7_Enabled">
    <vt:lpwstr>true</vt:lpwstr>
  </property>
  <property fmtid="{D5CDD505-2E9C-101B-9397-08002B2CF9AE}" pid="3" name="MSIP_Label_895efa48-3542-40a0-935f-e5728a0bb1e7_SetDate">
    <vt:lpwstr>2026-04-30T06:38:32Z</vt:lpwstr>
  </property>
  <property fmtid="{D5CDD505-2E9C-101B-9397-08002B2CF9AE}" pid="4" name="MSIP_Label_895efa48-3542-40a0-935f-e5728a0bb1e7_Method">
    <vt:lpwstr>Standard</vt:lpwstr>
  </property>
  <property fmtid="{D5CDD505-2E9C-101B-9397-08002B2CF9AE}" pid="5" name="MSIP_Label_895efa48-3542-40a0-935f-e5728a0bb1e7_Name">
    <vt:lpwstr>General</vt:lpwstr>
  </property>
  <property fmtid="{D5CDD505-2E9C-101B-9397-08002B2CF9AE}" pid="6" name="MSIP_Label_895efa48-3542-40a0-935f-e5728a0bb1e7_SiteId">
    <vt:lpwstr>fb052de5-3344-415c-a8e0-3b26eed71f5a</vt:lpwstr>
  </property>
  <property fmtid="{D5CDD505-2E9C-101B-9397-08002B2CF9AE}" pid="7" name="MSIP_Label_895efa48-3542-40a0-935f-e5728a0bb1e7_ActionId">
    <vt:lpwstr>9cc42c7c-f9e7-4e77-8a4d-73e15b96e319</vt:lpwstr>
  </property>
  <property fmtid="{D5CDD505-2E9C-101B-9397-08002B2CF9AE}" pid="8" name="MSIP_Label_895efa48-3542-40a0-935f-e5728a0bb1e7_ContentBits">
    <vt:lpwstr>0</vt:lpwstr>
  </property>
  <property fmtid="{D5CDD505-2E9C-101B-9397-08002B2CF9AE}" pid="9" name="MSIP_Label_895efa48-3542-40a0-935f-e5728a0bb1e7_Tag">
    <vt:lpwstr>10, 3, 0, 1</vt:lpwstr>
  </property>
  <property fmtid="{D5CDD505-2E9C-101B-9397-08002B2CF9AE}" pid="10" name="ContentTypeId">
    <vt:lpwstr>0x0101008270D3ED764D80469A03188CF793EF52</vt:lpwstr>
  </property>
</Properties>
</file>